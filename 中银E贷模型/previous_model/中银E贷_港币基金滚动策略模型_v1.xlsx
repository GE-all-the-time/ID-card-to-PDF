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A10C7312-7E95-4EB1-BB56-77046034DE71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模型说明" sheetId="1" r:id="rId1"/>
    <sheet name="参数设置" sheetId="2" r:id="rId2"/>
    <sheet name="月度汇总" sheetId="3" r:id="rId3"/>
    <sheet name="贷款明细" sheetId="4" r:id="rId4"/>
  </sheets>
  <definedNames>
    <definedName name="_xlnm._FilterDatabase" localSheetId="2" hidden="1">月度汇总!$A$6:$V$54</definedName>
    <definedName name="_xlnm._FilterDatabase" localSheetId="3" hidden="1">贷款明细!$A$3:$L$435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35" i="4" l="1"/>
  <c r="I435" i="4"/>
  <c r="C435" i="4"/>
  <c r="H435" i="4" s="1"/>
  <c r="J435" i="4" s="1"/>
  <c r="B435" i="4"/>
  <c r="L434" i="4"/>
  <c r="I434" i="4"/>
  <c r="H434" i="4"/>
  <c r="J434" i="4" s="1"/>
  <c r="C434" i="4"/>
  <c r="B434" i="4"/>
  <c r="L433" i="4"/>
  <c r="I433" i="4"/>
  <c r="H433" i="4"/>
  <c r="J433" i="4" s="1"/>
  <c r="C433" i="4"/>
  <c r="B433" i="4"/>
  <c r="L432" i="4"/>
  <c r="I432" i="4"/>
  <c r="H432" i="4"/>
  <c r="J432" i="4" s="1"/>
  <c r="C432" i="4"/>
  <c r="B432" i="4"/>
  <c r="L431" i="4"/>
  <c r="I431" i="4"/>
  <c r="H431" i="4"/>
  <c r="J431" i="4" s="1"/>
  <c r="C431" i="4"/>
  <c r="B431" i="4"/>
  <c r="L430" i="4"/>
  <c r="I430" i="4"/>
  <c r="H430" i="4"/>
  <c r="J430" i="4" s="1"/>
  <c r="C430" i="4"/>
  <c r="B430" i="4"/>
  <c r="L429" i="4"/>
  <c r="I429" i="4"/>
  <c r="H429" i="4"/>
  <c r="J429" i="4" s="1"/>
  <c r="C429" i="4"/>
  <c r="B429" i="4"/>
  <c r="L428" i="4"/>
  <c r="I428" i="4"/>
  <c r="H428" i="4"/>
  <c r="J428" i="4" s="1"/>
  <c r="C428" i="4"/>
  <c r="B428" i="4"/>
  <c r="L427" i="4"/>
  <c r="I427" i="4"/>
  <c r="H427" i="4"/>
  <c r="J427" i="4" s="1"/>
  <c r="C427" i="4"/>
  <c r="B427" i="4"/>
  <c r="L426" i="4"/>
  <c r="I426" i="4"/>
  <c r="H426" i="4"/>
  <c r="J426" i="4" s="1"/>
  <c r="C426" i="4"/>
  <c r="B426" i="4"/>
  <c r="L425" i="4"/>
  <c r="I425" i="4"/>
  <c r="H425" i="4"/>
  <c r="J425" i="4" s="1"/>
  <c r="C425" i="4"/>
  <c r="B425" i="4"/>
  <c r="L424" i="4"/>
  <c r="I424" i="4"/>
  <c r="H424" i="4"/>
  <c r="J424" i="4" s="1"/>
  <c r="C424" i="4"/>
  <c r="B424" i="4"/>
  <c r="L423" i="4"/>
  <c r="I423" i="4"/>
  <c r="C423" i="4"/>
  <c r="H423" i="4" s="1"/>
  <c r="J423" i="4" s="1"/>
  <c r="B423" i="4"/>
  <c r="L422" i="4"/>
  <c r="I422" i="4"/>
  <c r="H422" i="4"/>
  <c r="J422" i="4" s="1"/>
  <c r="C422" i="4"/>
  <c r="B422" i="4"/>
  <c r="L421" i="4"/>
  <c r="I421" i="4"/>
  <c r="H421" i="4"/>
  <c r="J421" i="4" s="1"/>
  <c r="C421" i="4"/>
  <c r="B421" i="4"/>
  <c r="L420" i="4"/>
  <c r="I420" i="4"/>
  <c r="H420" i="4"/>
  <c r="J420" i="4" s="1"/>
  <c r="C420" i="4"/>
  <c r="B420" i="4"/>
  <c r="L419" i="4"/>
  <c r="I419" i="4"/>
  <c r="H419" i="4"/>
  <c r="J419" i="4" s="1"/>
  <c r="C419" i="4"/>
  <c r="B419" i="4"/>
  <c r="L418" i="4"/>
  <c r="I418" i="4"/>
  <c r="H418" i="4"/>
  <c r="J418" i="4" s="1"/>
  <c r="C418" i="4"/>
  <c r="B418" i="4"/>
  <c r="L417" i="4"/>
  <c r="I417" i="4"/>
  <c r="H417" i="4"/>
  <c r="J417" i="4" s="1"/>
  <c r="C417" i="4"/>
  <c r="B417" i="4"/>
  <c r="L416" i="4"/>
  <c r="I416" i="4"/>
  <c r="H416" i="4"/>
  <c r="J416" i="4" s="1"/>
  <c r="C416" i="4"/>
  <c r="B416" i="4"/>
  <c r="L415" i="4"/>
  <c r="I415" i="4"/>
  <c r="H415" i="4"/>
  <c r="J415" i="4" s="1"/>
  <c r="C415" i="4"/>
  <c r="B415" i="4"/>
  <c r="L414" i="4"/>
  <c r="I414" i="4"/>
  <c r="H414" i="4"/>
  <c r="J414" i="4" s="1"/>
  <c r="C414" i="4"/>
  <c r="B414" i="4"/>
  <c r="L413" i="4"/>
  <c r="I413" i="4"/>
  <c r="H413" i="4"/>
  <c r="J413" i="4" s="1"/>
  <c r="C413" i="4"/>
  <c r="B413" i="4"/>
  <c r="L412" i="4"/>
  <c r="I412" i="4"/>
  <c r="H412" i="4"/>
  <c r="J412" i="4" s="1"/>
  <c r="C412" i="4"/>
  <c r="B412" i="4"/>
  <c r="L411" i="4"/>
  <c r="I411" i="4"/>
  <c r="C411" i="4"/>
  <c r="H411" i="4" s="1"/>
  <c r="J411" i="4" s="1"/>
  <c r="B411" i="4"/>
  <c r="L410" i="4"/>
  <c r="I410" i="4"/>
  <c r="H410" i="4"/>
  <c r="J410" i="4" s="1"/>
  <c r="C410" i="4"/>
  <c r="B410" i="4"/>
  <c r="L409" i="4"/>
  <c r="I409" i="4"/>
  <c r="H409" i="4"/>
  <c r="J409" i="4" s="1"/>
  <c r="C409" i="4"/>
  <c r="B409" i="4"/>
  <c r="L408" i="4"/>
  <c r="I408" i="4"/>
  <c r="H408" i="4"/>
  <c r="J408" i="4" s="1"/>
  <c r="C408" i="4"/>
  <c r="B408" i="4"/>
  <c r="L407" i="4"/>
  <c r="I407" i="4"/>
  <c r="H407" i="4"/>
  <c r="J407" i="4" s="1"/>
  <c r="C407" i="4"/>
  <c r="B407" i="4"/>
  <c r="L406" i="4"/>
  <c r="I406" i="4"/>
  <c r="H406" i="4"/>
  <c r="J406" i="4" s="1"/>
  <c r="C406" i="4"/>
  <c r="B406" i="4"/>
  <c r="L405" i="4"/>
  <c r="I405" i="4"/>
  <c r="H405" i="4"/>
  <c r="J405" i="4" s="1"/>
  <c r="C405" i="4"/>
  <c r="B405" i="4"/>
  <c r="L404" i="4"/>
  <c r="I404" i="4"/>
  <c r="H404" i="4"/>
  <c r="J404" i="4" s="1"/>
  <c r="C404" i="4"/>
  <c r="B404" i="4"/>
  <c r="L403" i="4"/>
  <c r="I403" i="4"/>
  <c r="H403" i="4"/>
  <c r="J403" i="4" s="1"/>
  <c r="C403" i="4"/>
  <c r="B403" i="4"/>
  <c r="L402" i="4"/>
  <c r="I402" i="4"/>
  <c r="H402" i="4"/>
  <c r="J402" i="4" s="1"/>
  <c r="C402" i="4"/>
  <c r="B402" i="4"/>
  <c r="L401" i="4"/>
  <c r="I401" i="4"/>
  <c r="H401" i="4"/>
  <c r="J401" i="4" s="1"/>
  <c r="C401" i="4"/>
  <c r="B401" i="4"/>
  <c r="L400" i="4"/>
  <c r="I400" i="4"/>
  <c r="H400" i="4"/>
  <c r="J400" i="4" s="1"/>
  <c r="C400" i="4"/>
  <c r="B400" i="4"/>
  <c r="L399" i="4"/>
  <c r="I399" i="4"/>
  <c r="C399" i="4"/>
  <c r="H399" i="4" s="1"/>
  <c r="J399" i="4" s="1"/>
  <c r="B399" i="4"/>
  <c r="L398" i="4"/>
  <c r="I398" i="4"/>
  <c r="H398" i="4"/>
  <c r="J398" i="4" s="1"/>
  <c r="C398" i="4"/>
  <c r="B398" i="4"/>
  <c r="L397" i="4"/>
  <c r="I397" i="4"/>
  <c r="H397" i="4"/>
  <c r="J397" i="4" s="1"/>
  <c r="C397" i="4"/>
  <c r="B397" i="4"/>
  <c r="L396" i="4"/>
  <c r="I396" i="4"/>
  <c r="H396" i="4"/>
  <c r="J396" i="4" s="1"/>
  <c r="C396" i="4"/>
  <c r="B396" i="4"/>
  <c r="L395" i="4"/>
  <c r="I395" i="4"/>
  <c r="H395" i="4"/>
  <c r="J395" i="4" s="1"/>
  <c r="C395" i="4"/>
  <c r="B395" i="4"/>
  <c r="L394" i="4"/>
  <c r="I394" i="4"/>
  <c r="H394" i="4"/>
  <c r="J394" i="4" s="1"/>
  <c r="C394" i="4"/>
  <c r="B394" i="4"/>
  <c r="L393" i="4"/>
  <c r="I393" i="4"/>
  <c r="H393" i="4"/>
  <c r="J393" i="4" s="1"/>
  <c r="C393" i="4"/>
  <c r="B393" i="4"/>
  <c r="L392" i="4"/>
  <c r="I392" i="4"/>
  <c r="H392" i="4"/>
  <c r="J392" i="4" s="1"/>
  <c r="C392" i="4"/>
  <c r="B392" i="4"/>
  <c r="L391" i="4"/>
  <c r="I391" i="4"/>
  <c r="H391" i="4"/>
  <c r="J391" i="4" s="1"/>
  <c r="C391" i="4"/>
  <c r="B391" i="4"/>
  <c r="L390" i="4"/>
  <c r="I390" i="4"/>
  <c r="H390" i="4"/>
  <c r="J390" i="4" s="1"/>
  <c r="C390" i="4"/>
  <c r="B390" i="4"/>
  <c r="L389" i="4"/>
  <c r="I389" i="4"/>
  <c r="H389" i="4"/>
  <c r="J389" i="4" s="1"/>
  <c r="C389" i="4"/>
  <c r="B389" i="4"/>
  <c r="L388" i="4"/>
  <c r="I388" i="4"/>
  <c r="H388" i="4"/>
  <c r="J388" i="4" s="1"/>
  <c r="C388" i="4"/>
  <c r="B388" i="4"/>
  <c r="L387" i="4"/>
  <c r="I387" i="4"/>
  <c r="C387" i="4"/>
  <c r="H387" i="4" s="1"/>
  <c r="J387" i="4" s="1"/>
  <c r="B387" i="4"/>
  <c r="L386" i="4"/>
  <c r="I386" i="4"/>
  <c r="H386" i="4"/>
  <c r="J386" i="4" s="1"/>
  <c r="C386" i="4"/>
  <c r="B386" i="4"/>
  <c r="L385" i="4"/>
  <c r="I385" i="4"/>
  <c r="H385" i="4"/>
  <c r="J385" i="4" s="1"/>
  <c r="C385" i="4"/>
  <c r="B385" i="4"/>
  <c r="L384" i="4"/>
  <c r="I384" i="4"/>
  <c r="H384" i="4"/>
  <c r="J384" i="4" s="1"/>
  <c r="C384" i="4"/>
  <c r="B384" i="4"/>
  <c r="L383" i="4"/>
  <c r="I383" i="4"/>
  <c r="H383" i="4"/>
  <c r="J383" i="4" s="1"/>
  <c r="C383" i="4"/>
  <c r="B383" i="4"/>
  <c r="L382" i="4"/>
  <c r="I382" i="4"/>
  <c r="H382" i="4"/>
  <c r="J382" i="4" s="1"/>
  <c r="C382" i="4"/>
  <c r="B382" i="4"/>
  <c r="L381" i="4"/>
  <c r="I381" i="4"/>
  <c r="H381" i="4"/>
  <c r="J381" i="4" s="1"/>
  <c r="C381" i="4"/>
  <c r="B381" i="4"/>
  <c r="L380" i="4"/>
  <c r="I380" i="4"/>
  <c r="H380" i="4"/>
  <c r="J380" i="4" s="1"/>
  <c r="C380" i="4"/>
  <c r="B380" i="4"/>
  <c r="L379" i="4"/>
  <c r="I379" i="4"/>
  <c r="H379" i="4"/>
  <c r="J379" i="4" s="1"/>
  <c r="C379" i="4"/>
  <c r="B379" i="4"/>
  <c r="L378" i="4"/>
  <c r="I378" i="4"/>
  <c r="H378" i="4"/>
  <c r="J378" i="4" s="1"/>
  <c r="C378" i="4"/>
  <c r="B378" i="4"/>
  <c r="L377" i="4"/>
  <c r="I377" i="4"/>
  <c r="H377" i="4"/>
  <c r="J377" i="4" s="1"/>
  <c r="C377" i="4"/>
  <c r="B377" i="4"/>
  <c r="L376" i="4"/>
  <c r="I376" i="4"/>
  <c r="H376" i="4"/>
  <c r="J376" i="4" s="1"/>
  <c r="C376" i="4"/>
  <c r="B376" i="4"/>
  <c r="L375" i="4"/>
  <c r="I375" i="4"/>
  <c r="C375" i="4"/>
  <c r="H375" i="4" s="1"/>
  <c r="J375" i="4" s="1"/>
  <c r="B375" i="4"/>
  <c r="L374" i="4"/>
  <c r="I374" i="4"/>
  <c r="H374" i="4"/>
  <c r="J374" i="4" s="1"/>
  <c r="C374" i="4"/>
  <c r="B374" i="4"/>
  <c r="L373" i="4"/>
  <c r="I373" i="4"/>
  <c r="H373" i="4"/>
  <c r="J373" i="4" s="1"/>
  <c r="C373" i="4"/>
  <c r="B373" i="4"/>
  <c r="L372" i="4"/>
  <c r="I372" i="4"/>
  <c r="H372" i="4"/>
  <c r="J372" i="4" s="1"/>
  <c r="C372" i="4"/>
  <c r="B372" i="4"/>
  <c r="L371" i="4"/>
  <c r="I371" i="4"/>
  <c r="H371" i="4"/>
  <c r="J371" i="4" s="1"/>
  <c r="C371" i="4"/>
  <c r="B371" i="4"/>
  <c r="L370" i="4"/>
  <c r="I370" i="4"/>
  <c r="H370" i="4"/>
  <c r="J370" i="4" s="1"/>
  <c r="C370" i="4"/>
  <c r="B370" i="4"/>
  <c r="L369" i="4"/>
  <c r="I369" i="4"/>
  <c r="H369" i="4"/>
  <c r="J369" i="4" s="1"/>
  <c r="C369" i="4"/>
  <c r="B369" i="4"/>
  <c r="L368" i="4"/>
  <c r="I368" i="4"/>
  <c r="H368" i="4"/>
  <c r="J368" i="4" s="1"/>
  <c r="C368" i="4"/>
  <c r="B368" i="4"/>
  <c r="L367" i="4"/>
  <c r="I367" i="4"/>
  <c r="H367" i="4"/>
  <c r="J367" i="4" s="1"/>
  <c r="C367" i="4"/>
  <c r="B367" i="4"/>
  <c r="L366" i="4"/>
  <c r="I366" i="4"/>
  <c r="H366" i="4"/>
  <c r="J366" i="4" s="1"/>
  <c r="C366" i="4"/>
  <c r="B366" i="4"/>
  <c r="L365" i="4"/>
  <c r="I365" i="4"/>
  <c r="H365" i="4"/>
  <c r="J365" i="4" s="1"/>
  <c r="C365" i="4"/>
  <c r="B365" i="4"/>
  <c r="L364" i="4"/>
  <c r="I364" i="4"/>
  <c r="H364" i="4"/>
  <c r="J364" i="4" s="1"/>
  <c r="C364" i="4"/>
  <c r="B364" i="4"/>
  <c r="L363" i="4"/>
  <c r="I363" i="4"/>
  <c r="C363" i="4"/>
  <c r="H363" i="4" s="1"/>
  <c r="J363" i="4" s="1"/>
  <c r="B363" i="4"/>
  <c r="L362" i="4"/>
  <c r="I362" i="4"/>
  <c r="H362" i="4"/>
  <c r="J362" i="4" s="1"/>
  <c r="C362" i="4"/>
  <c r="B362" i="4"/>
  <c r="L361" i="4"/>
  <c r="I361" i="4"/>
  <c r="H361" i="4"/>
  <c r="J361" i="4" s="1"/>
  <c r="C361" i="4"/>
  <c r="B361" i="4"/>
  <c r="L360" i="4"/>
  <c r="I360" i="4"/>
  <c r="H360" i="4"/>
  <c r="J360" i="4" s="1"/>
  <c r="C360" i="4"/>
  <c r="B360" i="4"/>
  <c r="L359" i="4"/>
  <c r="I359" i="4"/>
  <c r="H359" i="4"/>
  <c r="J359" i="4" s="1"/>
  <c r="C359" i="4"/>
  <c r="B359" i="4"/>
  <c r="L358" i="4"/>
  <c r="I358" i="4"/>
  <c r="H358" i="4"/>
  <c r="J358" i="4" s="1"/>
  <c r="C358" i="4"/>
  <c r="B358" i="4"/>
  <c r="L357" i="4"/>
  <c r="I357" i="4"/>
  <c r="H357" i="4"/>
  <c r="J357" i="4" s="1"/>
  <c r="C357" i="4"/>
  <c r="B357" i="4"/>
  <c r="L356" i="4"/>
  <c r="I356" i="4"/>
  <c r="H356" i="4"/>
  <c r="J356" i="4" s="1"/>
  <c r="C356" i="4"/>
  <c r="B356" i="4"/>
  <c r="L355" i="4"/>
  <c r="I355" i="4"/>
  <c r="H355" i="4"/>
  <c r="J355" i="4" s="1"/>
  <c r="C355" i="4"/>
  <c r="B355" i="4"/>
  <c r="L354" i="4"/>
  <c r="I354" i="4"/>
  <c r="H354" i="4"/>
  <c r="J354" i="4" s="1"/>
  <c r="C354" i="4"/>
  <c r="B354" i="4"/>
  <c r="L353" i="4"/>
  <c r="I353" i="4"/>
  <c r="H353" i="4"/>
  <c r="J353" i="4" s="1"/>
  <c r="C353" i="4"/>
  <c r="B353" i="4"/>
  <c r="L352" i="4"/>
  <c r="I352" i="4"/>
  <c r="H352" i="4"/>
  <c r="J352" i="4" s="1"/>
  <c r="C352" i="4"/>
  <c r="B352" i="4"/>
  <c r="L351" i="4"/>
  <c r="I351" i="4"/>
  <c r="C351" i="4"/>
  <c r="H351" i="4" s="1"/>
  <c r="J351" i="4" s="1"/>
  <c r="B351" i="4"/>
  <c r="L350" i="4"/>
  <c r="I350" i="4"/>
  <c r="H350" i="4"/>
  <c r="J350" i="4" s="1"/>
  <c r="C350" i="4"/>
  <c r="B350" i="4"/>
  <c r="L349" i="4"/>
  <c r="I349" i="4"/>
  <c r="H349" i="4"/>
  <c r="J349" i="4" s="1"/>
  <c r="C349" i="4"/>
  <c r="B349" i="4"/>
  <c r="L348" i="4"/>
  <c r="I348" i="4"/>
  <c r="H348" i="4"/>
  <c r="J348" i="4" s="1"/>
  <c r="C348" i="4"/>
  <c r="B348" i="4"/>
  <c r="L347" i="4"/>
  <c r="I347" i="4"/>
  <c r="H347" i="4"/>
  <c r="J347" i="4" s="1"/>
  <c r="C347" i="4"/>
  <c r="B347" i="4"/>
  <c r="L346" i="4"/>
  <c r="I346" i="4"/>
  <c r="H346" i="4"/>
  <c r="J346" i="4" s="1"/>
  <c r="C346" i="4"/>
  <c r="B346" i="4"/>
  <c r="L345" i="4"/>
  <c r="I345" i="4"/>
  <c r="H345" i="4"/>
  <c r="J345" i="4" s="1"/>
  <c r="C345" i="4"/>
  <c r="B345" i="4"/>
  <c r="L344" i="4"/>
  <c r="I344" i="4"/>
  <c r="H344" i="4"/>
  <c r="J344" i="4" s="1"/>
  <c r="C344" i="4"/>
  <c r="B344" i="4"/>
  <c r="L343" i="4"/>
  <c r="I343" i="4"/>
  <c r="H343" i="4"/>
  <c r="J343" i="4" s="1"/>
  <c r="C343" i="4"/>
  <c r="B343" i="4"/>
  <c r="L342" i="4"/>
  <c r="I342" i="4"/>
  <c r="H342" i="4"/>
  <c r="J342" i="4" s="1"/>
  <c r="C342" i="4"/>
  <c r="B342" i="4"/>
  <c r="L341" i="4"/>
  <c r="I341" i="4"/>
  <c r="H341" i="4"/>
  <c r="J341" i="4" s="1"/>
  <c r="C341" i="4"/>
  <c r="B341" i="4"/>
  <c r="L340" i="4"/>
  <c r="I340" i="4"/>
  <c r="H340" i="4"/>
  <c r="J340" i="4" s="1"/>
  <c r="C340" i="4"/>
  <c r="B340" i="4"/>
  <c r="L339" i="4"/>
  <c r="I339" i="4"/>
  <c r="C339" i="4"/>
  <c r="H339" i="4" s="1"/>
  <c r="J339" i="4" s="1"/>
  <c r="B339" i="4"/>
  <c r="L338" i="4"/>
  <c r="I338" i="4"/>
  <c r="H338" i="4"/>
  <c r="J338" i="4" s="1"/>
  <c r="C338" i="4"/>
  <c r="B338" i="4"/>
  <c r="L337" i="4"/>
  <c r="I337" i="4"/>
  <c r="H337" i="4"/>
  <c r="J337" i="4" s="1"/>
  <c r="C337" i="4"/>
  <c r="B337" i="4"/>
  <c r="L336" i="4"/>
  <c r="I336" i="4"/>
  <c r="H336" i="4"/>
  <c r="J336" i="4" s="1"/>
  <c r="C336" i="4"/>
  <c r="B336" i="4"/>
  <c r="L335" i="4"/>
  <c r="I335" i="4"/>
  <c r="H335" i="4"/>
  <c r="J335" i="4" s="1"/>
  <c r="C335" i="4"/>
  <c r="B335" i="4"/>
  <c r="L334" i="4"/>
  <c r="I334" i="4"/>
  <c r="H334" i="4"/>
  <c r="J334" i="4" s="1"/>
  <c r="C334" i="4"/>
  <c r="B334" i="4"/>
  <c r="L333" i="4"/>
  <c r="I333" i="4"/>
  <c r="H333" i="4"/>
  <c r="J333" i="4" s="1"/>
  <c r="C333" i="4"/>
  <c r="B333" i="4"/>
  <c r="L332" i="4"/>
  <c r="I332" i="4"/>
  <c r="H332" i="4"/>
  <c r="J332" i="4" s="1"/>
  <c r="C332" i="4"/>
  <c r="B332" i="4"/>
  <c r="L331" i="4"/>
  <c r="I331" i="4"/>
  <c r="H331" i="4"/>
  <c r="J331" i="4" s="1"/>
  <c r="C331" i="4"/>
  <c r="B331" i="4"/>
  <c r="L330" i="4"/>
  <c r="I330" i="4"/>
  <c r="H330" i="4"/>
  <c r="J330" i="4" s="1"/>
  <c r="C330" i="4"/>
  <c r="B330" i="4"/>
  <c r="L329" i="4"/>
  <c r="I329" i="4"/>
  <c r="H329" i="4"/>
  <c r="J329" i="4" s="1"/>
  <c r="C329" i="4"/>
  <c r="B329" i="4"/>
  <c r="L328" i="4"/>
  <c r="I328" i="4"/>
  <c r="H328" i="4"/>
  <c r="J328" i="4" s="1"/>
  <c r="C328" i="4"/>
  <c r="B328" i="4"/>
  <c r="L327" i="4"/>
  <c r="I327" i="4"/>
  <c r="C327" i="4"/>
  <c r="H327" i="4" s="1"/>
  <c r="J327" i="4" s="1"/>
  <c r="B327" i="4"/>
  <c r="L326" i="4"/>
  <c r="I326" i="4"/>
  <c r="H326" i="4"/>
  <c r="J326" i="4" s="1"/>
  <c r="C326" i="4"/>
  <c r="B326" i="4"/>
  <c r="L325" i="4"/>
  <c r="I325" i="4"/>
  <c r="H325" i="4"/>
  <c r="J325" i="4" s="1"/>
  <c r="C325" i="4"/>
  <c r="B325" i="4"/>
  <c r="L324" i="4"/>
  <c r="I324" i="4"/>
  <c r="H324" i="4"/>
  <c r="J324" i="4" s="1"/>
  <c r="C324" i="4"/>
  <c r="B324" i="4"/>
  <c r="L323" i="4"/>
  <c r="I323" i="4"/>
  <c r="H323" i="4"/>
  <c r="J323" i="4" s="1"/>
  <c r="C323" i="4"/>
  <c r="B323" i="4"/>
  <c r="L322" i="4"/>
  <c r="I322" i="4"/>
  <c r="H322" i="4"/>
  <c r="J322" i="4" s="1"/>
  <c r="C322" i="4"/>
  <c r="B322" i="4"/>
  <c r="L321" i="4"/>
  <c r="I321" i="4"/>
  <c r="H321" i="4"/>
  <c r="J321" i="4" s="1"/>
  <c r="C321" i="4"/>
  <c r="B321" i="4"/>
  <c r="L320" i="4"/>
  <c r="I320" i="4"/>
  <c r="H320" i="4"/>
  <c r="J320" i="4" s="1"/>
  <c r="C320" i="4"/>
  <c r="B320" i="4"/>
  <c r="L319" i="4"/>
  <c r="I319" i="4"/>
  <c r="H319" i="4"/>
  <c r="J319" i="4" s="1"/>
  <c r="C319" i="4"/>
  <c r="B319" i="4"/>
  <c r="L318" i="4"/>
  <c r="I318" i="4"/>
  <c r="H318" i="4"/>
  <c r="J318" i="4" s="1"/>
  <c r="C318" i="4"/>
  <c r="B318" i="4"/>
  <c r="L317" i="4"/>
  <c r="I317" i="4"/>
  <c r="H317" i="4"/>
  <c r="J317" i="4" s="1"/>
  <c r="C317" i="4"/>
  <c r="B317" i="4"/>
  <c r="L316" i="4"/>
  <c r="I316" i="4"/>
  <c r="H316" i="4"/>
  <c r="J316" i="4" s="1"/>
  <c r="C316" i="4"/>
  <c r="B316" i="4"/>
  <c r="L315" i="4"/>
  <c r="I315" i="4"/>
  <c r="C315" i="4"/>
  <c r="H315" i="4" s="1"/>
  <c r="J315" i="4" s="1"/>
  <c r="B315" i="4"/>
  <c r="L314" i="4"/>
  <c r="I314" i="4"/>
  <c r="H314" i="4"/>
  <c r="J314" i="4" s="1"/>
  <c r="C314" i="4"/>
  <c r="B314" i="4"/>
  <c r="L313" i="4"/>
  <c r="I313" i="4"/>
  <c r="H313" i="4"/>
  <c r="J313" i="4" s="1"/>
  <c r="C313" i="4"/>
  <c r="B313" i="4"/>
  <c r="L312" i="4"/>
  <c r="I312" i="4"/>
  <c r="H312" i="4"/>
  <c r="J312" i="4" s="1"/>
  <c r="C312" i="4"/>
  <c r="B312" i="4"/>
  <c r="L311" i="4"/>
  <c r="I311" i="4"/>
  <c r="H311" i="4"/>
  <c r="J311" i="4" s="1"/>
  <c r="C311" i="4"/>
  <c r="B311" i="4"/>
  <c r="L310" i="4"/>
  <c r="I310" i="4"/>
  <c r="H310" i="4"/>
  <c r="J310" i="4" s="1"/>
  <c r="C310" i="4"/>
  <c r="B310" i="4"/>
  <c r="L309" i="4"/>
  <c r="I309" i="4"/>
  <c r="H309" i="4"/>
  <c r="J309" i="4" s="1"/>
  <c r="C309" i="4"/>
  <c r="B309" i="4"/>
  <c r="L308" i="4"/>
  <c r="I308" i="4"/>
  <c r="H308" i="4"/>
  <c r="J308" i="4" s="1"/>
  <c r="C308" i="4"/>
  <c r="B308" i="4"/>
  <c r="L307" i="4"/>
  <c r="I307" i="4"/>
  <c r="H307" i="4"/>
  <c r="J307" i="4" s="1"/>
  <c r="C307" i="4"/>
  <c r="B307" i="4"/>
  <c r="L306" i="4"/>
  <c r="I306" i="4"/>
  <c r="H306" i="4"/>
  <c r="J306" i="4" s="1"/>
  <c r="C306" i="4"/>
  <c r="B306" i="4"/>
  <c r="L305" i="4"/>
  <c r="I305" i="4"/>
  <c r="H305" i="4"/>
  <c r="J305" i="4" s="1"/>
  <c r="C305" i="4"/>
  <c r="B305" i="4"/>
  <c r="L304" i="4"/>
  <c r="I304" i="4"/>
  <c r="H304" i="4"/>
  <c r="J304" i="4" s="1"/>
  <c r="C304" i="4"/>
  <c r="B304" i="4"/>
  <c r="L303" i="4"/>
  <c r="I303" i="4"/>
  <c r="C303" i="4"/>
  <c r="H303" i="4" s="1"/>
  <c r="J303" i="4" s="1"/>
  <c r="B303" i="4"/>
  <c r="L302" i="4"/>
  <c r="I302" i="4"/>
  <c r="H302" i="4"/>
  <c r="J302" i="4" s="1"/>
  <c r="C302" i="4"/>
  <c r="B302" i="4"/>
  <c r="L301" i="4"/>
  <c r="I301" i="4"/>
  <c r="H301" i="4"/>
  <c r="J301" i="4" s="1"/>
  <c r="C301" i="4"/>
  <c r="B301" i="4"/>
  <c r="L300" i="4"/>
  <c r="I300" i="4"/>
  <c r="H300" i="4"/>
  <c r="J300" i="4" s="1"/>
  <c r="C300" i="4"/>
  <c r="B300" i="4"/>
  <c r="L299" i="4"/>
  <c r="I299" i="4"/>
  <c r="H299" i="4"/>
  <c r="J299" i="4" s="1"/>
  <c r="C299" i="4"/>
  <c r="B299" i="4"/>
  <c r="L298" i="4"/>
  <c r="I298" i="4"/>
  <c r="H298" i="4"/>
  <c r="J298" i="4" s="1"/>
  <c r="C298" i="4"/>
  <c r="B298" i="4"/>
  <c r="L297" i="4"/>
  <c r="I297" i="4"/>
  <c r="H297" i="4"/>
  <c r="J297" i="4" s="1"/>
  <c r="C297" i="4"/>
  <c r="B297" i="4"/>
  <c r="L296" i="4"/>
  <c r="I296" i="4"/>
  <c r="H296" i="4"/>
  <c r="J296" i="4" s="1"/>
  <c r="C296" i="4"/>
  <c r="B296" i="4"/>
  <c r="L295" i="4"/>
  <c r="I295" i="4"/>
  <c r="H295" i="4"/>
  <c r="J295" i="4" s="1"/>
  <c r="C295" i="4"/>
  <c r="B295" i="4"/>
  <c r="L294" i="4"/>
  <c r="I294" i="4"/>
  <c r="H294" i="4"/>
  <c r="J294" i="4" s="1"/>
  <c r="C294" i="4"/>
  <c r="B294" i="4"/>
  <c r="L293" i="4"/>
  <c r="I293" i="4"/>
  <c r="H293" i="4"/>
  <c r="J293" i="4" s="1"/>
  <c r="C293" i="4"/>
  <c r="B293" i="4"/>
  <c r="L292" i="4"/>
  <c r="I292" i="4"/>
  <c r="H292" i="4"/>
  <c r="J292" i="4" s="1"/>
  <c r="C292" i="4"/>
  <c r="B292" i="4"/>
  <c r="L291" i="4"/>
  <c r="C291" i="4"/>
  <c r="B291" i="4"/>
  <c r="L290" i="4"/>
  <c r="H290" i="4"/>
  <c r="C290" i="4"/>
  <c r="B290" i="4"/>
  <c r="L289" i="4"/>
  <c r="H289" i="4"/>
  <c r="C289" i="4"/>
  <c r="B289" i="4"/>
  <c r="L288" i="4"/>
  <c r="H288" i="4"/>
  <c r="C288" i="4"/>
  <c r="B288" i="4"/>
  <c r="L287" i="4"/>
  <c r="H287" i="4"/>
  <c r="C287" i="4"/>
  <c r="B287" i="4"/>
  <c r="L286" i="4"/>
  <c r="H286" i="4"/>
  <c r="C286" i="4"/>
  <c r="B286" i="4"/>
  <c r="L285" i="4"/>
  <c r="H285" i="4"/>
  <c r="C285" i="4"/>
  <c r="B285" i="4"/>
  <c r="L284" i="4"/>
  <c r="H284" i="4"/>
  <c r="C284" i="4"/>
  <c r="B284" i="4"/>
  <c r="L283" i="4"/>
  <c r="H283" i="4"/>
  <c r="C283" i="4"/>
  <c r="B283" i="4"/>
  <c r="L282" i="4"/>
  <c r="H282" i="4"/>
  <c r="C282" i="4"/>
  <c r="B282" i="4"/>
  <c r="L281" i="4"/>
  <c r="H281" i="4"/>
  <c r="C281" i="4"/>
  <c r="B281" i="4"/>
  <c r="L280" i="4"/>
  <c r="H280" i="4"/>
  <c r="C280" i="4"/>
  <c r="B280" i="4"/>
  <c r="L279" i="4"/>
  <c r="C279" i="4"/>
  <c r="B279" i="4"/>
  <c r="L278" i="4"/>
  <c r="H278" i="4"/>
  <c r="C278" i="4"/>
  <c r="B278" i="4"/>
  <c r="L277" i="4"/>
  <c r="H277" i="4"/>
  <c r="C277" i="4"/>
  <c r="B277" i="4"/>
  <c r="L276" i="4"/>
  <c r="H276" i="4"/>
  <c r="C276" i="4"/>
  <c r="B276" i="4"/>
  <c r="L275" i="4"/>
  <c r="H275" i="4"/>
  <c r="C275" i="4"/>
  <c r="B275" i="4"/>
  <c r="L274" i="4"/>
  <c r="H274" i="4"/>
  <c r="C274" i="4"/>
  <c r="B274" i="4"/>
  <c r="L273" i="4"/>
  <c r="H273" i="4"/>
  <c r="C273" i="4"/>
  <c r="B273" i="4"/>
  <c r="L272" i="4"/>
  <c r="H272" i="4"/>
  <c r="C272" i="4"/>
  <c r="B272" i="4"/>
  <c r="L271" i="4"/>
  <c r="H271" i="4"/>
  <c r="C271" i="4"/>
  <c r="B271" i="4"/>
  <c r="L270" i="4"/>
  <c r="H270" i="4"/>
  <c r="C270" i="4"/>
  <c r="B270" i="4"/>
  <c r="L269" i="4"/>
  <c r="H269" i="4"/>
  <c r="C269" i="4"/>
  <c r="B269" i="4"/>
  <c r="L268" i="4"/>
  <c r="H268" i="4"/>
  <c r="C268" i="4"/>
  <c r="B268" i="4"/>
  <c r="L267" i="4"/>
  <c r="C267" i="4"/>
  <c r="B267" i="4"/>
  <c r="L266" i="4"/>
  <c r="H266" i="4"/>
  <c r="C266" i="4"/>
  <c r="B266" i="4"/>
  <c r="L265" i="4"/>
  <c r="H265" i="4"/>
  <c r="C265" i="4"/>
  <c r="B265" i="4"/>
  <c r="L264" i="4"/>
  <c r="H264" i="4"/>
  <c r="C264" i="4"/>
  <c r="B264" i="4"/>
  <c r="L263" i="4"/>
  <c r="H263" i="4"/>
  <c r="C263" i="4"/>
  <c r="B263" i="4"/>
  <c r="L262" i="4"/>
  <c r="H262" i="4"/>
  <c r="C262" i="4"/>
  <c r="B262" i="4"/>
  <c r="L261" i="4"/>
  <c r="H261" i="4"/>
  <c r="C261" i="4"/>
  <c r="B261" i="4"/>
  <c r="L260" i="4"/>
  <c r="H260" i="4"/>
  <c r="C260" i="4"/>
  <c r="B260" i="4"/>
  <c r="L259" i="4"/>
  <c r="H259" i="4"/>
  <c r="C259" i="4"/>
  <c r="B259" i="4"/>
  <c r="L258" i="4"/>
  <c r="H258" i="4"/>
  <c r="C258" i="4"/>
  <c r="B258" i="4"/>
  <c r="L257" i="4"/>
  <c r="H257" i="4"/>
  <c r="C257" i="4"/>
  <c r="B257" i="4"/>
  <c r="L256" i="4"/>
  <c r="H256" i="4"/>
  <c r="C256" i="4"/>
  <c r="B256" i="4"/>
  <c r="L255" i="4"/>
  <c r="C255" i="4"/>
  <c r="B255" i="4"/>
  <c r="L254" i="4"/>
  <c r="H254" i="4"/>
  <c r="C254" i="4"/>
  <c r="B254" i="4"/>
  <c r="L253" i="4"/>
  <c r="H253" i="4"/>
  <c r="C253" i="4"/>
  <c r="B253" i="4"/>
  <c r="L252" i="4"/>
  <c r="H252" i="4"/>
  <c r="C252" i="4"/>
  <c r="B252" i="4"/>
  <c r="L251" i="4"/>
  <c r="H251" i="4"/>
  <c r="C251" i="4"/>
  <c r="B251" i="4"/>
  <c r="L250" i="4"/>
  <c r="H250" i="4"/>
  <c r="C250" i="4"/>
  <c r="B250" i="4"/>
  <c r="L249" i="4"/>
  <c r="H249" i="4"/>
  <c r="C249" i="4"/>
  <c r="B249" i="4"/>
  <c r="L248" i="4"/>
  <c r="H248" i="4"/>
  <c r="C248" i="4"/>
  <c r="B248" i="4"/>
  <c r="L247" i="4"/>
  <c r="H247" i="4"/>
  <c r="C247" i="4"/>
  <c r="B247" i="4"/>
  <c r="L246" i="4"/>
  <c r="H246" i="4"/>
  <c r="C246" i="4"/>
  <c r="B246" i="4"/>
  <c r="L245" i="4"/>
  <c r="H245" i="4"/>
  <c r="C245" i="4"/>
  <c r="B245" i="4"/>
  <c r="L244" i="4"/>
  <c r="H244" i="4"/>
  <c r="C244" i="4"/>
  <c r="B244" i="4"/>
  <c r="L243" i="4"/>
  <c r="C243" i="4"/>
  <c r="B243" i="4"/>
  <c r="L242" i="4"/>
  <c r="H242" i="4"/>
  <c r="C242" i="4"/>
  <c r="B242" i="4"/>
  <c r="L241" i="4"/>
  <c r="H241" i="4"/>
  <c r="C241" i="4"/>
  <c r="B241" i="4"/>
  <c r="L240" i="4"/>
  <c r="H240" i="4"/>
  <c r="C240" i="4"/>
  <c r="B240" i="4"/>
  <c r="L239" i="4"/>
  <c r="H239" i="4"/>
  <c r="C239" i="4"/>
  <c r="B239" i="4"/>
  <c r="L238" i="4"/>
  <c r="H238" i="4"/>
  <c r="C238" i="4"/>
  <c r="B238" i="4"/>
  <c r="L237" i="4"/>
  <c r="H237" i="4"/>
  <c r="C237" i="4"/>
  <c r="B237" i="4"/>
  <c r="L236" i="4"/>
  <c r="H236" i="4"/>
  <c r="C236" i="4"/>
  <c r="B236" i="4"/>
  <c r="L235" i="4"/>
  <c r="H235" i="4"/>
  <c r="C235" i="4"/>
  <c r="B235" i="4"/>
  <c r="L234" i="4"/>
  <c r="H234" i="4"/>
  <c r="C234" i="4"/>
  <c r="B234" i="4"/>
  <c r="L233" i="4"/>
  <c r="H233" i="4"/>
  <c r="C233" i="4"/>
  <c r="B233" i="4"/>
  <c r="L232" i="4"/>
  <c r="H232" i="4"/>
  <c r="C232" i="4"/>
  <c r="B232" i="4"/>
  <c r="L231" i="4"/>
  <c r="C231" i="4"/>
  <c r="B231" i="4"/>
  <c r="L230" i="4"/>
  <c r="H230" i="4"/>
  <c r="C230" i="4"/>
  <c r="B230" i="4"/>
  <c r="L229" i="4"/>
  <c r="H229" i="4"/>
  <c r="C229" i="4"/>
  <c r="B229" i="4"/>
  <c r="L228" i="4"/>
  <c r="H228" i="4"/>
  <c r="C228" i="4"/>
  <c r="B228" i="4"/>
  <c r="L227" i="4"/>
  <c r="H227" i="4"/>
  <c r="C227" i="4"/>
  <c r="B227" i="4"/>
  <c r="L226" i="4"/>
  <c r="H226" i="4"/>
  <c r="C226" i="4"/>
  <c r="B226" i="4"/>
  <c r="L225" i="4"/>
  <c r="H225" i="4"/>
  <c r="C225" i="4"/>
  <c r="B225" i="4"/>
  <c r="L224" i="4"/>
  <c r="H224" i="4"/>
  <c r="C224" i="4"/>
  <c r="B224" i="4"/>
  <c r="L223" i="4"/>
  <c r="H223" i="4"/>
  <c r="C223" i="4"/>
  <c r="B223" i="4"/>
  <c r="L222" i="4"/>
  <c r="H222" i="4"/>
  <c r="C222" i="4"/>
  <c r="B222" i="4"/>
  <c r="L221" i="4"/>
  <c r="H221" i="4"/>
  <c r="C221" i="4"/>
  <c r="B221" i="4"/>
  <c r="L220" i="4"/>
  <c r="H220" i="4"/>
  <c r="C220" i="4"/>
  <c r="B220" i="4"/>
  <c r="L219" i="4"/>
  <c r="C219" i="4"/>
  <c r="B219" i="4"/>
  <c r="L218" i="4"/>
  <c r="H218" i="4"/>
  <c r="C218" i="4"/>
  <c r="B218" i="4"/>
  <c r="L217" i="4"/>
  <c r="H217" i="4"/>
  <c r="C217" i="4"/>
  <c r="B217" i="4"/>
  <c r="L216" i="4"/>
  <c r="H216" i="4"/>
  <c r="C216" i="4"/>
  <c r="B216" i="4"/>
  <c r="L215" i="4"/>
  <c r="H215" i="4"/>
  <c r="C215" i="4"/>
  <c r="B215" i="4"/>
  <c r="L214" i="4"/>
  <c r="H214" i="4"/>
  <c r="C214" i="4"/>
  <c r="B214" i="4"/>
  <c r="L213" i="4"/>
  <c r="H213" i="4"/>
  <c r="C213" i="4"/>
  <c r="B213" i="4"/>
  <c r="L212" i="4"/>
  <c r="H212" i="4"/>
  <c r="C212" i="4"/>
  <c r="B212" i="4"/>
  <c r="L211" i="4"/>
  <c r="H211" i="4"/>
  <c r="C211" i="4"/>
  <c r="B211" i="4"/>
  <c r="L210" i="4"/>
  <c r="H210" i="4"/>
  <c r="C210" i="4"/>
  <c r="B210" i="4"/>
  <c r="L209" i="4"/>
  <c r="H209" i="4"/>
  <c r="C209" i="4"/>
  <c r="B209" i="4"/>
  <c r="L208" i="4"/>
  <c r="H208" i="4"/>
  <c r="C208" i="4"/>
  <c r="B208" i="4"/>
  <c r="L207" i="4"/>
  <c r="C207" i="4"/>
  <c r="B207" i="4"/>
  <c r="L206" i="4"/>
  <c r="H206" i="4"/>
  <c r="C206" i="4"/>
  <c r="B206" i="4"/>
  <c r="L205" i="4"/>
  <c r="H205" i="4"/>
  <c r="C205" i="4"/>
  <c r="B205" i="4"/>
  <c r="L204" i="4"/>
  <c r="H204" i="4"/>
  <c r="C204" i="4"/>
  <c r="B204" i="4"/>
  <c r="L203" i="4"/>
  <c r="H203" i="4"/>
  <c r="C203" i="4"/>
  <c r="B203" i="4"/>
  <c r="L202" i="4"/>
  <c r="H202" i="4"/>
  <c r="C202" i="4"/>
  <c r="B202" i="4"/>
  <c r="L201" i="4"/>
  <c r="H201" i="4"/>
  <c r="C201" i="4"/>
  <c r="B201" i="4"/>
  <c r="L200" i="4"/>
  <c r="H200" i="4"/>
  <c r="C200" i="4"/>
  <c r="B200" i="4"/>
  <c r="L199" i="4"/>
  <c r="H199" i="4"/>
  <c r="C199" i="4"/>
  <c r="B199" i="4"/>
  <c r="L198" i="4"/>
  <c r="H198" i="4"/>
  <c r="C198" i="4"/>
  <c r="B198" i="4"/>
  <c r="L197" i="4"/>
  <c r="H197" i="4"/>
  <c r="C197" i="4"/>
  <c r="B197" i="4"/>
  <c r="L196" i="4"/>
  <c r="H196" i="4"/>
  <c r="C196" i="4"/>
  <c r="B196" i="4"/>
  <c r="L195" i="4"/>
  <c r="C195" i="4"/>
  <c r="B195" i="4"/>
  <c r="L194" i="4"/>
  <c r="H194" i="4"/>
  <c r="C194" i="4"/>
  <c r="B194" i="4"/>
  <c r="L193" i="4"/>
  <c r="H193" i="4"/>
  <c r="C193" i="4"/>
  <c r="B193" i="4"/>
  <c r="L192" i="4"/>
  <c r="H192" i="4"/>
  <c r="C192" i="4"/>
  <c r="B192" i="4"/>
  <c r="L191" i="4"/>
  <c r="H191" i="4"/>
  <c r="C191" i="4"/>
  <c r="B191" i="4"/>
  <c r="L190" i="4"/>
  <c r="H190" i="4"/>
  <c r="C190" i="4"/>
  <c r="B190" i="4"/>
  <c r="L189" i="4"/>
  <c r="H189" i="4"/>
  <c r="C189" i="4"/>
  <c r="B189" i="4"/>
  <c r="L188" i="4"/>
  <c r="H188" i="4"/>
  <c r="C188" i="4"/>
  <c r="B188" i="4"/>
  <c r="L187" i="4"/>
  <c r="H187" i="4"/>
  <c r="C187" i="4"/>
  <c r="B187" i="4"/>
  <c r="L186" i="4"/>
  <c r="H186" i="4"/>
  <c r="C186" i="4"/>
  <c r="B186" i="4"/>
  <c r="L185" i="4"/>
  <c r="H185" i="4"/>
  <c r="C185" i="4"/>
  <c r="B185" i="4"/>
  <c r="L184" i="4"/>
  <c r="H184" i="4"/>
  <c r="C184" i="4"/>
  <c r="B184" i="4"/>
  <c r="L183" i="4"/>
  <c r="C183" i="4"/>
  <c r="B183" i="4"/>
  <c r="L182" i="4"/>
  <c r="H182" i="4"/>
  <c r="C182" i="4"/>
  <c r="B182" i="4"/>
  <c r="L181" i="4"/>
  <c r="H181" i="4"/>
  <c r="C181" i="4"/>
  <c r="B181" i="4"/>
  <c r="L180" i="4"/>
  <c r="H180" i="4"/>
  <c r="C180" i="4"/>
  <c r="B180" i="4"/>
  <c r="L179" i="4"/>
  <c r="H179" i="4"/>
  <c r="C179" i="4"/>
  <c r="B179" i="4"/>
  <c r="L178" i="4"/>
  <c r="H178" i="4"/>
  <c r="C178" i="4"/>
  <c r="B178" i="4"/>
  <c r="L177" i="4"/>
  <c r="H177" i="4"/>
  <c r="C177" i="4"/>
  <c r="B177" i="4"/>
  <c r="L176" i="4"/>
  <c r="H176" i="4"/>
  <c r="C176" i="4"/>
  <c r="B176" i="4"/>
  <c r="L175" i="4"/>
  <c r="H175" i="4"/>
  <c r="C175" i="4"/>
  <c r="B175" i="4"/>
  <c r="L174" i="4"/>
  <c r="H174" i="4"/>
  <c r="C174" i="4"/>
  <c r="B174" i="4"/>
  <c r="L173" i="4"/>
  <c r="H173" i="4"/>
  <c r="C173" i="4"/>
  <c r="B173" i="4"/>
  <c r="L172" i="4"/>
  <c r="H172" i="4"/>
  <c r="C172" i="4"/>
  <c r="B172" i="4"/>
  <c r="L171" i="4"/>
  <c r="C171" i="4"/>
  <c r="B171" i="4"/>
  <c r="L170" i="4"/>
  <c r="H170" i="4"/>
  <c r="C170" i="4"/>
  <c r="B170" i="4"/>
  <c r="L169" i="4"/>
  <c r="H169" i="4"/>
  <c r="C169" i="4"/>
  <c r="B169" i="4"/>
  <c r="L168" i="4"/>
  <c r="H168" i="4"/>
  <c r="C168" i="4"/>
  <c r="B168" i="4"/>
  <c r="L167" i="4"/>
  <c r="H167" i="4"/>
  <c r="C167" i="4"/>
  <c r="B167" i="4"/>
  <c r="L166" i="4"/>
  <c r="H166" i="4"/>
  <c r="C166" i="4"/>
  <c r="B166" i="4"/>
  <c r="L165" i="4"/>
  <c r="H165" i="4"/>
  <c r="C165" i="4"/>
  <c r="B165" i="4"/>
  <c r="L164" i="4"/>
  <c r="H164" i="4"/>
  <c r="C164" i="4"/>
  <c r="B164" i="4"/>
  <c r="L163" i="4"/>
  <c r="H163" i="4"/>
  <c r="C163" i="4"/>
  <c r="B163" i="4"/>
  <c r="L162" i="4"/>
  <c r="H162" i="4"/>
  <c r="C162" i="4"/>
  <c r="B162" i="4"/>
  <c r="L161" i="4"/>
  <c r="H161" i="4"/>
  <c r="C161" i="4"/>
  <c r="B161" i="4"/>
  <c r="L160" i="4"/>
  <c r="H160" i="4"/>
  <c r="C160" i="4"/>
  <c r="B160" i="4"/>
  <c r="L159" i="4"/>
  <c r="C159" i="4"/>
  <c r="B159" i="4"/>
  <c r="L158" i="4"/>
  <c r="H158" i="4"/>
  <c r="C158" i="4"/>
  <c r="B158" i="4"/>
  <c r="L157" i="4"/>
  <c r="H157" i="4"/>
  <c r="C157" i="4"/>
  <c r="B157" i="4"/>
  <c r="L156" i="4"/>
  <c r="H156" i="4"/>
  <c r="C156" i="4"/>
  <c r="B156" i="4"/>
  <c r="L155" i="4"/>
  <c r="H155" i="4"/>
  <c r="C155" i="4"/>
  <c r="B155" i="4"/>
  <c r="L154" i="4"/>
  <c r="H154" i="4"/>
  <c r="C154" i="4"/>
  <c r="B154" i="4"/>
  <c r="L153" i="4"/>
  <c r="H153" i="4"/>
  <c r="C153" i="4"/>
  <c r="B153" i="4"/>
  <c r="L152" i="4"/>
  <c r="H152" i="4"/>
  <c r="C152" i="4"/>
  <c r="B152" i="4"/>
  <c r="L151" i="4"/>
  <c r="H151" i="4"/>
  <c r="C151" i="4"/>
  <c r="B151" i="4"/>
  <c r="L150" i="4"/>
  <c r="H150" i="4"/>
  <c r="C150" i="4"/>
  <c r="B150" i="4"/>
  <c r="L149" i="4"/>
  <c r="H149" i="4"/>
  <c r="C149" i="4"/>
  <c r="B149" i="4"/>
  <c r="L148" i="4"/>
  <c r="H148" i="4"/>
  <c r="C148" i="4"/>
  <c r="B148" i="4"/>
  <c r="L147" i="4"/>
  <c r="C147" i="4"/>
  <c r="B147" i="4"/>
  <c r="L146" i="4"/>
  <c r="H146" i="4"/>
  <c r="C146" i="4"/>
  <c r="B146" i="4"/>
  <c r="L145" i="4"/>
  <c r="H145" i="4"/>
  <c r="C145" i="4"/>
  <c r="B145" i="4"/>
  <c r="L144" i="4"/>
  <c r="H144" i="4"/>
  <c r="C144" i="4"/>
  <c r="B144" i="4"/>
  <c r="L143" i="4"/>
  <c r="H143" i="4"/>
  <c r="C143" i="4"/>
  <c r="B143" i="4"/>
  <c r="L142" i="4"/>
  <c r="H142" i="4"/>
  <c r="C142" i="4"/>
  <c r="B142" i="4"/>
  <c r="L141" i="4"/>
  <c r="H141" i="4"/>
  <c r="C141" i="4"/>
  <c r="B141" i="4"/>
  <c r="L140" i="4"/>
  <c r="H140" i="4"/>
  <c r="C140" i="4"/>
  <c r="B140" i="4"/>
  <c r="L139" i="4"/>
  <c r="H139" i="4"/>
  <c r="C139" i="4"/>
  <c r="B139" i="4"/>
  <c r="L138" i="4"/>
  <c r="H138" i="4"/>
  <c r="C138" i="4"/>
  <c r="B138" i="4"/>
  <c r="L137" i="4"/>
  <c r="H137" i="4"/>
  <c r="C137" i="4"/>
  <c r="B137" i="4"/>
  <c r="L136" i="4"/>
  <c r="H136" i="4"/>
  <c r="C136" i="4"/>
  <c r="B136" i="4"/>
  <c r="L135" i="4"/>
  <c r="C135" i="4"/>
  <c r="B135" i="4"/>
  <c r="L134" i="4"/>
  <c r="H134" i="4"/>
  <c r="C134" i="4"/>
  <c r="B134" i="4"/>
  <c r="L133" i="4"/>
  <c r="H133" i="4"/>
  <c r="C133" i="4"/>
  <c r="B133" i="4"/>
  <c r="L132" i="4"/>
  <c r="H132" i="4"/>
  <c r="C132" i="4"/>
  <c r="B132" i="4"/>
  <c r="L131" i="4"/>
  <c r="H131" i="4"/>
  <c r="C131" i="4"/>
  <c r="B131" i="4"/>
  <c r="L130" i="4"/>
  <c r="H130" i="4"/>
  <c r="C130" i="4"/>
  <c r="B130" i="4"/>
  <c r="L129" i="4"/>
  <c r="H129" i="4"/>
  <c r="C129" i="4"/>
  <c r="B129" i="4"/>
  <c r="L128" i="4"/>
  <c r="H128" i="4"/>
  <c r="C128" i="4"/>
  <c r="B128" i="4"/>
  <c r="L127" i="4"/>
  <c r="H127" i="4"/>
  <c r="C127" i="4"/>
  <c r="B127" i="4"/>
  <c r="L126" i="4"/>
  <c r="H126" i="4"/>
  <c r="C126" i="4"/>
  <c r="B126" i="4"/>
  <c r="L125" i="4"/>
  <c r="H125" i="4"/>
  <c r="C125" i="4"/>
  <c r="B125" i="4"/>
  <c r="L124" i="4"/>
  <c r="H124" i="4"/>
  <c r="C124" i="4"/>
  <c r="B124" i="4"/>
  <c r="L123" i="4"/>
  <c r="C123" i="4"/>
  <c r="B123" i="4"/>
  <c r="L122" i="4"/>
  <c r="H122" i="4"/>
  <c r="C122" i="4"/>
  <c r="B122" i="4"/>
  <c r="L121" i="4"/>
  <c r="H121" i="4"/>
  <c r="C121" i="4"/>
  <c r="B121" i="4"/>
  <c r="L120" i="4"/>
  <c r="H120" i="4"/>
  <c r="C120" i="4"/>
  <c r="B120" i="4"/>
  <c r="L119" i="4"/>
  <c r="H119" i="4"/>
  <c r="C119" i="4"/>
  <c r="B119" i="4"/>
  <c r="L118" i="4"/>
  <c r="H118" i="4"/>
  <c r="C118" i="4"/>
  <c r="B118" i="4"/>
  <c r="L117" i="4"/>
  <c r="H117" i="4"/>
  <c r="C117" i="4"/>
  <c r="B117" i="4"/>
  <c r="L116" i="4"/>
  <c r="H116" i="4"/>
  <c r="C116" i="4"/>
  <c r="B116" i="4"/>
  <c r="L115" i="4"/>
  <c r="H115" i="4"/>
  <c r="C115" i="4"/>
  <c r="B115" i="4"/>
  <c r="L114" i="4"/>
  <c r="H114" i="4"/>
  <c r="C114" i="4"/>
  <c r="B114" i="4"/>
  <c r="L113" i="4"/>
  <c r="H113" i="4"/>
  <c r="C113" i="4"/>
  <c r="B113" i="4"/>
  <c r="L112" i="4"/>
  <c r="H112" i="4"/>
  <c r="C112" i="4"/>
  <c r="B112" i="4"/>
  <c r="L111" i="4"/>
  <c r="C111" i="4"/>
  <c r="B111" i="4"/>
  <c r="L110" i="4"/>
  <c r="H110" i="4"/>
  <c r="C110" i="4"/>
  <c r="B110" i="4"/>
  <c r="L109" i="4"/>
  <c r="H109" i="4"/>
  <c r="C109" i="4"/>
  <c r="B109" i="4"/>
  <c r="L108" i="4"/>
  <c r="H108" i="4"/>
  <c r="C108" i="4"/>
  <c r="B108" i="4"/>
  <c r="L107" i="4"/>
  <c r="H107" i="4"/>
  <c r="C107" i="4"/>
  <c r="B107" i="4"/>
  <c r="L106" i="4"/>
  <c r="H106" i="4"/>
  <c r="C106" i="4"/>
  <c r="B106" i="4"/>
  <c r="L105" i="4"/>
  <c r="H105" i="4"/>
  <c r="C105" i="4"/>
  <c r="B105" i="4"/>
  <c r="L104" i="4"/>
  <c r="H104" i="4"/>
  <c r="C104" i="4"/>
  <c r="B104" i="4"/>
  <c r="L103" i="4"/>
  <c r="H103" i="4"/>
  <c r="C103" i="4"/>
  <c r="B103" i="4"/>
  <c r="L102" i="4"/>
  <c r="H102" i="4"/>
  <c r="C102" i="4"/>
  <c r="B102" i="4"/>
  <c r="L101" i="4"/>
  <c r="H101" i="4"/>
  <c r="C101" i="4"/>
  <c r="B101" i="4"/>
  <c r="L100" i="4"/>
  <c r="H100" i="4"/>
  <c r="C100" i="4"/>
  <c r="B100" i="4"/>
  <c r="L99" i="4"/>
  <c r="C99" i="4"/>
  <c r="B99" i="4"/>
  <c r="L98" i="4"/>
  <c r="H98" i="4"/>
  <c r="C98" i="4"/>
  <c r="B98" i="4"/>
  <c r="L97" i="4"/>
  <c r="H97" i="4"/>
  <c r="C97" i="4"/>
  <c r="B97" i="4"/>
  <c r="L96" i="4"/>
  <c r="H96" i="4"/>
  <c r="C96" i="4"/>
  <c r="B96" i="4"/>
  <c r="L95" i="4"/>
  <c r="H95" i="4"/>
  <c r="C95" i="4"/>
  <c r="B95" i="4"/>
  <c r="L94" i="4"/>
  <c r="H94" i="4"/>
  <c r="C94" i="4"/>
  <c r="B94" i="4"/>
  <c r="L93" i="4"/>
  <c r="H93" i="4"/>
  <c r="C93" i="4"/>
  <c r="B93" i="4"/>
  <c r="L92" i="4"/>
  <c r="H92" i="4"/>
  <c r="C92" i="4"/>
  <c r="B92" i="4"/>
  <c r="L91" i="4"/>
  <c r="H91" i="4"/>
  <c r="C91" i="4"/>
  <c r="B91" i="4"/>
  <c r="L90" i="4"/>
  <c r="H90" i="4"/>
  <c r="C90" i="4"/>
  <c r="B90" i="4"/>
  <c r="L89" i="4"/>
  <c r="H89" i="4"/>
  <c r="C89" i="4"/>
  <c r="B89" i="4"/>
  <c r="L88" i="4"/>
  <c r="H88" i="4"/>
  <c r="C88" i="4"/>
  <c r="B88" i="4"/>
  <c r="L87" i="4"/>
  <c r="C87" i="4"/>
  <c r="B87" i="4"/>
  <c r="L86" i="4"/>
  <c r="H86" i="4"/>
  <c r="C86" i="4"/>
  <c r="B86" i="4"/>
  <c r="L85" i="4"/>
  <c r="H85" i="4"/>
  <c r="C85" i="4"/>
  <c r="B85" i="4"/>
  <c r="L84" i="4"/>
  <c r="H84" i="4"/>
  <c r="C84" i="4"/>
  <c r="B84" i="4"/>
  <c r="L83" i="4"/>
  <c r="H83" i="4"/>
  <c r="C83" i="4"/>
  <c r="B83" i="4"/>
  <c r="L82" i="4"/>
  <c r="H82" i="4"/>
  <c r="C82" i="4"/>
  <c r="B82" i="4"/>
  <c r="L81" i="4"/>
  <c r="H81" i="4"/>
  <c r="C81" i="4"/>
  <c r="B81" i="4"/>
  <c r="L80" i="4"/>
  <c r="H80" i="4"/>
  <c r="C80" i="4"/>
  <c r="B80" i="4"/>
  <c r="L79" i="4"/>
  <c r="H79" i="4"/>
  <c r="C79" i="4"/>
  <c r="B79" i="4"/>
  <c r="L78" i="4"/>
  <c r="H78" i="4"/>
  <c r="C78" i="4"/>
  <c r="B78" i="4"/>
  <c r="L77" i="4"/>
  <c r="H77" i="4"/>
  <c r="C77" i="4"/>
  <c r="B77" i="4"/>
  <c r="L76" i="4"/>
  <c r="H76" i="4"/>
  <c r="C76" i="4"/>
  <c r="B76" i="4"/>
  <c r="L75" i="4"/>
  <c r="C75" i="4"/>
  <c r="B75" i="4"/>
  <c r="L74" i="4"/>
  <c r="H74" i="4"/>
  <c r="C74" i="4"/>
  <c r="B74" i="4"/>
  <c r="L73" i="4"/>
  <c r="H73" i="4"/>
  <c r="C73" i="4"/>
  <c r="B73" i="4"/>
  <c r="L72" i="4"/>
  <c r="H72" i="4"/>
  <c r="C72" i="4"/>
  <c r="B72" i="4"/>
  <c r="L71" i="4"/>
  <c r="H71" i="4"/>
  <c r="C71" i="4"/>
  <c r="B71" i="4"/>
  <c r="L70" i="4"/>
  <c r="H70" i="4"/>
  <c r="C70" i="4"/>
  <c r="B70" i="4"/>
  <c r="L69" i="4"/>
  <c r="H69" i="4"/>
  <c r="C69" i="4"/>
  <c r="B69" i="4"/>
  <c r="L68" i="4"/>
  <c r="H68" i="4"/>
  <c r="C68" i="4"/>
  <c r="B68" i="4"/>
  <c r="L67" i="4"/>
  <c r="H67" i="4"/>
  <c r="C67" i="4"/>
  <c r="B67" i="4"/>
  <c r="L66" i="4"/>
  <c r="H66" i="4"/>
  <c r="C66" i="4"/>
  <c r="B66" i="4"/>
  <c r="L65" i="4"/>
  <c r="H65" i="4"/>
  <c r="C65" i="4"/>
  <c r="B65" i="4"/>
  <c r="L64" i="4"/>
  <c r="H64" i="4"/>
  <c r="C64" i="4"/>
  <c r="B64" i="4"/>
  <c r="L63" i="4"/>
  <c r="C63" i="4"/>
  <c r="B63" i="4"/>
  <c r="L62" i="4"/>
  <c r="H62" i="4"/>
  <c r="C62" i="4"/>
  <c r="B62" i="4"/>
  <c r="L61" i="4"/>
  <c r="H61" i="4"/>
  <c r="C61" i="4"/>
  <c r="B61" i="4"/>
  <c r="L60" i="4"/>
  <c r="H60" i="4"/>
  <c r="C60" i="4"/>
  <c r="B60" i="4"/>
  <c r="L59" i="4"/>
  <c r="H59" i="4"/>
  <c r="C59" i="4"/>
  <c r="B59" i="4"/>
  <c r="L58" i="4"/>
  <c r="H58" i="4"/>
  <c r="C58" i="4"/>
  <c r="B58" i="4"/>
  <c r="L57" i="4"/>
  <c r="H57" i="4"/>
  <c r="C57" i="4"/>
  <c r="B57" i="4"/>
  <c r="L56" i="4"/>
  <c r="H56" i="4"/>
  <c r="C56" i="4"/>
  <c r="B56" i="4"/>
  <c r="L55" i="4"/>
  <c r="H55" i="4"/>
  <c r="C55" i="4"/>
  <c r="B55" i="4"/>
  <c r="L54" i="4"/>
  <c r="H54" i="4"/>
  <c r="C54" i="4"/>
  <c r="B54" i="4"/>
  <c r="L53" i="4"/>
  <c r="H53" i="4"/>
  <c r="C53" i="4"/>
  <c r="B53" i="4"/>
  <c r="L52" i="4"/>
  <c r="H52" i="4"/>
  <c r="C52" i="4"/>
  <c r="B52" i="4"/>
  <c r="L51" i="4"/>
  <c r="C51" i="4"/>
  <c r="B51" i="4"/>
  <c r="L50" i="4"/>
  <c r="H50" i="4"/>
  <c r="C50" i="4"/>
  <c r="B50" i="4"/>
  <c r="L49" i="4"/>
  <c r="H49" i="4"/>
  <c r="C49" i="4"/>
  <c r="B49" i="4"/>
  <c r="L48" i="4"/>
  <c r="H48" i="4"/>
  <c r="C48" i="4"/>
  <c r="B48" i="4"/>
  <c r="L47" i="4"/>
  <c r="H47" i="4"/>
  <c r="C47" i="4"/>
  <c r="B47" i="4"/>
  <c r="L46" i="4"/>
  <c r="H46" i="4"/>
  <c r="C46" i="4"/>
  <c r="B46" i="4"/>
  <c r="L45" i="4"/>
  <c r="H45" i="4"/>
  <c r="C45" i="4"/>
  <c r="B45" i="4"/>
  <c r="L44" i="4"/>
  <c r="H44" i="4"/>
  <c r="C44" i="4"/>
  <c r="B44" i="4"/>
  <c r="L43" i="4"/>
  <c r="H43" i="4"/>
  <c r="C43" i="4"/>
  <c r="B43" i="4"/>
  <c r="L42" i="4"/>
  <c r="H42" i="4"/>
  <c r="C42" i="4"/>
  <c r="B42" i="4"/>
  <c r="L41" i="4"/>
  <c r="H41" i="4"/>
  <c r="C41" i="4"/>
  <c r="B41" i="4"/>
  <c r="L40" i="4"/>
  <c r="H40" i="4"/>
  <c r="C40" i="4"/>
  <c r="B40" i="4"/>
  <c r="L39" i="4"/>
  <c r="C39" i="4"/>
  <c r="B39" i="4"/>
  <c r="L38" i="4"/>
  <c r="H38" i="4"/>
  <c r="C38" i="4"/>
  <c r="B38" i="4"/>
  <c r="L37" i="4"/>
  <c r="H37" i="4"/>
  <c r="C37" i="4"/>
  <c r="B37" i="4"/>
  <c r="L36" i="4"/>
  <c r="H36" i="4"/>
  <c r="C36" i="4"/>
  <c r="B36" i="4"/>
  <c r="L35" i="4"/>
  <c r="H35" i="4"/>
  <c r="C35" i="4"/>
  <c r="B35" i="4"/>
  <c r="L34" i="4"/>
  <c r="H34" i="4"/>
  <c r="C34" i="4"/>
  <c r="B34" i="4"/>
  <c r="L33" i="4"/>
  <c r="H33" i="4"/>
  <c r="C33" i="4"/>
  <c r="B33" i="4"/>
  <c r="L32" i="4"/>
  <c r="H32" i="4"/>
  <c r="C32" i="4"/>
  <c r="B32" i="4"/>
  <c r="L31" i="4"/>
  <c r="H31" i="4"/>
  <c r="C31" i="4"/>
  <c r="B31" i="4"/>
  <c r="L30" i="4"/>
  <c r="H30" i="4"/>
  <c r="C30" i="4"/>
  <c r="B30" i="4"/>
  <c r="L29" i="4"/>
  <c r="H29" i="4"/>
  <c r="C29" i="4"/>
  <c r="B29" i="4"/>
  <c r="L28" i="4"/>
  <c r="H28" i="4"/>
  <c r="C28" i="4"/>
  <c r="B28" i="4"/>
  <c r="L27" i="4"/>
  <c r="C27" i="4"/>
  <c r="B27" i="4"/>
  <c r="L26" i="4"/>
  <c r="H26" i="4"/>
  <c r="C26" i="4"/>
  <c r="B26" i="4"/>
  <c r="L25" i="4"/>
  <c r="H25" i="4"/>
  <c r="C25" i="4"/>
  <c r="B25" i="4"/>
  <c r="L24" i="4"/>
  <c r="H24" i="4"/>
  <c r="C24" i="4"/>
  <c r="B24" i="4"/>
  <c r="L23" i="4"/>
  <c r="H23" i="4"/>
  <c r="C23" i="4"/>
  <c r="B23" i="4"/>
  <c r="L22" i="4"/>
  <c r="H22" i="4"/>
  <c r="C22" i="4"/>
  <c r="B22" i="4"/>
  <c r="L21" i="4"/>
  <c r="H21" i="4"/>
  <c r="C21" i="4"/>
  <c r="B21" i="4"/>
  <c r="L20" i="4"/>
  <c r="H20" i="4"/>
  <c r="C20" i="4"/>
  <c r="B20" i="4"/>
  <c r="L19" i="4"/>
  <c r="H19" i="4"/>
  <c r="C19" i="4"/>
  <c r="B19" i="4"/>
  <c r="L18" i="4"/>
  <c r="H18" i="4"/>
  <c r="C18" i="4"/>
  <c r="B18" i="4"/>
  <c r="L17" i="4"/>
  <c r="H17" i="4"/>
  <c r="C17" i="4"/>
  <c r="B17" i="4"/>
  <c r="L16" i="4"/>
  <c r="H16" i="4"/>
  <c r="C16" i="4"/>
  <c r="B16" i="4"/>
  <c r="L15" i="4"/>
  <c r="C15" i="4"/>
  <c r="B15" i="4"/>
  <c r="L14" i="4"/>
  <c r="H14" i="4"/>
  <c r="C14" i="4"/>
  <c r="B14" i="4"/>
  <c r="L13" i="4"/>
  <c r="H13" i="4"/>
  <c r="C13" i="4"/>
  <c r="B13" i="4"/>
  <c r="L12" i="4"/>
  <c r="H12" i="4"/>
  <c r="C12" i="4"/>
  <c r="B12" i="4"/>
  <c r="L11" i="4"/>
  <c r="H11" i="4"/>
  <c r="C11" i="4"/>
  <c r="B11" i="4"/>
  <c r="L10" i="4"/>
  <c r="H10" i="4"/>
  <c r="C10" i="4"/>
  <c r="B10" i="4"/>
  <c r="L9" i="4"/>
  <c r="H9" i="4"/>
  <c r="C9" i="4"/>
  <c r="B9" i="4"/>
  <c r="L8" i="4"/>
  <c r="H8" i="4"/>
  <c r="C8" i="4"/>
  <c r="B8" i="4"/>
  <c r="L7" i="4"/>
  <c r="H7" i="4"/>
  <c r="C7" i="4"/>
  <c r="B7" i="4"/>
  <c r="L6" i="4"/>
  <c r="H6" i="4"/>
  <c r="C6" i="4"/>
  <c r="B6" i="4"/>
  <c r="L5" i="4"/>
  <c r="H5" i="4"/>
  <c r="C5" i="4"/>
  <c r="B5" i="4"/>
  <c r="L4" i="4"/>
  <c r="H4" i="4"/>
  <c r="C4" i="4"/>
  <c r="B4" i="4"/>
  <c r="E54" i="3"/>
  <c r="B54" i="3"/>
  <c r="A54" i="3"/>
  <c r="E53" i="3"/>
  <c r="B53" i="3"/>
  <c r="A53" i="3"/>
  <c r="E52" i="3"/>
  <c r="B52" i="3"/>
  <c r="A52" i="3"/>
  <c r="E51" i="3"/>
  <c r="B51" i="3"/>
  <c r="A51" i="3"/>
  <c r="E50" i="3"/>
  <c r="B50" i="3"/>
  <c r="A50" i="3"/>
  <c r="E49" i="3"/>
  <c r="B49" i="3"/>
  <c r="A49" i="3"/>
  <c r="E48" i="3"/>
  <c r="B48" i="3"/>
  <c r="A48" i="3"/>
  <c r="E47" i="3"/>
  <c r="B47" i="3"/>
  <c r="A47" i="3"/>
  <c r="E46" i="3"/>
  <c r="B46" i="3"/>
  <c r="A46" i="3"/>
  <c r="E45" i="3"/>
  <c r="B45" i="3"/>
  <c r="A45" i="3"/>
  <c r="E44" i="3"/>
  <c r="B44" i="3"/>
  <c r="A44" i="3"/>
  <c r="E43" i="3"/>
  <c r="B43" i="3"/>
  <c r="A43" i="3"/>
  <c r="E42" i="3"/>
  <c r="B42" i="3"/>
  <c r="A42" i="3"/>
  <c r="E41" i="3"/>
  <c r="B41" i="3"/>
  <c r="A41" i="3"/>
  <c r="E40" i="3"/>
  <c r="B40" i="3"/>
  <c r="A40" i="3"/>
  <c r="E39" i="3"/>
  <c r="B39" i="3"/>
  <c r="A39" i="3"/>
  <c r="E38" i="3"/>
  <c r="B38" i="3"/>
  <c r="A38" i="3"/>
  <c r="E37" i="3"/>
  <c r="B37" i="3"/>
  <c r="A37" i="3"/>
  <c r="E36" i="3"/>
  <c r="B36" i="3"/>
  <c r="A36" i="3"/>
  <c r="E35" i="3"/>
  <c r="B35" i="3"/>
  <c r="A35" i="3"/>
  <c r="E34" i="3"/>
  <c r="B34" i="3"/>
  <c r="A34" i="3"/>
  <c r="E33" i="3"/>
  <c r="B33" i="3"/>
  <c r="A33" i="3"/>
  <c r="E32" i="3"/>
  <c r="B32" i="3"/>
  <c r="A32" i="3"/>
  <c r="E31" i="3"/>
  <c r="B31" i="3"/>
  <c r="A31" i="3"/>
  <c r="E30" i="3"/>
  <c r="B30" i="3"/>
  <c r="A30" i="3"/>
  <c r="E29" i="3"/>
  <c r="B29" i="3"/>
  <c r="A29" i="3"/>
  <c r="E28" i="3"/>
  <c r="B28" i="3"/>
  <c r="A28" i="3"/>
  <c r="E27" i="3"/>
  <c r="B27" i="3"/>
  <c r="A27" i="3"/>
  <c r="E26" i="3"/>
  <c r="B26" i="3"/>
  <c r="A26" i="3"/>
  <c r="E25" i="3"/>
  <c r="B25" i="3"/>
  <c r="A25" i="3"/>
  <c r="E24" i="3"/>
  <c r="B24" i="3"/>
  <c r="A24" i="3"/>
  <c r="E23" i="3"/>
  <c r="B23" i="3"/>
  <c r="A23" i="3"/>
  <c r="E22" i="3"/>
  <c r="B22" i="3"/>
  <c r="A22" i="3"/>
  <c r="E21" i="3"/>
  <c r="B21" i="3"/>
  <c r="A21" i="3"/>
  <c r="E20" i="3"/>
  <c r="B20" i="3"/>
  <c r="A20" i="3"/>
  <c r="E19" i="3"/>
  <c r="B19" i="3"/>
  <c r="A19" i="3"/>
  <c r="E18" i="3"/>
  <c r="B18" i="3"/>
  <c r="A18" i="3"/>
  <c r="E17" i="3"/>
  <c r="B17" i="3"/>
  <c r="A17" i="3"/>
  <c r="E16" i="3"/>
  <c r="B16" i="3"/>
  <c r="A16" i="3"/>
  <c r="E15" i="3"/>
  <c r="B15" i="3"/>
  <c r="A15" i="3"/>
  <c r="E14" i="3"/>
  <c r="B14" i="3"/>
  <c r="A14" i="3"/>
  <c r="E13" i="3"/>
  <c r="B13" i="3"/>
  <c r="A13" i="3"/>
  <c r="E12" i="3"/>
  <c r="B12" i="3"/>
  <c r="A12" i="3"/>
  <c r="E11" i="3"/>
  <c r="B11" i="3"/>
  <c r="A11" i="3"/>
  <c r="E10" i="3"/>
  <c r="B10" i="3"/>
  <c r="A10" i="3"/>
  <c r="E9" i="3"/>
  <c r="B9" i="3"/>
  <c r="A9" i="3"/>
  <c r="E8" i="3"/>
  <c r="B8" i="3"/>
  <c r="A8" i="3"/>
  <c r="K7" i="3"/>
  <c r="E7" i="3"/>
  <c r="B7" i="3"/>
  <c r="A7" i="3"/>
  <c r="D7" i="3" l="1"/>
  <c r="C7" i="3"/>
  <c r="L7" i="3"/>
  <c r="D8" i="3"/>
  <c r="F8" i="3" s="1"/>
  <c r="C8" i="3"/>
  <c r="D9" i="3"/>
  <c r="F9" i="3" s="1"/>
  <c r="C9" i="3"/>
  <c r="D10" i="3"/>
  <c r="F10" i="3" s="1"/>
  <c r="C10" i="3"/>
  <c r="D11" i="3"/>
  <c r="F11" i="3" s="1"/>
  <c r="C11" i="3"/>
  <c r="D12" i="3"/>
  <c r="F12" i="3" s="1"/>
  <c r="C12" i="3"/>
  <c r="D13" i="3"/>
  <c r="F13" i="3" s="1"/>
  <c r="C13" i="3"/>
  <c r="D14" i="3"/>
  <c r="F14" i="3" s="1"/>
  <c r="C14" i="3"/>
  <c r="D15" i="3"/>
  <c r="F15" i="3" s="1"/>
  <c r="C15" i="3"/>
  <c r="D16" i="3"/>
  <c r="F16" i="3" s="1"/>
  <c r="C16" i="3"/>
  <c r="D17" i="3"/>
  <c r="F17" i="3" s="1"/>
  <c r="C17" i="3"/>
  <c r="D18" i="3"/>
  <c r="F18" i="3" s="1"/>
  <c r="C18" i="3"/>
  <c r="D19" i="3"/>
  <c r="F19" i="3" s="1"/>
  <c r="C19" i="3"/>
  <c r="D20" i="3"/>
  <c r="F20" i="3" s="1"/>
  <c r="C20" i="3"/>
  <c r="D21" i="3"/>
  <c r="F21" i="3" s="1"/>
  <c r="C21" i="3"/>
  <c r="D22" i="3"/>
  <c r="F22" i="3" s="1"/>
  <c r="C22" i="3"/>
  <c r="D23" i="3"/>
  <c r="F23" i="3" s="1"/>
  <c r="C23" i="3"/>
  <c r="D24" i="3"/>
  <c r="F24" i="3" s="1"/>
  <c r="C24" i="3"/>
  <c r="D25" i="3"/>
  <c r="F25" i="3" s="1"/>
  <c r="C25" i="3"/>
  <c r="D26" i="3"/>
  <c r="F26" i="3" s="1"/>
  <c r="C26" i="3"/>
  <c r="D27" i="3"/>
  <c r="F27" i="3" s="1"/>
  <c r="C27" i="3"/>
  <c r="D28" i="3"/>
  <c r="F28" i="3" s="1"/>
  <c r="C28" i="3"/>
  <c r="D29" i="3"/>
  <c r="F29" i="3" s="1"/>
  <c r="C29" i="3"/>
  <c r="D30" i="3"/>
  <c r="F30" i="3" s="1"/>
  <c r="C30" i="3"/>
  <c r="D31" i="3"/>
  <c r="F31" i="3" s="1"/>
  <c r="C31" i="3"/>
  <c r="D32" i="3"/>
  <c r="F32" i="3" s="1"/>
  <c r="C32" i="3"/>
  <c r="D33" i="3"/>
  <c r="F33" i="3" s="1"/>
  <c r="C33" i="3"/>
  <c r="D34" i="3"/>
  <c r="F34" i="3" s="1"/>
  <c r="C34" i="3"/>
  <c r="D35" i="3"/>
  <c r="F35" i="3" s="1"/>
  <c r="C35" i="3"/>
  <c r="D36" i="3"/>
  <c r="F36" i="3" s="1"/>
  <c r="C36" i="3"/>
  <c r="D37" i="3"/>
  <c r="F37" i="3" s="1"/>
  <c r="C37" i="3"/>
  <c r="D38" i="3"/>
  <c r="F38" i="3" s="1"/>
  <c r="C38" i="3"/>
  <c r="D39" i="3"/>
  <c r="F39" i="3" s="1"/>
  <c r="C39" i="3"/>
  <c r="D40" i="3"/>
  <c r="F40" i="3" s="1"/>
  <c r="C40" i="3"/>
  <c r="D41" i="3"/>
  <c r="F41" i="3" s="1"/>
  <c r="C41" i="3"/>
  <c r="D42" i="3"/>
  <c r="F42" i="3" s="1"/>
  <c r="C42" i="3"/>
  <c r="D43" i="3"/>
  <c r="F43" i="3" s="1"/>
  <c r="C43" i="3"/>
  <c r="D44" i="3"/>
  <c r="F44" i="3" s="1"/>
  <c r="C44" i="3"/>
  <c r="D45" i="3"/>
  <c r="F45" i="3" s="1"/>
  <c r="C45" i="3"/>
  <c r="D46" i="3"/>
  <c r="F46" i="3" s="1"/>
  <c r="C46" i="3"/>
  <c r="D47" i="3"/>
  <c r="F47" i="3" s="1"/>
  <c r="C47" i="3"/>
  <c r="D48" i="3"/>
  <c r="F48" i="3" s="1"/>
  <c r="C48" i="3"/>
  <c r="D49" i="3"/>
  <c r="F49" i="3" s="1"/>
  <c r="C49" i="3"/>
  <c r="D50" i="3"/>
  <c r="F50" i="3" s="1"/>
  <c r="C50" i="3"/>
  <c r="D51" i="3"/>
  <c r="F51" i="3" s="1"/>
  <c r="C51" i="3"/>
  <c r="D52" i="3"/>
  <c r="F52" i="3" s="1"/>
  <c r="C52" i="3"/>
  <c r="D53" i="3"/>
  <c r="F53" i="3" s="1"/>
  <c r="C53" i="3"/>
  <c r="D54" i="3"/>
  <c r="F54" i="3" s="1"/>
  <c r="C54" i="3"/>
  <c r="K4" i="4"/>
  <c r="F4" i="4"/>
  <c r="E4" i="4"/>
  <c r="K5" i="4"/>
  <c r="F5" i="4"/>
  <c r="K6" i="4"/>
  <c r="F6" i="4"/>
  <c r="K7" i="4"/>
  <c r="F7" i="4"/>
  <c r="K8" i="4"/>
  <c r="F8" i="4"/>
  <c r="K9" i="4"/>
  <c r="F9" i="4"/>
  <c r="K10" i="4"/>
  <c r="F10" i="4"/>
  <c r="K11" i="4"/>
  <c r="F11" i="4"/>
  <c r="K12" i="4"/>
  <c r="F12" i="4"/>
  <c r="K13" i="4"/>
  <c r="F13" i="4"/>
  <c r="K14" i="4"/>
  <c r="F14" i="4"/>
  <c r="K15" i="4"/>
  <c r="F15" i="4"/>
  <c r="H15" i="4"/>
  <c r="K16" i="4"/>
  <c r="F16" i="4"/>
  <c r="E16" i="4"/>
  <c r="K17" i="4"/>
  <c r="F17" i="4"/>
  <c r="K18" i="4"/>
  <c r="F18" i="4"/>
  <c r="K19" i="4"/>
  <c r="F19" i="4"/>
  <c r="K20" i="4"/>
  <c r="F20" i="4"/>
  <c r="K21" i="4"/>
  <c r="F21" i="4"/>
  <c r="K22" i="4"/>
  <c r="F22" i="4"/>
  <c r="K23" i="4"/>
  <c r="F23" i="4"/>
  <c r="K24" i="4"/>
  <c r="F24" i="4"/>
  <c r="K25" i="4"/>
  <c r="F25" i="4"/>
  <c r="K26" i="4"/>
  <c r="F26" i="4"/>
  <c r="K27" i="4"/>
  <c r="F27" i="4"/>
  <c r="H27" i="4"/>
  <c r="K28" i="4"/>
  <c r="F28" i="4"/>
  <c r="E28" i="4"/>
  <c r="K29" i="4"/>
  <c r="F29" i="4"/>
  <c r="K30" i="4"/>
  <c r="F30" i="4"/>
  <c r="K31" i="4"/>
  <c r="F31" i="4"/>
  <c r="K32" i="4"/>
  <c r="F32" i="4"/>
  <c r="K33" i="4"/>
  <c r="F33" i="4"/>
  <c r="K34" i="4"/>
  <c r="F34" i="4"/>
  <c r="K35" i="4"/>
  <c r="F35" i="4"/>
  <c r="K36" i="4"/>
  <c r="F36" i="4"/>
  <c r="K37" i="4"/>
  <c r="F37" i="4"/>
  <c r="K38" i="4"/>
  <c r="F38" i="4"/>
  <c r="K39" i="4"/>
  <c r="F39" i="4"/>
  <c r="H39" i="4"/>
  <c r="K40" i="4"/>
  <c r="F40" i="4"/>
  <c r="E40" i="4"/>
  <c r="K41" i="4"/>
  <c r="F41" i="4"/>
  <c r="K42" i="4"/>
  <c r="F42" i="4"/>
  <c r="K43" i="4"/>
  <c r="F43" i="4"/>
  <c r="K44" i="4"/>
  <c r="F44" i="4"/>
  <c r="K45" i="4"/>
  <c r="F45" i="4"/>
  <c r="K46" i="4"/>
  <c r="F46" i="4"/>
  <c r="K47" i="4"/>
  <c r="F47" i="4"/>
  <c r="K48" i="4"/>
  <c r="F48" i="4"/>
  <c r="K49" i="4"/>
  <c r="F49" i="4"/>
  <c r="K50" i="4"/>
  <c r="F50" i="4"/>
  <c r="K51" i="4"/>
  <c r="F51" i="4"/>
  <c r="H51" i="4"/>
  <c r="K52" i="4"/>
  <c r="F52" i="4"/>
  <c r="E52" i="4"/>
  <c r="K53" i="4"/>
  <c r="F53" i="4"/>
  <c r="K54" i="4"/>
  <c r="F54" i="4"/>
  <c r="K55" i="4"/>
  <c r="F55" i="4"/>
  <c r="K56" i="4"/>
  <c r="F56" i="4"/>
  <c r="K57" i="4"/>
  <c r="F57" i="4"/>
  <c r="K58" i="4"/>
  <c r="F58" i="4"/>
  <c r="K59" i="4"/>
  <c r="F59" i="4"/>
  <c r="K60" i="4"/>
  <c r="F60" i="4"/>
  <c r="K61" i="4"/>
  <c r="F61" i="4"/>
  <c r="K62" i="4"/>
  <c r="F62" i="4"/>
  <c r="K63" i="4"/>
  <c r="F63" i="4"/>
  <c r="H63" i="4"/>
  <c r="K64" i="4"/>
  <c r="F64" i="4"/>
  <c r="E64" i="4"/>
  <c r="K65" i="4"/>
  <c r="F65" i="4"/>
  <c r="K66" i="4"/>
  <c r="F66" i="4"/>
  <c r="K67" i="4"/>
  <c r="F67" i="4"/>
  <c r="K68" i="4"/>
  <c r="F68" i="4"/>
  <c r="K69" i="4"/>
  <c r="F69" i="4"/>
  <c r="K70" i="4"/>
  <c r="F70" i="4"/>
  <c r="K71" i="4"/>
  <c r="F71" i="4"/>
  <c r="K72" i="4"/>
  <c r="F72" i="4"/>
  <c r="K73" i="4"/>
  <c r="F73" i="4"/>
  <c r="K74" i="4"/>
  <c r="F74" i="4"/>
  <c r="K75" i="4"/>
  <c r="F75" i="4"/>
  <c r="H75" i="4"/>
  <c r="K76" i="4"/>
  <c r="F76" i="4"/>
  <c r="E76" i="4"/>
  <c r="K77" i="4"/>
  <c r="F77" i="4"/>
  <c r="K78" i="4"/>
  <c r="F78" i="4"/>
  <c r="K79" i="4"/>
  <c r="F79" i="4"/>
  <c r="K80" i="4"/>
  <c r="F80" i="4"/>
  <c r="K81" i="4"/>
  <c r="F81" i="4"/>
  <c r="K82" i="4"/>
  <c r="F82" i="4"/>
  <c r="K83" i="4"/>
  <c r="F83" i="4"/>
  <c r="K84" i="4"/>
  <c r="F84" i="4"/>
  <c r="K85" i="4"/>
  <c r="F85" i="4"/>
  <c r="K86" i="4"/>
  <c r="F86" i="4"/>
  <c r="K87" i="4"/>
  <c r="F87" i="4"/>
  <c r="H87" i="4"/>
  <c r="K88" i="4"/>
  <c r="F88" i="4"/>
  <c r="E88" i="4"/>
  <c r="K89" i="4"/>
  <c r="F89" i="4"/>
  <c r="K90" i="4"/>
  <c r="F90" i="4"/>
  <c r="K91" i="4"/>
  <c r="F91" i="4"/>
  <c r="K92" i="4"/>
  <c r="F92" i="4"/>
  <c r="K93" i="4"/>
  <c r="F93" i="4"/>
  <c r="K94" i="4"/>
  <c r="F94" i="4"/>
  <c r="K95" i="4"/>
  <c r="F95" i="4"/>
  <c r="K96" i="4"/>
  <c r="F96" i="4"/>
  <c r="K97" i="4"/>
  <c r="F97" i="4"/>
  <c r="K98" i="4"/>
  <c r="F98" i="4"/>
  <c r="K99" i="4"/>
  <c r="F99" i="4"/>
  <c r="H99" i="4"/>
  <c r="K100" i="4"/>
  <c r="F100" i="4"/>
  <c r="E100" i="4"/>
  <c r="K101" i="4"/>
  <c r="F101" i="4"/>
  <c r="K102" i="4"/>
  <c r="F102" i="4"/>
  <c r="K103" i="4"/>
  <c r="F103" i="4"/>
  <c r="K104" i="4"/>
  <c r="F104" i="4"/>
  <c r="K105" i="4"/>
  <c r="F105" i="4"/>
  <c r="K106" i="4"/>
  <c r="F106" i="4"/>
  <c r="K107" i="4"/>
  <c r="F107" i="4"/>
  <c r="K108" i="4"/>
  <c r="F108" i="4"/>
  <c r="K109" i="4"/>
  <c r="F109" i="4"/>
  <c r="K110" i="4"/>
  <c r="F110" i="4"/>
  <c r="K111" i="4"/>
  <c r="F111" i="4"/>
  <c r="H111" i="4"/>
  <c r="K112" i="4"/>
  <c r="F112" i="4"/>
  <c r="E112" i="4"/>
  <c r="K113" i="4"/>
  <c r="F113" i="4"/>
  <c r="K114" i="4"/>
  <c r="F114" i="4"/>
  <c r="K115" i="4"/>
  <c r="F115" i="4"/>
  <c r="K116" i="4"/>
  <c r="F116" i="4"/>
  <c r="K117" i="4"/>
  <c r="F117" i="4"/>
  <c r="K118" i="4"/>
  <c r="F118" i="4"/>
  <c r="K119" i="4"/>
  <c r="F119" i="4"/>
  <c r="K120" i="4"/>
  <c r="F120" i="4"/>
  <c r="K121" i="4"/>
  <c r="F121" i="4"/>
  <c r="K122" i="4"/>
  <c r="F122" i="4"/>
  <c r="K123" i="4"/>
  <c r="F123" i="4"/>
  <c r="H123" i="4"/>
  <c r="K124" i="4"/>
  <c r="F124" i="4"/>
  <c r="E124" i="4"/>
  <c r="K125" i="4"/>
  <c r="F125" i="4"/>
  <c r="K126" i="4"/>
  <c r="F126" i="4"/>
  <c r="K127" i="4"/>
  <c r="F127" i="4"/>
  <c r="K128" i="4"/>
  <c r="F128" i="4"/>
  <c r="K129" i="4"/>
  <c r="F129" i="4"/>
  <c r="K130" i="4"/>
  <c r="F130" i="4"/>
  <c r="K131" i="4"/>
  <c r="F131" i="4"/>
  <c r="K132" i="4"/>
  <c r="F132" i="4"/>
  <c r="K133" i="4"/>
  <c r="F133" i="4"/>
  <c r="K134" i="4"/>
  <c r="F134" i="4"/>
  <c r="K135" i="4"/>
  <c r="F135" i="4"/>
  <c r="H135" i="4"/>
  <c r="K136" i="4"/>
  <c r="F136" i="4"/>
  <c r="E136" i="4"/>
  <c r="K137" i="4"/>
  <c r="F137" i="4"/>
  <c r="K138" i="4"/>
  <c r="F138" i="4"/>
  <c r="K139" i="4"/>
  <c r="F139" i="4"/>
  <c r="K140" i="4"/>
  <c r="F140" i="4"/>
  <c r="K141" i="4"/>
  <c r="F141" i="4"/>
  <c r="K142" i="4"/>
  <c r="F142" i="4"/>
  <c r="K143" i="4"/>
  <c r="F143" i="4"/>
  <c r="K144" i="4"/>
  <c r="F144" i="4"/>
  <c r="K145" i="4"/>
  <c r="F145" i="4"/>
  <c r="K146" i="4"/>
  <c r="F146" i="4"/>
  <c r="K147" i="4"/>
  <c r="F147" i="4"/>
  <c r="H147" i="4"/>
  <c r="K148" i="4"/>
  <c r="F148" i="4"/>
  <c r="E148" i="4"/>
  <c r="K149" i="4"/>
  <c r="F149" i="4"/>
  <c r="K150" i="4"/>
  <c r="F150" i="4"/>
  <c r="K151" i="4"/>
  <c r="F151" i="4"/>
  <c r="K152" i="4"/>
  <c r="F152" i="4"/>
  <c r="K153" i="4"/>
  <c r="F153" i="4"/>
  <c r="K154" i="4"/>
  <c r="F154" i="4"/>
  <c r="K155" i="4"/>
  <c r="F155" i="4"/>
  <c r="K156" i="4"/>
  <c r="F156" i="4"/>
  <c r="K157" i="4"/>
  <c r="F157" i="4"/>
  <c r="K158" i="4"/>
  <c r="F158" i="4"/>
  <c r="K159" i="4"/>
  <c r="F159" i="4"/>
  <c r="H159" i="4"/>
  <c r="K160" i="4"/>
  <c r="F160" i="4"/>
  <c r="E160" i="4"/>
  <c r="K161" i="4"/>
  <c r="F161" i="4"/>
  <c r="K162" i="4"/>
  <c r="F162" i="4"/>
  <c r="K163" i="4"/>
  <c r="F163" i="4"/>
  <c r="K164" i="4"/>
  <c r="F164" i="4"/>
  <c r="K165" i="4"/>
  <c r="F165" i="4"/>
  <c r="K166" i="4"/>
  <c r="F166" i="4"/>
  <c r="K167" i="4"/>
  <c r="F167" i="4"/>
  <c r="K168" i="4"/>
  <c r="F168" i="4"/>
  <c r="K169" i="4"/>
  <c r="F169" i="4"/>
  <c r="K170" i="4"/>
  <c r="F170" i="4"/>
  <c r="K171" i="4"/>
  <c r="F171" i="4"/>
  <c r="H171" i="4"/>
  <c r="K172" i="4"/>
  <c r="F172" i="4"/>
  <c r="E172" i="4"/>
  <c r="K173" i="4"/>
  <c r="F173" i="4"/>
  <c r="K174" i="4"/>
  <c r="F174" i="4"/>
  <c r="K175" i="4"/>
  <c r="F175" i="4"/>
  <c r="K176" i="4"/>
  <c r="F176" i="4"/>
  <c r="K177" i="4"/>
  <c r="F177" i="4"/>
  <c r="K178" i="4"/>
  <c r="F178" i="4"/>
  <c r="K179" i="4"/>
  <c r="F179" i="4"/>
  <c r="K180" i="4"/>
  <c r="F180" i="4"/>
  <c r="K181" i="4"/>
  <c r="F181" i="4"/>
  <c r="K182" i="4"/>
  <c r="F182" i="4"/>
  <c r="K183" i="4"/>
  <c r="F183" i="4"/>
  <c r="H183" i="4"/>
  <c r="K184" i="4"/>
  <c r="F184" i="4"/>
  <c r="E184" i="4"/>
  <c r="K185" i="4"/>
  <c r="F185" i="4"/>
  <c r="K186" i="4"/>
  <c r="F186" i="4"/>
  <c r="K187" i="4"/>
  <c r="F187" i="4"/>
  <c r="K188" i="4"/>
  <c r="F188" i="4"/>
  <c r="K189" i="4"/>
  <c r="F189" i="4"/>
  <c r="K190" i="4"/>
  <c r="F190" i="4"/>
  <c r="K191" i="4"/>
  <c r="F191" i="4"/>
  <c r="K192" i="4"/>
  <c r="F192" i="4"/>
  <c r="K193" i="4"/>
  <c r="F193" i="4"/>
  <c r="K194" i="4"/>
  <c r="F194" i="4"/>
  <c r="K195" i="4"/>
  <c r="F195" i="4"/>
  <c r="H195" i="4"/>
  <c r="K196" i="4"/>
  <c r="F196" i="4"/>
  <c r="E196" i="4"/>
  <c r="K197" i="4"/>
  <c r="F197" i="4"/>
  <c r="K198" i="4"/>
  <c r="F198" i="4"/>
  <c r="K199" i="4"/>
  <c r="F199" i="4"/>
  <c r="K200" i="4"/>
  <c r="F200" i="4"/>
  <c r="K201" i="4"/>
  <c r="F201" i="4"/>
  <c r="K202" i="4"/>
  <c r="F202" i="4"/>
  <c r="K203" i="4"/>
  <c r="F203" i="4"/>
  <c r="K204" i="4"/>
  <c r="F204" i="4"/>
  <c r="K205" i="4"/>
  <c r="F205" i="4"/>
  <c r="K206" i="4"/>
  <c r="F206" i="4"/>
  <c r="K207" i="4"/>
  <c r="F207" i="4"/>
  <c r="H207" i="4"/>
  <c r="K208" i="4"/>
  <c r="F208" i="4"/>
  <c r="E208" i="4"/>
  <c r="K209" i="4"/>
  <c r="F209" i="4"/>
  <c r="K210" i="4"/>
  <c r="F210" i="4"/>
  <c r="K211" i="4"/>
  <c r="F211" i="4"/>
  <c r="K212" i="4"/>
  <c r="F212" i="4"/>
  <c r="K213" i="4"/>
  <c r="F213" i="4"/>
  <c r="K214" i="4"/>
  <c r="F214" i="4"/>
  <c r="K215" i="4"/>
  <c r="F215" i="4"/>
  <c r="K216" i="4"/>
  <c r="F216" i="4"/>
  <c r="K217" i="4"/>
  <c r="F217" i="4"/>
  <c r="K218" i="4"/>
  <c r="F218" i="4"/>
  <c r="K219" i="4"/>
  <c r="F219" i="4"/>
  <c r="H219" i="4"/>
  <c r="K220" i="4"/>
  <c r="F220" i="4"/>
  <c r="E220" i="4"/>
  <c r="K221" i="4"/>
  <c r="F221" i="4"/>
  <c r="K222" i="4"/>
  <c r="F222" i="4"/>
  <c r="K223" i="4"/>
  <c r="F223" i="4"/>
  <c r="K224" i="4"/>
  <c r="F224" i="4"/>
  <c r="K225" i="4"/>
  <c r="F225" i="4"/>
  <c r="K226" i="4"/>
  <c r="F226" i="4"/>
  <c r="K227" i="4"/>
  <c r="F227" i="4"/>
  <c r="K228" i="4"/>
  <c r="F228" i="4"/>
  <c r="K229" i="4"/>
  <c r="F229" i="4"/>
  <c r="K230" i="4"/>
  <c r="F230" i="4"/>
  <c r="K231" i="4"/>
  <c r="F231" i="4"/>
  <c r="H231" i="4"/>
  <c r="K232" i="4"/>
  <c r="F232" i="4"/>
  <c r="E232" i="4"/>
  <c r="K233" i="4"/>
  <c r="F233" i="4"/>
  <c r="K234" i="4"/>
  <c r="F234" i="4"/>
  <c r="K235" i="4"/>
  <c r="F235" i="4"/>
  <c r="K236" i="4"/>
  <c r="F236" i="4"/>
  <c r="K237" i="4"/>
  <c r="F237" i="4"/>
  <c r="K238" i="4"/>
  <c r="F238" i="4"/>
  <c r="K239" i="4"/>
  <c r="F239" i="4"/>
  <c r="K240" i="4"/>
  <c r="F240" i="4"/>
  <c r="K241" i="4"/>
  <c r="F241" i="4"/>
  <c r="K242" i="4"/>
  <c r="F242" i="4"/>
  <c r="K243" i="4"/>
  <c r="F243" i="4"/>
  <c r="H243" i="4"/>
  <c r="K244" i="4"/>
  <c r="F244" i="4"/>
  <c r="E244" i="4"/>
  <c r="K245" i="4"/>
  <c r="F245" i="4"/>
  <c r="K246" i="4"/>
  <c r="F246" i="4"/>
  <c r="K247" i="4"/>
  <c r="F247" i="4"/>
  <c r="K248" i="4"/>
  <c r="F248" i="4"/>
  <c r="K249" i="4"/>
  <c r="F249" i="4"/>
  <c r="K250" i="4"/>
  <c r="F250" i="4"/>
  <c r="K251" i="4"/>
  <c r="F251" i="4"/>
  <c r="K252" i="4"/>
  <c r="F252" i="4"/>
  <c r="K253" i="4"/>
  <c r="F253" i="4"/>
  <c r="K254" i="4"/>
  <c r="F254" i="4"/>
  <c r="K255" i="4"/>
  <c r="F255" i="4"/>
  <c r="H255" i="4"/>
  <c r="K256" i="4"/>
  <c r="F256" i="4"/>
  <c r="E256" i="4"/>
  <c r="K257" i="4"/>
  <c r="F257" i="4"/>
  <c r="K258" i="4"/>
  <c r="F258" i="4"/>
  <c r="K259" i="4"/>
  <c r="F259" i="4"/>
  <c r="K260" i="4"/>
  <c r="F260" i="4"/>
  <c r="K261" i="4"/>
  <c r="F261" i="4"/>
  <c r="K262" i="4"/>
  <c r="F262" i="4"/>
  <c r="K263" i="4"/>
  <c r="F263" i="4"/>
  <c r="K264" i="4"/>
  <c r="F264" i="4"/>
  <c r="K265" i="4"/>
  <c r="F265" i="4"/>
  <c r="K266" i="4"/>
  <c r="F266" i="4"/>
  <c r="K267" i="4"/>
  <c r="F267" i="4"/>
  <c r="H267" i="4"/>
  <c r="K268" i="4"/>
  <c r="F268" i="4"/>
  <c r="E268" i="4"/>
  <c r="K269" i="4"/>
  <c r="F269" i="4"/>
  <c r="K270" i="4"/>
  <c r="F270" i="4"/>
  <c r="K271" i="4"/>
  <c r="F271" i="4"/>
  <c r="K272" i="4"/>
  <c r="F272" i="4"/>
  <c r="K273" i="4"/>
  <c r="F273" i="4"/>
  <c r="K274" i="4"/>
  <c r="F274" i="4"/>
  <c r="K275" i="4"/>
  <c r="F275" i="4"/>
  <c r="K276" i="4"/>
  <c r="F276" i="4"/>
  <c r="K277" i="4"/>
  <c r="F277" i="4"/>
  <c r="K278" i="4"/>
  <c r="F278" i="4"/>
  <c r="K279" i="4"/>
  <c r="F279" i="4"/>
  <c r="H279" i="4"/>
  <c r="K280" i="4"/>
  <c r="F280" i="4"/>
  <c r="E280" i="4"/>
  <c r="K281" i="4"/>
  <c r="F281" i="4"/>
  <c r="K282" i="4"/>
  <c r="F282" i="4"/>
  <c r="K283" i="4"/>
  <c r="F283" i="4"/>
  <c r="K284" i="4"/>
  <c r="F284" i="4"/>
  <c r="K285" i="4"/>
  <c r="F285" i="4"/>
  <c r="K286" i="4"/>
  <c r="F286" i="4"/>
  <c r="K287" i="4"/>
  <c r="F287" i="4"/>
  <c r="K288" i="4"/>
  <c r="F288" i="4"/>
  <c r="K289" i="4"/>
  <c r="F289" i="4"/>
  <c r="K290" i="4"/>
  <c r="F290" i="4"/>
  <c r="K291" i="4"/>
  <c r="F291" i="4"/>
  <c r="H291" i="4"/>
  <c r="K292" i="4"/>
  <c r="F292" i="4"/>
  <c r="E292" i="4"/>
  <c r="K293" i="4"/>
  <c r="F293" i="4"/>
  <c r="K294" i="4"/>
  <c r="F294" i="4"/>
  <c r="K295" i="4"/>
  <c r="F295" i="4"/>
  <c r="K296" i="4"/>
  <c r="F296" i="4"/>
  <c r="K297" i="4"/>
  <c r="F297" i="4"/>
  <c r="K298" i="4"/>
  <c r="F298" i="4"/>
  <c r="K299" i="4"/>
  <c r="F299" i="4"/>
  <c r="K300" i="4"/>
  <c r="F300" i="4"/>
  <c r="K301" i="4"/>
  <c r="F301" i="4"/>
  <c r="K302" i="4"/>
  <c r="F302" i="4"/>
  <c r="K303" i="4"/>
  <c r="F303" i="4"/>
  <c r="K304" i="4"/>
  <c r="F304" i="4"/>
  <c r="E304" i="4"/>
  <c r="K305" i="4"/>
  <c r="F305" i="4"/>
  <c r="K306" i="4"/>
  <c r="F306" i="4"/>
  <c r="K307" i="4"/>
  <c r="F307" i="4"/>
  <c r="K308" i="4"/>
  <c r="F308" i="4"/>
  <c r="K309" i="4"/>
  <c r="F309" i="4"/>
  <c r="K310" i="4"/>
  <c r="F310" i="4"/>
  <c r="K311" i="4"/>
  <c r="F311" i="4"/>
  <c r="K312" i="4"/>
  <c r="F312" i="4"/>
  <c r="K313" i="4"/>
  <c r="F313" i="4"/>
  <c r="K314" i="4"/>
  <c r="F314" i="4"/>
  <c r="K315" i="4"/>
  <c r="F315" i="4"/>
  <c r="K316" i="4"/>
  <c r="F316" i="4"/>
  <c r="E316" i="4"/>
  <c r="K317" i="4"/>
  <c r="F317" i="4"/>
  <c r="K318" i="4"/>
  <c r="F318" i="4"/>
  <c r="K319" i="4"/>
  <c r="F319" i="4"/>
  <c r="K320" i="4"/>
  <c r="F320" i="4"/>
  <c r="K321" i="4"/>
  <c r="F321" i="4"/>
  <c r="K322" i="4"/>
  <c r="F322" i="4"/>
  <c r="K323" i="4"/>
  <c r="F323" i="4"/>
  <c r="K324" i="4"/>
  <c r="F324" i="4"/>
  <c r="K325" i="4"/>
  <c r="F325" i="4"/>
  <c r="K326" i="4"/>
  <c r="F326" i="4"/>
  <c r="K327" i="4"/>
  <c r="F327" i="4"/>
  <c r="K328" i="4"/>
  <c r="F328" i="4"/>
  <c r="E328" i="4"/>
  <c r="K329" i="4"/>
  <c r="F329" i="4"/>
  <c r="K330" i="4"/>
  <c r="F330" i="4"/>
  <c r="K331" i="4"/>
  <c r="F331" i="4"/>
  <c r="K332" i="4"/>
  <c r="F332" i="4"/>
  <c r="K333" i="4"/>
  <c r="F333" i="4"/>
  <c r="K334" i="4"/>
  <c r="F334" i="4"/>
  <c r="K335" i="4"/>
  <c r="F335" i="4"/>
  <c r="K336" i="4"/>
  <c r="F336" i="4"/>
  <c r="K337" i="4"/>
  <c r="F337" i="4"/>
  <c r="K338" i="4"/>
  <c r="F338" i="4"/>
  <c r="K339" i="4"/>
  <c r="F339" i="4"/>
  <c r="K340" i="4"/>
  <c r="F340" i="4"/>
  <c r="E340" i="4"/>
  <c r="K341" i="4"/>
  <c r="F341" i="4"/>
  <c r="K342" i="4"/>
  <c r="F342" i="4"/>
  <c r="K343" i="4"/>
  <c r="F343" i="4"/>
  <c r="K344" i="4"/>
  <c r="F344" i="4"/>
  <c r="K345" i="4"/>
  <c r="F345" i="4"/>
  <c r="K346" i="4"/>
  <c r="F346" i="4"/>
  <c r="K347" i="4"/>
  <c r="F347" i="4"/>
  <c r="K348" i="4"/>
  <c r="F348" i="4"/>
  <c r="K349" i="4"/>
  <c r="F349" i="4"/>
  <c r="K350" i="4"/>
  <c r="F350" i="4"/>
  <c r="K351" i="4"/>
  <c r="F351" i="4"/>
  <c r="K352" i="4"/>
  <c r="F352" i="4"/>
  <c r="E352" i="4"/>
  <c r="K353" i="4"/>
  <c r="F353" i="4"/>
  <c r="K354" i="4"/>
  <c r="F354" i="4"/>
  <c r="K355" i="4"/>
  <c r="F355" i="4"/>
  <c r="K356" i="4"/>
  <c r="F356" i="4"/>
  <c r="K357" i="4"/>
  <c r="F357" i="4"/>
  <c r="K358" i="4"/>
  <c r="F358" i="4"/>
  <c r="K359" i="4"/>
  <c r="F359" i="4"/>
  <c r="K360" i="4"/>
  <c r="F360" i="4"/>
  <c r="K361" i="4"/>
  <c r="F361" i="4"/>
  <c r="K362" i="4"/>
  <c r="F362" i="4"/>
  <c r="K363" i="4"/>
  <c r="F363" i="4"/>
  <c r="K364" i="4"/>
  <c r="F364" i="4"/>
  <c r="E364" i="4"/>
  <c r="K365" i="4"/>
  <c r="F365" i="4"/>
  <c r="K366" i="4"/>
  <c r="F366" i="4"/>
  <c r="K367" i="4"/>
  <c r="F367" i="4"/>
  <c r="K368" i="4"/>
  <c r="F368" i="4"/>
  <c r="K369" i="4"/>
  <c r="F369" i="4"/>
  <c r="K370" i="4"/>
  <c r="F370" i="4"/>
  <c r="K371" i="4"/>
  <c r="F371" i="4"/>
  <c r="K372" i="4"/>
  <c r="F372" i="4"/>
  <c r="K373" i="4"/>
  <c r="F373" i="4"/>
  <c r="K374" i="4"/>
  <c r="F374" i="4"/>
  <c r="K375" i="4"/>
  <c r="F375" i="4"/>
  <c r="K376" i="4"/>
  <c r="F376" i="4"/>
  <c r="E376" i="4"/>
  <c r="K377" i="4"/>
  <c r="F377" i="4"/>
  <c r="K378" i="4"/>
  <c r="F378" i="4"/>
  <c r="K379" i="4"/>
  <c r="F379" i="4"/>
  <c r="K380" i="4"/>
  <c r="F380" i="4"/>
  <c r="K381" i="4"/>
  <c r="F381" i="4"/>
  <c r="K382" i="4"/>
  <c r="F382" i="4"/>
  <c r="K383" i="4"/>
  <c r="F383" i="4"/>
  <c r="K384" i="4"/>
  <c r="F384" i="4"/>
  <c r="K385" i="4"/>
  <c r="F385" i="4"/>
  <c r="K386" i="4"/>
  <c r="F386" i="4"/>
  <c r="K387" i="4"/>
  <c r="F387" i="4"/>
  <c r="K388" i="4"/>
  <c r="F388" i="4"/>
  <c r="E388" i="4"/>
  <c r="K389" i="4"/>
  <c r="F389" i="4"/>
  <c r="K390" i="4"/>
  <c r="F390" i="4"/>
  <c r="K391" i="4"/>
  <c r="F391" i="4"/>
  <c r="K392" i="4"/>
  <c r="F392" i="4"/>
  <c r="K393" i="4"/>
  <c r="F393" i="4"/>
  <c r="K394" i="4"/>
  <c r="F394" i="4"/>
  <c r="K395" i="4"/>
  <c r="F395" i="4"/>
  <c r="K396" i="4"/>
  <c r="F396" i="4"/>
  <c r="K397" i="4"/>
  <c r="F397" i="4"/>
  <c r="K398" i="4"/>
  <c r="F398" i="4"/>
  <c r="K399" i="4"/>
  <c r="F399" i="4"/>
  <c r="K400" i="4"/>
  <c r="F400" i="4"/>
  <c r="E400" i="4"/>
  <c r="K401" i="4"/>
  <c r="F401" i="4"/>
  <c r="K402" i="4"/>
  <c r="F402" i="4"/>
  <c r="K403" i="4"/>
  <c r="F403" i="4"/>
  <c r="K404" i="4"/>
  <c r="F404" i="4"/>
  <c r="K405" i="4"/>
  <c r="F405" i="4"/>
  <c r="K406" i="4"/>
  <c r="F406" i="4"/>
  <c r="K407" i="4"/>
  <c r="F407" i="4"/>
  <c r="K408" i="4"/>
  <c r="F408" i="4"/>
  <c r="K409" i="4"/>
  <c r="F409" i="4"/>
  <c r="K410" i="4"/>
  <c r="F410" i="4"/>
  <c r="K411" i="4"/>
  <c r="F411" i="4"/>
  <c r="K412" i="4"/>
  <c r="F412" i="4"/>
  <c r="E412" i="4"/>
  <c r="K413" i="4"/>
  <c r="F413" i="4"/>
  <c r="K414" i="4"/>
  <c r="F414" i="4"/>
  <c r="K415" i="4"/>
  <c r="F415" i="4"/>
  <c r="K416" i="4"/>
  <c r="F416" i="4"/>
  <c r="K417" i="4"/>
  <c r="F417" i="4"/>
  <c r="K418" i="4"/>
  <c r="F418" i="4"/>
  <c r="K419" i="4"/>
  <c r="F419" i="4"/>
  <c r="K420" i="4"/>
  <c r="F420" i="4"/>
  <c r="K421" i="4"/>
  <c r="F421" i="4"/>
  <c r="K422" i="4"/>
  <c r="F422" i="4"/>
  <c r="K423" i="4"/>
  <c r="F423" i="4"/>
  <c r="K424" i="4"/>
  <c r="F424" i="4"/>
  <c r="E424" i="4"/>
  <c r="K425" i="4"/>
  <c r="F425" i="4"/>
  <c r="K426" i="4"/>
  <c r="F426" i="4"/>
  <c r="K427" i="4"/>
  <c r="F427" i="4"/>
  <c r="K428" i="4"/>
  <c r="F428" i="4"/>
  <c r="K429" i="4"/>
  <c r="F429" i="4"/>
  <c r="K430" i="4"/>
  <c r="F430" i="4"/>
  <c r="K431" i="4"/>
  <c r="F431" i="4"/>
  <c r="K432" i="4"/>
  <c r="F432" i="4"/>
  <c r="K433" i="4"/>
  <c r="F433" i="4"/>
  <c r="K434" i="4"/>
  <c r="F434" i="4"/>
  <c r="K435" i="4"/>
  <c r="F435" i="4"/>
  <c r="E435" i="4" l="1"/>
  <c r="G435" i="4" s="1"/>
  <c r="E434" i="4"/>
  <c r="G434" i="4" s="1"/>
  <c r="E433" i="4"/>
  <c r="G433" i="4" s="1"/>
  <c r="E432" i="4"/>
  <c r="G432" i="4" s="1"/>
  <c r="E431" i="4"/>
  <c r="G431" i="4" s="1"/>
  <c r="E430" i="4"/>
  <c r="G430" i="4" s="1"/>
  <c r="E429" i="4"/>
  <c r="G429" i="4" s="1"/>
  <c r="E428" i="4"/>
  <c r="G428" i="4" s="1"/>
  <c r="E427" i="4"/>
  <c r="G427" i="4" s="1"/>
  <c r="E426" i="4"/>
  <c r="G426" i="4" s="1"/>
  <c r="E425" i="4"/>
  <c r="G425" i="4" s="1"/>
  <c r="G424" i="4"/>
  <c r="E423" i="4"/>
  <c r="G423" i="4" s="1"/>
  <c r="E422" i="4"/>
  <c r="G422" i="4" s="1"/>
  <c r="E421" i="4"/>
  <c r="G421" i="4" s="1"/>
  <c r="E420" i="4"/>
  <c r="G420" i="4" s="1"/>
  <c r="E419" i="4"/>
  <c r="G419" i="4" s="1"/>
  <c r="E418" i="4"/>
  <c r="G418" i="4" s="1"/>
  <c r="E417" i="4"/>
  <c r="G417" i="4" s="1"/>
  <c r="E416" i="4"/>
  <c r="G416" i="4" s="1"/>
  <c r="E415" i="4"/>
  <c r="G415" i="4" s="1"/>
  <c r="E414" i="4"/>
  <c r="G414" i="4" s="1"/>
  <c r="E413" i="4"/>
  <c r="G413" i="4" s="1"/>
  <c r="G412" i="4"/>
  <c r="E411" i="4"/>
  <c r="G411" i="4" s="1"/>
  <c r="E410" i="4"/>
  <c r="G410" i="4" s="1"/>
  <c r="E409" i="4"/>
  <c r="G409" i="4" s="1"/>
  <c r="E408" i="4"/>
  <c r="G408" i="4" s="1"/>
  <c r="E407" i="4"/>
  <c r="G407" i="4" s="1"/>
  <c r="E406" i="4"/>
  <c r="G406" i="4" s="1"/>
  <c r="E405" i="4"/>
  <c r="G405" i="4" s="1"/>
  <c r="E404" i="4"/>
  <c r="G404" i="4" s="1"/>
  <c r="E403" i="4"/>
  <c r="G403" i="4" s="1"/>
  <c r="E402" i="4"/>
  <c r="G402" i="4" s="1"/>
  <c r="E401" i="4"/>
  <c r="G401" i="4" s="1"/>
  <c r="G400" i="4"/>
  <c r="E399" i="4"/>
  <c r="G399" i="4" s="1"/>
  <c r="E398" i="4"/>
  <c r="G398" i="4" s="1"/>
  <c r="E397" i="4"/>
  <c r="G397" i="4" s="1"/>
  <c r="E396" i="4"/>
  <c r="G396" i="4" s="1"/>
  <c r="E395" i="4"/>
  <c r="G395" i="4" s="1"/>
  <c r="E394" i="4"/>
  <c r="G394" i="4" s="1"/>
  <c r="E393" i="4"/>
  <c r="G393" i="4" s="1"/>
  <c r="E392" i="4"/>
  <c r="G392" i="4" s="1"/>
  <c r="E391" i="4"/>
  <c r="G391" i="4" s="1"/>
  <c r="E390" i="4"/>
  <c r="G390" i="4" s="1"/>
  <c r="E389" i="4"/>
  <c r="G389" i="4" s="1"/>
  <c r="G388" i="4"/>
  <c r="E387" i="4"/>
  <c r="G387" i="4" s="1"/>
  <c r="E386" i="4"/>
  <c r="G386" i="4" s="1"/>
  <c r="E385" i="4"/>
  <c r="G385" i="4" s="1"/>
  <c r="E384" i="4"/>
  <c r="G384" i="4" s="1"/>
  <c r="E383" i="4"/>
  <c r="G383" i="4" s="1"/>
  <c r="E382" i="4"/>
  <c r="G382" i="4" s="1"/>
  <c r="E381" i="4"/>
  <c r="G381" i="4" s="1"/>
  <c r="E380" i="4"/>
  <c r="G380" i="4" s="1"/>
  <c r="E379" i="4"/>
  <c r="G379" i="4" s="1"/>
  <c r="E378" i="4"/>
  <c r="G378" i="4" s="1"/>
  <c r="E377" i="4"/>
  <c r="G377" i="4" s="1"/>
  <c r="G376" i="4"/>
  <c r="E375" i="4"/>
  <c r="G375" i="4" s="1"/>
  <c r="E374" i="4"/>
  <c r="G374" i="4" s="1"/>
  <c r="E373" i="4"/>
  <c r="G373" i="4" s="1"/>
  <c r="E372" i="4"/>
  <c r="G372" i="4" s="1"/>
  <c r="E371" i="4"/>
  <c r="G371" i="4" s="1"/>
  <c r="E370" i="4"/>
  <c r="G370" i="4" s="1"/>
  <c r="E369" i="4"/>
  <c r="G369" i="4" s="1"/>
  <c r="E368" i="4"/>
  <c r="G368" i="4" s="1"/>
  <c r="E367" i="4"/>
  <c r="G367" i="4" s="1"/>
  <c r="E366" i="4"/>
  <c r="G366" i="4" s="1"/>
  <c r="E365" i="4"/>
  <c r="G365" i="4" s="1"/>
  <c r="G364" i="4"/>
  <c r="E363" i="4"/>
  <c r="G363" i="4" s="1"/>
  <c r="E362" i="4"/>
  <c r="G362" i="4" s="1"/>
  <c r="E361" i="4"/>
  <c r="G361" i="4" s="1"/>
  <c r="E360" i="4"/>
  <c r="G360" i="4" s="1"/>
  <c r="E359" i="4"/>
  <c r="G359" i="4" s="1"/>
  <c r="E358" i="4"/>
  <c r="G358" i="4" s="1"/>
  <c r="E357" i="4"/>
  <c r="G357" i="4" s="1"/>
  <c r="E356" i="4"/>
  <c r="G356" i="4" s="1"/>
  <c r="E355" i="4"/>
  <c r="G355" i="4" s="1"/>
  <c r="E354" i="4"/>
  <c r="G354" i="4" s="1"/>
  <c r="E353" i="4"/>
  <c r="G353" i="4" s="1"/>
  <c r="G352" i="4"/>
  <c r="E351" i="4"/>
  <c r="G351" i="4" s="1"/>
  <c r="E350" i="4"/>
  <c r="G350" i="4" s="1"/>
  <c r="E349" i="4"/>
  <c r="G349" i="4" s="1"/>
  <c r="E348" i="4"/>
  <c r="G348" i="4" s="1"/>
  <c r="E347" i="4"/>
  <c r="G347" i="4" s="1"/>
  <c r="E346" i="4"/>
  <c r="G346" i="4" s="1"/>
  <c r="E345" i="4"/>
  <c r="G345" i="4" s="1"/>
  <c r="E344" i="4"/>
  <c r="G344" i="4" s="1"/>
  <c r="E343" i="4"/>
  <c r="G343" i="4" s="1"/>
  <c r="E342" i="4"/>
  <c r="G342" i="4" s="1"/>
  <c r="E341" i="4"/>
  <c r="G341" i="4" s="1"/>
  <c r="G340" i="4"/>
  <c r="E339" i="4"/>
  <c r="G339" i="4" s="1"/>
  <c r="E338" i="4"/>
  <c r="G338" i="4" s="1"/>
  <c r="E337" i="4"/>
  <c r="G337" i="4" s="1"/>
  <c r="E336" i="4"/>
  <c r="G336" i="4" s="1"/>
  <c r="E335" i="4"/>
  <c r="G335" i="4" s="1"/>
  <c r="E334" i="4"/>
  <c r="G334" i="4" s="1"/>
  <c r="E333" i="4"/>
  <c r="G333" i="4" s="1"/>
  <c r="E332" i="4"/>
  <c r="G332" i="4" s="1"/>
  <c r="E331" i="4"/>
  <c r="G331" i="4" s="1"/>
  <c r="E330" i="4"/>
  <c r="G330" i="4" s="1"/>
  <c r="E329" i="4"/>
  <c r="G329" i="4" s="1"/>
  <c r="G328" i="4"/>
  <c r="E327" i="4"/>
  <c r="G327" i="4" s="1"/>
  <c r="E326" i="4"/>
  <c r="G326" i="4" s="1"/>
  <c r="E325" i="4"/>
  <c r="G325" i="4" s="1"/>
  <c r="E324" i="4"/>
  <c r="G324" i="4" s="1"/>
  <c r="E323" i="4"/>
  <c r="G323" i="4" s="1"/>
  <c r="E322" i="4"/>
  <c r="G322" i="4" s="1"/>
  <c r="E321" i="4"/>
  <c r="G321" i="4" s="1"/>
  <c r="E320" i="4"/>
  <c r="G320" i="4" s="1"/>
  <c r="E319" i="4"/>
  <c r="G319" i="4" s="1"/>
  <c r="E318" i="4"/>
  <c r="G318" i="4" s="1"/>
  <c r="E317" i="4"/>
  <c r="G317" i="4" s="1"/>
  <c r="G316" i="4"/>
  <c r="E315" i="4"/>
  <c r="G315" i="4" s="1"/>
  <c r="E314" i="4"/>
  <c r="G314" i="4" s="1"/>
  <c r="E313" i="4"/>
  <c r="G313" i="4" s="1"/>
  <c r="E312" i="4"/>
  <c r="G312" i="4" s="1"/>
  <c r="E311" i="4"/>
  <c r="G311" i="4" s="1"/>
  <c r="E310" i="4"/>
  <c r="G310" i="4" s="1"/>
  <c r="E309" i="4"/>
  <c r="G309" i="4" s="1"/>
  <c r="E308" i="4"/>
  <c r="G308" i="4" s="1"/>
  <c r="E307" i="4"/>
  <c r="G307" i="4" s="1"/>
  <c r="E306" i="4"/>
  <c r="G306" i="4" s="1"/>
  <c r="E305" i="4"/>
  <c r="G305" i="4" s="1"/>
  <c r="G304" i="4"/>
  <c r="E303" i="4"/>
  <c r="G303" i="4" s="1"/>
  <c r="E302" i="4"/>
  <c r="G302" i="4" s="1"/>
  <c r="E301" i="4"/>
  <c r="G301" i="4" s="1"/>
  <c r="E300" i="4"/>
  <c r="G300" i="4" s="1"/>
  <c r="E299" i="4"/>
  <c r="G299" i="4" s="1"/>
  <c r="E298" i="4"/>
  <c r="G298" i="4" s="1"/>
  <c r="E297" i="4"/>
  <c r="G297" i="4" s="1"/>
  <c r="E296" i="4"/>
  <c r="G296" i="4" s="1"/>
  <c r="E295" i="4"/>
  <c r="G295" i="4" s="1"/>
  <c r="E294" i="4"/>
  <c r="G294" i="4" s="1"/>
  <c r="E293" i="4"/>
  <c r="G293" i="4" s="1"/>
  <c r="G292" i="4"/>
  <c r="E291" i="4"/>
  <c r="G291" i="4" s="1"/>
  <c r="I291" i="4" s="1"/>
  <c r="J291" i="4" s="1"/>
  <c r="E290" i="4"/>
  <c r="G290" i="4" s="1"/>
  <c r="I290" i="4" s="1"/>
  <c r="J290" i="4" s="1"/>
  <c r="E289" i="4"/>
  <c r="G289" i="4" s="1"/>
  <c r="I289" i="4" s="1"/>
  <c r="J289" i="4" s="1"/>
  <c r="E288" i="4"/>
  <c r="G288" i="4" s="1"/>
  <c r="I288" i="4" s="1"/>
  <c r="J288" i="4" s="1"/>
  <c r="E287" i="4"/>
  <c r="G287" i="4" s="1"/>
  <c r="I287" i="4" s="1"/>
  <c r="J287" i="4" s="1"/>
  <c r="E286" i="4"/>
  <c r="G286" i="4" s="1"/>
  <c r="I286" i="4" s="1"/>
  <c r="J286" i="4" s="1"/>
  <c r="E285" i="4"/>
  <c r="G285" i="4" s="1"/>
  <c r="I285" i="4" s="1"/>
  <c r="J285" i="4" s="1"/>
  <c r="E284" i="4"/>
  <c r="G284" i="4" s="1"/>
  <c r="I284" i="4" s="1"/>
  <c r="J284" i="4" s="1"/>
  <c r="E283" i="4"/>
  <c r="G283" i="4" s="1"/>
  <c r="I283" i="4" s="1"/>
  <c r="J283" i="4" s="1"/>
  <c r="E282" i="4"/>
  <c r="G282" i="4" s="1"/>
  <c r="I282" i="4" s="1"/>
  <c r="J282" i="4" s="1"/>
  <c r="E281" i="4"/>
  <c r="G281" i="4" s="1"/>
  <c r="I281" i="4" s="1"/>
  <c r="J281" i="4" s="1"/>
  <c r="G280" i="4"/>
  <c r="I280" i="4" s="1"/>
  <c r="J280" i="4" s="1"/>
  <c r="E279" i="4"/>
  <c r="G279" i="4" s="1"/>
  <c r="I279" i="4" s="1"/>
  <c r="J279" i="4" s="1"/>
  <c r="E278" i="4"/>
  <c r="G278" i="4" s="1"/>
  <c r="I278" i="4" s="1"/>
  <c r="J278" i="4" s="1"/>
  <c r="E277" i="4"/>
  <c r="G277" i="4" s="1"/>
  <c r="I277" i="4" s="1"/>
  <c r="J277" i="4" s="1"/>
  <c r="E276" i="4"/>
  <c r="G276" i="4" s="1"/>
  <c r="I276" i="4" s="1"/>
  <c r="J276" i="4" s="1"/>
  <c r="E275" i="4"/>
  <c r="G275" i="4" s="1"/>
  <c r="I275" i="4" s="1"/>
  <c r="J275" i="4" s="1"/>
  <c r="E274" i="4"/>
  <c r="G274" i="4" s="1"/>
  <c r="I274" i="4" s="1"/>
  <c r="J274" i="4" s="1"/>
  <c r="E273" i="4"/>
  <c r="G273" i="4" s="1"/>
  <c r="I273" i="4" s="1"/>
  <c r="J273" i="4" s="1"/>
  <c r="E272" i="4"/>
  <c r="G272" i="4" s="1"/>
  <c r="I272" i="4" s="1"/>
  <c r="J272" i="4" s="1"/>
  <c r="E271" i="4"/>
  <c r="G271" i="4" s="1"/>
  <c r="I271" i="4" s="1"/>
  <c r="J271" i="4" s="1"/>
  <c r="E270" i="4"/>
  <c r="G270" i="4" s="1"/>
  <c r="I270" i="4" s="1"/>
  <c r="J270" i="4" s="1"/>
  <c r="E269" i="4"/>
  <c r="G269" i="4" s="1"/>
  <c r="I269" i="4" s="1"/>
  <c r="J269" i="4" s="1"/>
  <c r="G268" i="4"/>
  <c r="I268" i="4" s="1"/>
  <c r="J268" i="4" s="1"/>
  <c r="E267" i="4"/>
  <c r="G267" i="4" s="1"/>
  <c r="I267" i="4" s="1"/>
  <c r="J267" i="4" s="1"/>
  <c r="E266" i="4"/>
  <c r="G266" i="4" s="1"/>
  <c r="I266" i="4" s="1"/>
  <c r="J266" i="4" s="1"/>
  <c r="E265" i="4"/>
  <c r="G265" i="4" s="1"/>
  <c r="I265" i="4" s="1"/>
  <c r="J265" i="4" s="1"/>
  <c r="E264" i="4"/>
  <c r="G264" i="4" s="1"/>
  <c r="I264" i="4" s="1"/>
  <c r="J264" i="4" s="1"/>
  <c r="E263" i="4"/>
  <c r="G263" i="4" s="1"/>
  <c r="I263" i="4" s="1"/>
  <c r="J263" i="4" s="1"/>
  <c r="E262" i="4"/>
  <c r="G262" i="4" s="1"/>
  <c r="I262" i="4" s="1"/>
  <c r="J262" i="4" s="1"/>
  <c r="E261" i="4"/>
  <c r="G261" i="4" s="1"/>
  <c r="I261" i="4" s="1"/>
  <c r="J261" i="4" s="1"/>
  <c r="E260" i="4"/>
  <c r="G260" i="4" s="1"/>
  <c r="I260" i="4" s="1"/>
  <c r="J260" i="4" s="1"/>
  <c r="E259" i="4"/>
  <c r="G259" i="4" s="1"/>
  <c r="I259" i="4" s="1"/>
  <c r="J259" i="4" s="1"/>
  <c r="E258" i="4"/>
  <c r="G258" i="4" s="1"/>
  <c r="I258" i="4" s="1"/>
  <c r="J258" i="4" s="1"/>
  <c r="E257" i="4"/>
  <c r="G257" i="4" s="1"/>
  <c r="I257" i="4" s="1"/>
  <c r="J257" i="4" s="1"/>
  <c r="G256" i="4"/>
  <c r="I256" i="4" s="1"/>
  <c r="J256" i="4" s="1"/>
  <c r="E255" i="4"/>
  <c r="G255" i="4" s="1"/>
  <c r="I255" i="4" s="1"/>
  <c r="J255" i="4" s="1"/>
  <c r="E254" i="4"/>
  <c r="G254" i="4" s="1"/>
  <c r="I254" i="4" s="1"/>
  <c r="J254" i="4" s="1"/>
  <c r="E253" i="4"/>
  <c r="G253" i="4" s="1"/>
  <c r="I253" i="4" s="1"/>
  <c r="J253" i="4" s="1"/>
  <c r="E252" i="4"/>
  <c r="G252" i="4" s="1"/>
  <c r="I252" i="4" s="1"/>
  <c r="J252" i="4" s="1"/>
  <c r="E251" i="4"/>
  <c r="G251" i="4" s="1"/>
  <c r="I251" i="4" s="1"/>
  <c r="J251" i="4" s="1"/>
  <c r="E250" i="4"/>
  <c r="G250" i="4" s="1"/>
  <c r="I250" i="4" s="1"/>
  <c r="J250" i="4" s="1"/>
  <c r="E249" i="4"/>
  <c r="G249" i="4" s="1"/>
  <c r="I249" i="4" s="1"/>
  <c r="J249" i="4" s="1"/>
  <c r="E248" i="4"/>
  <c r="G248" i="4" s="1"/>
  <c r="I248" i="4" s="1"/>
  <c r="J248" i="4" s="1"/>
  <c r="E247" i="4"/>
  <c r="G247" i="4" s="1"/>
  <c r="I247" i="4" s="1"/>
  <c r="J247" i="4" s="1"/>
  <c r="E246" i="4"/>
  <c r="G246" i="4" s="1"/>
  <c r="I246" i="4" s="1"/>
  <c r="J246" i="4" s="1"/>
  <c r="E245" i="4"/>
  <c r="G245" i="4" s="1"/>
  <c r="I245" i="4" s="1"/>
  <c r="J245" i="4" s="1"/>
  <c r="G244" i="4"/>
  <c r="I244" i="4" s="1"/>
  <c r="J244" i="4" s="1"/>
  <c r="E243" i="4"/>
  <c r="G243" i="4" s="1"/>
  <c r="I243" i="4" s="1"/>
  <c r="J243" i="4" s="1"/>
  <c r="E242" i="4"/>
  <c r="G242" i="4" s="1"/>
  <c r="I242" i="4" s="1"/>
  <c r="J242" i="4" s="1"/>
  <c r="E241" i="4"/>
  <c r="G241" i="4" s="1"/>
  <c r="I241" i="4" s="1"/>
  <c r="J241" i="4" s="1"/>
  <c r="E240" i="4"/>
  <c r="G240" i="4" s="1"/>
  <c r="I240" i="4" s="1"/>
  <c r="J240" i="4" s="1"/>
  <c r="E239" i="4"/>
  <c r="G239" i="4" s="1"/>
  <c r="I239" i="4" s="1"/>
  <c r="J239" i="4" s="1"/>
  <c r="E238" i="4"/>
  <c r="G238" i="4" s="1"/>
  <c r="I238" i="4" s="1"/>
  <c r="J238" i="4" s="1"/>
  <c r="E237" i="4"/>
  <c r="G237" i="4" s="1"/>
  <c r="I237" i="4" s="1"/>
  <c r="J237" i="4" s="1"/>
  <c r="E236" i="4"/>
  <c r="G236" i="4" s="1"/>
  <c r="I236" i="4" s="1"/>
  <c r="J236" i="4" s="1"/>
  <c r="E235" i="4"/>
  <c r="G235" i="4" s="1"/>
  <c r="I235" i="4" s="1"/>
  <c r="J235" i="4" s="1"/>
  <c r="E234" i="4"/>
  <c r="G234" i="4" s="1"/>
  <c r="I234" i="4" s="1"/>
  <c r="J234" i="4" s="1"/>
  <c r="E233" i="4"/>
  <c r="G233" i="4" s="1"/>
  <c r="I233" i="4" s="1"/>
  <c r="J233" i="4" s="1"/>
  <c r="G232" i="4"/>
  <c r="I232" i="4" s="1"/>
  <c r="J232" i="4" s="1"/>
  <c r="E231" i="4"/>
  <c r="G231" i="4" s="1"/>
  <c r="I231" i="4" s="1"/>
  <c r="J231" i="4" s="1"/>
  <c r="E230" i="4"/>
  <c r="G230" i="4" s="1"/>
  <c r="I230" i="4" s="1"/>
  <c r="J230" i="4" s="1"/>
  <c r="E229" i="4"/>
  <c r="G229" i="4" s="1"/>
  <c r="I229" i="4" s="1"/>
  <c r="J229" i="4" s="1"/>
  <c r="E228" i="4"/>
  <c r="G228" i="4" s="1"/>
  <c r="I228" i="4" s="1"/>
  <c r="J228" i="4" s="1"/>
  <c r="E227" i="4"/>
  <c r="G227" i="4" s="1"/>
  <c r="I227" i="4" s="1"/>
  <c r="J227" i="4" s="1"/>
  <c r="E226" i="4"/>
  <c r="G226" i="4" s="1"/>
  <c r="I226" i="4" s="1"/>
  <c r="J226" i="4" s="1"/>
  <c r="E225" i="4"/>
  <c r="G225" i="4" s="1"/>
  <c r="I225" i="4" s="1"/>
  <c r="J225" i="4" s="1"/>
  <c r="E224" i="4"/>
  <c r="G224" i="4" s="1"/>
  <c r="I224" i="4" s="1"/>
  <c r="J224" i="4" s="1"/>
  <c r="E223" i="4"/>
  <c r="G223" i="4" s="1"/>
  <c r="I223" i="4" s="1"/>
  <c r="J223" i="4" s="1"/>
  <c r="E222" i="4"/>
  <c r="G222" i="4" s="1"/>
  <c r="I222" i="4" s="1"/>
  <c r="J222" i="4" s="1"/>
  <c r="E221" i="4"/>
  <c r="G221" i="4" s="1"/>
  <c r="I221" i="4" s="1"/>
  <c r="J221" i="4" s="1"/>
  <c r="G220" i="4"/>
  <c r="I220" i="4" s="1"/>
  <c r="J220" i="4" s="1"/>
  <c r="E219" i="4"/>
  <c r="G219" i="4" s="1"/>
  <c r="I219" i="4" s="1"/>
  <c r="J219" i="4" s="1"/>
  <c r="E218" i="4"/>
  <c r="G218" i="4" s="1"/>
  <c r="I218" i="4" s="1"/>
  <c r="J218" i="4" s="1"/>
  <c r="E217" i="4"/>
  <c r="G217" i="4" s="1"/>
  <c r="I217" i="4" s="1"/>
  <c r="J217" i="4" s="1"/>
  <c r="E216" i="4"/>
  <c r="G216" i="4" s="1"/>
  <c r="I216" i="4" s="1"/>
  <c r="J216" i="4" s="1"/>
  <c r="E215" i="4"/>
  <c r="G215" i="4" s="1"/>
  <c r="I215" i="4" s="1"/>
  <c r="J215" i="4" s="1"/>
  <c r="E214" i="4"/>
  <c r="G214" i="4" s="1"/>
  <c r="I214" i="4" s="1"/>
  <c r="J214" i="4" s="1"/>
  <c r="E213" i="4"/>
  <c r="G213" i="4" s="1"/>
  <c r="I213" i="4" s="1"/>
  <c r="J213" i="4" s="1"/>
  <c r="E212" i="4"/>
  <c r="G212" i="4" s="1"/>
  <c r="I212" i="4" s="1"/>
  <c r="J212" i="4" s="1"/>
  <c r="E211" i="4"/>
  <c r="G211" i="4" s="1"/>
  <c r="I211" i="4" s="1"/>
  <c r="J211" i="4" s="1"/>
  <c r="E210" i="4"/>
  <c r="G210" i="4" s="1"/>
  <c r="I210" i="4" s="1"/>
  <c r="J210" i="4" s="1"/>
  <c r="E209" i="4"/>
  <c r="G209" i="4" s="1"/>
  <c r="I209" i="4" s="1"/>
  <c r="J209" i="4" s="1"/>
  <c r="G208" i="4"/>
  <c r="I208" i="4" s="1"/>
  <c r="J208" i="4" s="1"/>
  <c r="E207" i="4"/>
  <c r="G207" i="4" s="1"/>
  <c r="I207" i="4" s="1"/>
  <c r="J207" i="4" s="1"/>
  <c r="E206" i="4"/>
  <c r="G206" i="4" s="1"/>
  <c r="I206" i="4" s="1"/>
  <c r="J206" i="4" s="1"/>
  <c r="E205" i="4"/>
  <c r="G205" i="4" s="1"/>
  <c r="I205" i="4" s="1"/>
  <c r="J205" i="4" s="1"/>
  <c r="E204" i="4"/>
  <c r="G204" i="4" s="1"/>
  <c r="I204" i="4" s="1"/>
  <c r="J204" i="4" s="1"/>
  <c r="E203" i="4"/>
  <c r="G203" i="4" s="1"/>
  <c r="I203" i="4" s="1"/>
  <c r="J203" i="4" s="1"/>
  <c r="E202" i="4"/>
  <c r="G202" i="4" s="1"/>
  <c r="I202" i="4" s="1"/>
  <c r="J202" i="4" s="1"/>
  <c r="E201" i="4"/>
  <c r="G201" i="4" s="1"/>
  <c r="I201" i="4" s="1"/>
  <c r="J201" i="4" s="1"/>
  <c r="E200" i="4"/>
  <c r="G200" i="4" s="1"/>
  <c r="I200" i="4" s="1"/>
  <c r="J200" i="4" s="1"/>
  <c r="E199" i="4"/>
  <c r="G199" i="4" s="1"/>
  <c r="I199" i="4" s="1"/>
  <c r="J199" i="4" s="1"/>
  <c r="E198" i="4"/>
  <c r="G198" i="4" s="1"/>
  <c r="I198" i="4" s="1"/>
  <c r="J198" i="4" s="1"/>
  <c r="E197" i="4"/>
  <c r="G197" i="4" s="1"/>
  <c r="I197" i="4" s="1"/>
  <c r="J197" i="4" s="1"/>
  <c r="G196" i="4"/>
  <c r="I196" i="4" s="1"/>
  <c r="J196" i="4" s="1"/>
  <c r="E195" i="4"/>
  <c r="G195" i="4" s="1"/>
  <c r="I195" i="4" s="1"/>
  <c r="J195" i="4" s="1"/>
  <c r="E194" i="4"/>
  <c r="G194" i="4" s="1"/>
  <c r="I194" i="4" s="1"/>
  <c r="J194" i="4" s="1"/>
  <c r="E193" i="4"/>
  <c r="G193" i="4" s="1"/>
  <c r="I193" i="4" s="1"/>
  <c r="J193" i="4" s="1"/>
  <c r="E192" i="4"/>
  <c r="G192" i="4" s="1"/>
  <c r="I192" i="4" s="1"/>
  <c r="J192" i="4" s="1"/>
  <c r="E191" i="4"/>
  <c r="G191" i="4" s="1"/>
  <c r="I191" i="4" s="1"/>
  <c r="J191" i="4" s="1"/>
  <c r="E190" i="4"/>
  <c r="G190" i="4" s="1"/>
  <c r="I190" i="4" s="1"/>
  <c r="J190" i="4" s="1"/>
  <c r="E189" i="4"/>
  <c r="G189" i="4" s="1"/>
  <c r="I189" i="4" s="1"/>
  <c r="J189" i="4" s="1"/>
  <c r="E188" i="4"/>
  <c r="G188" i="4" s="1"/>
  <c r="I188" i="4" s="1"/>
  <c r="J188" i="4" s="1"/>
  <c r="E187" i="4"/>
  <c r="G187" i="4" s="1"/>
  <c r="I187" i="4" s="1"/>
  <c r="J187" i="4" s="1"/>
  <c r="E186" i="4"/>
  <c r="G186" i="4" s="1"/>
  <c r="I186" i="4" s="1"/>
  <c r="J186" i="4" s="1"/>
  <c r="E185" i="4"/>
  <c r="G185" i="4" s="1"/>
  <c r="I185" i="4" s="1"/>
  <c r="J185" i="4" s="1"/>
  <c r="G184" i="4"/>
  <c r="I184" i="4" s="1"/>
  <c r="J184" i="4" s="1"/>
  <c r="E183" i="4"/>
  <c r="G183" i="4" s="1"/>
  <c r="I183" i="4" s="1"/>
  <c r="J183" i="4" s="1"/>
  <c r="E182" i="4"/>
  <c r="G182" i="4" s="1"/>
  <c r="I182" i="4" s="1"/>
  <c r="J182" i="4" s="1"/>
  <c r="E181" i="4"/>
  <c r="G181" i="4" s="1"/>
  <c r="I181" i="4" s="1"/>
  <c r="J181" i="4" s="1"/>
  <c r="E180" i="4"/>
  <c r="G180" i="4" s="1"/>
  <c r="I180" i="4" s="1"/>
  <c r="J180" i="4" s="1"/>
  <c r="E179" i="4"/>
  <c r="G179" i="4" s="1"/>
  <c r="I179" i="4" s="1"/>
  <c r="J179" i="4" s="1"/>
  <c r="E178" i="4"/>
  <c r="G178" i="4" s="1"/>
  <c r="I178" i="4" s="1"/>
  <c r="J178" i="4" s="1"/>
  <c r="E177" i="4"/>
  <c r="G177" i="4" s="1"/>
  <c r="I177" i="4" s="1"/>
  <c r="J177" i="4" s="1"/>
  <c r="E176" i="4"/>
  <c r="G176" i="4" s="1"/>
  <c r="I176" i="4" s="1"/>
  <c r="J176" i="4" s="1"/>
  <c r="E175" i="4"/>
  <c r="G175" i="4" s="1"/>
  <c r="I175" i="4" s="1"/>
  <c r="J175" i="4" s="1"/>
  <c r="E174" i="4"/>
  <c r="G174" i="4" s="1"/>
  <c r="I174" i="4" s="1"/>
  <c r="J174" i="4" s="1"/>
  <c r="E173" i="4"/>
  <c r="G173" i="4" s="1"/>
  <c r="I173" i="4" s="1"/>
  <c r="J173" i="4" s="1"/>
  <c r="G172" i="4"/>
  <c r="I172" i="4" s="1"/>
  <c r="J172" i="4" s="1"/>
  <c r="E171" i="4"/>
  <c r="G171" i="4" s="1"/>
  <c r="I171" i="4" s="1"/>
  <c r="J171" i="4" s="1"/>
  <c r="E170" i="4"/>
  <c r="G170" i="4" s="1"/>
  <c r="I170" i="4" s="1"/>
  <c r="J170" i="4" s="1"/>
  <c r="E169" i="4"/>
  <c r="G169" i="4" s="1"/>
  <c r="I169" i="4" s="1"/>
  <c r="J169" i="4" s="1"/>
  <c r="E168" i="4"/>
  <c r="G168" i="4" s="1"/>
  <c r="I168" i="4" s="1"/>
  <c r="J168" i="4" s="1"/>
  <c r="E167" i="4"/>
  <c r="G167" i="4" s="1"/>
  <c r="I167" i="4" s="1"/>
  <c r="J167" i="4" s="1"/>
  <c r="E166" i="4"/>
  <c r="G166" i="4" s="1"/>
  <c r="I166" i="4" s="1"/>
  <c r="J166" i="4" s="1"/>
  <c r="E165" i="4"/>
  <c r="G165" i="4" s="1"/>
  <c r="I165" i="4" s="1"/>
  <c r="J165" i="4" s="1"/>
  <c r="E164" i="4"/>
  <c r="G164" i="4" s="1"/>
  <c r="I164" i="4" s="1"/>
  <c r="J164" i="4" s="1"/>
  <c r="E163" i="4"/>
  <c r="G163" i="4" s="1"/>
  <c r="I163" i="4" s="1"/>
  <c r="J163" i="4" s="1"/>
  <c r="E162" i="4"/>
  <c r="G162" i="4" s="1"/>
  <c r="I162" i="4" s="1"/>
  <c r="J162" i="4" s="1"/>
  <c r="E161" i="4"/>
  <c r="G161" i="4" s="1"/>
  <c r="I161" i="4" s="1"/>
  <c r="J161" i="4" s="1"/>
  <c r="G160" i="4"/>
  <c r="I160" i="4" s="1"/>
  <c r="J160" i="4" s="1"/>
  <c r="E159" i="4"/>
  <c r="G159" i="4" s="1"/>
  <c r="I159" i="4" s="1"/>
  <c r="J159" i="4" s="1"/>
  <c r="E158" i="4"/>
  <c r="G158" i="4" s="1"/>
  <c r="I158" i="4" s="1"/>
  <c r="J158" i="4" s="1"/>
  <c r="E157" i="4"/>
  <c r="G157" i="4" s="1"/>
  <c r="I157" i="4" s="1"/>
  <c r="J157" i="4" s="1"/>
  <c r="E156" i="4"/>
  <c r="G156" i="4" s="1"/>
  <c r="I156" i="4" s="1"/>
  <c r="J156" i="4" s="1"/>
  <c r="E155" i="4"/>
  <c r="G155" i="4" s="1"/>
  <c r="I155" i="4" s="1"/>
  <c r="J155" i="4" s="1"/>
  <c r="E154" i="4"/>
  <c r="G154" i="4" s="1"/>
  <c r="I154" i="4" s="1"/>
  <c r="J154" i="4" s="1"/>
  <c r="E153" i="4"/>
  <c r="G153" i="4" s="1"/>
  <c r="I153" i="4" s="1"/>
  <c r="J153" i="4" s="1"/>
  <c r="E152" i="4"/>
  <c r="G152" i="4" s="1"/>
  <c r="I152" i="4" s="1"/>
  <c r="J152" i="4" s="1"/>
  <c r="E151" i="4"/>
  <c r="G151" i="4" s="1"/>
  <c r="I151" i="4" s="1"/>
  <c r="J151" i="4" s="1"/>
  <c r="E150" i="4"/>
  <c r="G150" i="4" s="1"/>
  <c r="I150" i="4" s="1"/>
  <c r="J150" i="4" s="1"/>
  <c r="E149" i="4"/>
  <c r="G149" i="4" s="1"/>
  <c r="I149" i="4" s="1"/>
  <c r="J149" i="4" s="1"/>
  <c r="G148" i="4"/>
  <c r="I148" i="4" s="1"/>
  <c r="J148" i="4" s="1"/>
  <c r="E147" i="4"/>
  <c r="G147" i="4" s="1"/>
  <c r="I147" i="4" s="1"/>
  <c r="J147" i="4" s="1"/>
  <c r="E146" i="4"/>
  <c r="G146" i="4" s="1"/>
  <c r="I146" i="4" s="1"/>
  <c r="J146" i="4" s="1"/>
  <c r="E145" i="4"/>
  <c r="G145" i="4" s="1"/>
  <c r="I145" i="4" s="1"/>
  <c r="J145" i="4" s="1"/>
  <c r="E144" i="4"/>
  <c r="G144" i="4" s="1"/>
  <c r="I144" i="4" s="1"/>
  <c r="J144" i="4" s="1"/>
  <c r="E143" i="4"/>
  <c r="G143" i="4" s="1"/>
  <c r="I143" i="4" s="1"/>
  <c r="J143" i="4" s="1"/>
  <c r="E142" i="4"/>
  <c r="G142" i="4" s="1"/>
  <c r="I142" i="4" s="1"/>
  <c r="J142" i="4" s="1"/>
  <c r="E141" i="4"/>
  <c r="G141" i="4" s="1"/>
  <c r="I141" i="4" s="1"/>
  <c r="J141" i="4" s="1"/>
  <c r="E140" i="4"/>
  <c r="G140" i="4" s="1"/>
  <c r="I140" i="4" s="1"/>
  <c r="J140" i="4" s="1"/>
  <c r="E139" i="4"/>
  <c r="G139" i="4" s="1"/>
  <c r="I139" i="4" s="1"/>
  <c r="J139" i="4" s="1"/>
  <c r="E138" i="4"/>
  <c r="G138" i="4" s="1"/>
  <c r="I138" i="4" s="1"/>
  <c r="J138" i="4" s="1"/>
  <c r="E137" i="4"/>
  <c r="G137" i="4" s="1"/>
  <c r="I137" i="4" s="1"/>
  <c r="J137" i="4" s="1"/>
  <c r="G136" i="4"/>
  <c r="I136" i="4" s="1"/>
  <c r="J136" i="4" s="1"/>
  <c r="E135" i="4"/>
  <c r="G135" i="4" s="1"/>
  <c r="I135" i="4" s="1"/>
  <c r="J135" i="4" s="1"/>
  <c r="E134" i="4"/>
  <c r="G134" i="4" s="1"/>
  <c r="I134" i="4" s="1"/>
  <c r="J134" i="4" s="1"/>
  <c r="E133" i="4"/>
  <c r="G133" i="4" s="1"/>
  <c r="I133" i="4" s="1"/>
  <c r="J133" i="4" s="1"/>
  <c r="E132" i="4"/>
  <c r="G132" i="4" s="1"/>
  <c r="I132" i="4" s="1"/>
  <c r="J132" i="4" s="1"/>
  <c r="E131" i="4"/>
  <c r="G131" i="4" s="1"/>
  <c r="I131" i="4" s="1"/>
  <c r="J131" i="4" s="1"/>
  <c r="E130" i="4"/>
  <c r="G130" i="4" s="1"/>
  <c r="I130" i="4" s="1"/>
  <c r="J130" i="4" s="1"/>
  <c r="E129" i="4"/>
  <c r="G129" i="4" s="1"/>
  <c r="I129" i="4" s="1"/>
  <c r="J129" i="4" s="1"/>
  <c r="E128" i="4"/>
  <c r="G128" i="4" s="1"/>
  <c r="I128" i="4" s="1"/>
  <c r="J128" i="4" s="1"/>
  <c r="E127" i="4"/>
  <c r="G127" i="4" s="1"/>
  <c r="I127" i="4" s="1"/>
  <c r="J127" i="4" s="1"/>
  <c r="E126" i="4"/>
  <c r="G126" i="4" s="1"/>
  <c r="I126" i="4" s="1"/>
  <c r="J126" i="4" s="1"/>
  <c r="E125" i="4"/>
  <c r="G125" i="4" s="1"/>
  <c r="I125" i="4" s="1"/>
  <c r="J125" i="4" s="1"/>
  <c r="G124" i="4"/>
  <c r="I124" i="4" s="1"/>
  <c r="J124" i="4" s="1"/>
  <c r="E123" i="4"/>
  <c r="G123" i="4" s="1"/>
  <c r="I123" i="4" s="1"/>
  <c r="J123" i="4" s="1"/>
  <c r="E122" i="4"/>
  <c r="G122" i="4" s="1"/>
  <c r="I122" i="4" s="1"/>
  <c r="J122" i="4" s="1"/>
  <c r="E121" i="4"/>
  <c r="G121" i="4" s="1"/>
  <c r="I121" i="4" s="1"/>
  <c r="J121" i="4" s="1"/>
  <c r="E120" i="4"/>
  <c r="G120" i="4" s="1"/>
  <c r="I120" i="4" s="1"/>
  <c r="J120" i="4" s="1"/>
  <c r="E119" i="4"/>
  <c r="G119" i="4" s="1"/>
  <c r="I119" i="4" s="1"/>
  <c r="J119" i="4" s="1"/>
  <c r="E118" i="4"/>
  <c r="G118" i="4" s="1"/>
  <c r="I118" i="4" s="1"/>
  <c r="J118" i="4" s="1"/>
  <c r="E117" i="4"/>
  <c r="G117" i="4" s="1"/>
  <c r="I117" i="4" s="1"/>
  <c r="J117" i="4" s="1"/>
  <c r="E116" i="4"/>
  <c r="G116" i="4" s="1"/>
  <c r="I116" i="4" s="1"/>
  <c r="J116" i="4" s="1"/>
  <c r="E115" i="4"/>
  <c r="G115" i="4" s="1"/>
  <c r="I115" i="4" s="1"/>
  <c r="J115" i="4" s="1"/>
  <c r="E114" i="4"/>
  <c r="G114" i="4" s="1"/>
  <c r="I114" i="4" s="1"/>
  <c r="J114" i="4" s="1"/>
  <c r="E113" i="4"/>
  <c r="G113" i="4" s="1"/>
  <c r="I113" i="4" s="1"/>
  <c r="J113" i="4" s="1"/>
  <c r="G112" i="4"/>
  <c r="I112" i="4" s="1"/>
  <c r="J112" i="4" s="1"/>
  <c r="E111" i="4"/>
  <c r="G111" i="4" s="1"/>
  <c r="I111" i="4" s="1"/>
  <c r="J111" i="4" s="1"/>
  <c r="E110" i="4"/>
  <c r="G110" i="4" s="1"/>
  <c r="I110" i="4" s="1"/>
  <c r="J110" i="4" s="1"/>
  <c r="E109" i="4"/>
  <c r="G109" i="4" s="1"/>
  <c r="I109" i="4" s="1"/>
  <c r="J109" i="4" s="1"/>
  <c r="E108" i="4"/>
  <c r="G108" i="4" s="1"/>
  <c r="I108" i="4" s="1"/>
  <c r="J108" i="4" s="1"/>
  <c r="E107" i="4"/>
  <c r="G107" i="4" s="1"/>
  <c r="I107" i="4" s="1"/>
  <c r="J107" i="4" s="1"/>
  <c r="E106" i="4"/>
  <c r="G106" i="4" s="1"/>
  <c r="I106" i="4" s="1"/>
  <c r="J106" i="4" s="1"/>
  <c r="E105" i="4"/>
  <c r="G105" i="4" s="1"/>
  <c r="I105" i="4" s="1"/>
  <c r="J105" i="4" s="1"/>
  <c r="E104" i="4"/>
  <c r="G104" i="4" s="1"/>
  <c r="I104" i="4" s="1"/>
  <c r="J104" i="4" s="1"/>
  <c r="E103" i="4"/>
  <c r="G103" i="4" s="1"/>
  <c r="I103" i="4" s="1"/>
  <c r="J103" i="4" s="1"/>
  <c r="E102" i="4"/>
  <c r="G102" i="4" s="1"/>
  <c r="I102" i="4" s="1"/>
  <c r="J102" i="4" s="1"/>
  <c r="E101" i="4"/>
  <c r="G101" i="4" s="1"/>
  <c r="I101" i="4" s="1"/>
  <c r="J101" i="4" s="1"/>
  <c r="G100" i="4"/>
  <c r="I100" i="4" s="1"/>
  <c r="J100" i="4" s="1"/>
  <c r="E99" i="4"/>
  <c r="G99" i="4" s="1"/>
  <c r="I99" i="4" s="1"/>
  <c r="J99" i="4" s="1"/>
  <c r="E98" i="4"/>
  <c r="G98" i="4" s="1"/>
  <c r="I98" i="4" s="1"/>
  <c r="J98" i="4" s="1"/>
  <c r="E97" i="4"/>
  <c r="G97" i="4" s="1"/>
  <c r="I97" i="4" s="1"/>
  <c r="J97" i="4" s="1"/>
  <c r="E96" i="4"/>
  <c r="G96" i="4" s="1"/>
  <c r="I96" i="4" s="1"/>
  <c r="J96" i="4" s="1"/>
  <c r="E95" i="4"/>
  <c r="G95" i="4" s="1"/>
  <c r="I95" i="4" s="1"/>
  <c r="J95" i="4" s="1"/>
  <c r="E94" i="4"/>
  <c r="G94" i="4" s="1"/>
  <c r="I94" i="4" s="1"/>
  <c r="J94" i="4" s="1"/>
  <c r="E93" i="4"/>
  <c r="G93" i="4" s="1"/>
  <c r="I93" i="4" s="1"/>
  <c r="J93" i="4" s="1"/>
  <c r="E92" i="4"/>
  <c r="G92" i="4" s="1"/>
  <c r="I92" i="4" s="1"/>
  <c r="J92" i="4" s="1"/>
  <c r="E91" i="4"/>
  <c r="G91" i="4" s="1"/>
  <c r="I91" i="4" s="1"/>
  <c r="J91" i="4" s="1"/>
  <c r="E90" i="4"/>
  <c r="G90" i="4" s="1"/>
  <c r="I90" i="4" s="1"/>
  <c r="J90" i="4" s="1"/>
  <c r="E89" i="4"/>
  <c r="G89" i="4" s="1"/>
  <c r="I89" i="4" s="1"/>
  <c r="J89" i="4" s="1"/>
  <c r="G88" i="4"/>
  <c r="I88" i="4" s="1"/>
  <c r="J88" i="4" s="1"/>
  <c r="E87" i="4"/>
  <c r="G87" i="4" s="1"/>
  <c r="I87" i="4" s="1"/>
  <c r="J87" i="4" s="1"/>
  <c r="E86" i="4"/>
  <c r="G86" i="4" s="1"/>
  <c r="I86" i="4" s="1"/>
  <c r="J86" i="4" s="1"/>
  <c r="E85" i="4"/>
  <c r="G85" i="4" s="1"/>
  <c r="I85" i="4" s="1"/>
  <c r="J85" i="4" s="1"/>
  <c r="E84" i="4"/>
  <c r="G84" i="4" s="1"/>
  <c r="I84" i="4" s="1"/>
  <c r="J84" i="4" s="1"/>
  <c r="E83" i="4"/>
  <c r="G83" i="4" s="1"/>
  <c r="I83" i="4" s="1"/>
  <c r="J83" i="4" s="1"/>
  <c r="E82" i="4"/>
  <c r="G82" i="4" s="1"/>
  <c r="I82" i="4" s="1"/>
  <c r="J82" i="4" s="1"/>
  <c r="E81" i="4"/>
  <c r="G81" i="4" s="1"/>
  <c r="I81" i="4" s="1"/>
  <c r="J81" i="4" s="1"/>
  <c r="E80" i="4"/>
  <c r="G80" i="4" s="1"/>
  <c r="I80" i="4" s="1"/>
  <c r="J80" i="4" s="1"/>
  <c r="E79" i="4"/>
  <c r="G79" i="4" s="1"/>
  <c r="I79" i="4" s="1"/>
  <c r="J79" i="4" s="1"/>
  <c r="E78" i="4"/>
  <c r="G78" i="4" s="1"/>
  <c r="I78" i="4" s="1"/>
  <c r="J78" i="4" s="1"/>
  <c r="E77" i="4"/>
  <c r="G77" i="4" s="1"/>
  <c r="I77" i="4" s="1"/>
  <c r="J77" i="4" s="1"/>
  <c r="G76" i="4"/>
  <c r="I76" i="4" s="1"/>
  <c r="J76" i="4" s="1"/>
  <c r="E75" i="4"/>
  <c r="G75" i="4" s="1"/>
  <c r="I75" i="4" s="1"/>
  <c r="J75" i="4" s="1"/>
  <c r="E74" i="4"/>
  <c r="G74" i="4" s="1"/>
  <c r="I74" i="4" s="1"/>
  <c r="J74" i="4" s="1"/>
  <c r="E73" i="4"/>
  <c r="G73" i="4" s="1"/>
  <c r="I73" i="4" s="1"/>
  <c r="J73" i="4" s="1"/>
  <c r="E72" i="4"/>
  <c r="G72" i="4" s="1"/>
  <c r="I72" i="4" s="1"/>
  <c r="J72" i="4" s="1"/>
  <c r="E71" i="4"/>
  <c r="G71" i="4" s="1"/>
  <c r="I71" i="4" s="1"/>
  <c r="J71" i="4" s="1"/>
  <c r="E70" i="4"/>
  <c r="G70" i="4" s="1"/>
  <c r="I70" i="4" s="1"/>
  <c r="J70" i="4" s="1"/>
  <c r="E69" i="4"/>
  <c r="G69" i="4" s="1"/>
  <c r="I69" i="4" s="1"/>
  <c r="J69" i="4" s="1"/>
  <c r="E68" i="4"/>
  <c r="G68" i="4" s="1"/>
  <c r="I68" i="4" s="1"/>
  <c r="J68" i="4" s="1"/>
  <c r="E67" i="4"/>
  <c r="G67" i="4" s="1"/>
  <c r="I67" i="4" s="1"/>
  <c r="J67" i="4" s="1"/>
  <c r="E66" i="4"/>
  <c r="G66" i="4" s="1"/>
  <c r="I66" i="4" s="1"/>
  <c r="J66" i="4" s="1"/>
  <c r="E65" i="4"/>
  <c r="G65" i="4" s="1"/>
  <c r="I65" i="4" s="1"/>
  <c r="J65" i="4" s="1"/>
  <c r="G64" i="4"/>
  <c r="I64" i="4" s="1"/>
  <c r="J64" i="4" s="1"/>
  <c r="E63" i="4"/>
  <c r="G63" i="4" s="1"/>
  <c r="I63" i="4" s="1"/>
  <c r="J63" i="4" s="1"/>
  <c r="E62" i="4"/>
  <c r="G62" i="4" s="1"/>
  <c r="I62" i="4" s="1"/>
  <c r="J62" i="4" s="1"/>
  <c r="E61" i="4"/>
  <c r="G61" i="4" s="1"/>
  <c r="I61" i="4" s="1"/>
  <c r="J61" i="4" s="1"/>
  <c r="E60" i="4"/>
  <c r="G60" i="4" s="1"/>
  <c r="I60" i="4" s="1"/>
  <c r="J60" i="4" s="1"/>
  <c r="E59" i="4"/>
  <c r="G59" i="4" s="1"/>
  <c r="I59" i="4" s="1"/>
  <c r="J59" i="4" s="1"/>
  <c r="E58" i="4"/>
  <c r="G58" i="4" s="1"/>
  <c r="I58" i="4" s="1"/>
  <c r="J58" i="4" s="1"/>
  <c r="E57" i="4"/>
  <c r="G57" i="4" s="1"/>
  <c r="I57" i="4" s="1"/>
  <c r="J57" i="4" s="1"/>
  <c r="E56" i="4"/>
  <c r="G56" i="4" s="1"/>
  <c r="I56" i="4" s="1"/>
  <c r="J56" i="4" s="1"/>
  <c r="E55" i="4"/>
  <c r="G55" i="4" s="1"/>
  <c r="I55" i="4" s="1"/>
  <c r="J55" i="4" s="1"/>
  <c r="E54" i="4"/>
  <c r="G54" i="4" s="1"/>
  <c r="I54" i="4" s="1"/>
  <c r="J54" i="4" s="1"/>
  <c r="E53" i="4"/>
  <c r="G53" i="4" s="1"/>
  <c r="I53" i="4" s="1"/>
  <c r="J53" i="4" s="1"/>
  <c r="G52" i="4"/>
  <c r="I52" i="4" s="1"/>
  <c r="J52" i="4" s="1"/>
  <c r="E51" i="4"/>
  <c r="G51" i="4" s="1"/>
  <c r="I51" i="4" s="1"/>
  <c r="J51" i="4" s="1"/>
  <c r="E50" i="4"/>
  <c r="G50" i="4" s="1"/>
  <c r="I50" i="4" s="1"/>
  <c r="J50" i="4" s="1"/>
  <c r="E49" i="4"/>
  <c r="G49" i="4" s="1"/>
  <c r="I49" i="4" s="1"/>
  <c r="J49" i="4" s="1"/>
  <c r="E48" i="4"/>
  <c r="G48" i="4" s="1"/>
  <c r="I48" i="4" s="1"/>
  <c r="J48" i="4" s="1"/>
  <c r="E47" i="4"/>
  <c r="G47" i="4" s="1"/>
  <c r="I47" i="4" s="1"/>
  <c r="J47" i="4" s="1"/>
  <c r="E46" i="4"/>
  <c r="G46" i="4" s="1"/>
  <c r="I46" i="4" s="1"/>
  <c r="J46" i="4" s="1"/>
  <c r="E45" i="4"/>
  <c r="G45" i="4" s="1"/>
  <c r="I45" i="4" s="1"/>
  <c r="J45" i="4" s="1"/>
  <c r="E44" i="4"/>
  <c r="G44" i="4" s="1"/>
  <c r="I44" i="4" s="1"/>
  <c r="J44" i="4" s="1"/>
  <c r="E43" i="4"/>
  <c r="G43" i="4" s="1"/>
  <c r="I43" i="4" s="1"/>
  <c r="J43" i="4" s="1"/>
  <c r="E42" i="4"/>
  <c r="G42" i="4" s="1"/>
  <c r="I42" i="4" s="1"/>
  <c r="J42" i="4" s="1"/>
  <c r="E41" i="4"/>
  <c r="G41" i="4" s="1"/>
  <c r="I41" i="4" s="1"/>
  <c r="J41" i="4" s="1"/>
  <c r="G40" i="4"/>
  <c r="I40" i="4" s="1"/>
  <c r="J40" i="4" s="1"/>
  <c r="E39" i="4"/>
  <c r="G39" i="4" s="1"/>
  <c r="I39" i="4" s="1"/>
  <c r="J39" i="4" s="1"/>
  <c r="E38" i="4"/>
  <c r="G38" i="4" s="1"/>
  <c r="I38" i="4" s="1"/>
  <c r="J38" i="4" s="1"/>
  <c r="E37" i="4"/>
  <c r="G37" i="4" s="1"/>
  <c r="I37" i="4" s="1"/>
  <c r="J37" i="4" s="1"/>
  <c r="E36" i="4"/>
  <c r="G36" i="4" s="1"/>
  <c r="I36" i="4" s="1"/>
  <c r="J36" i="4" s="1"/>
  <c r="E35" i="4"/>
  <c r="G35" i="4" s="1"/>
  <c r="I35" i="4" s="1"/>
  <c r="J35" i="4" s="1"/>
  <c r="E34" i="4"/>
  <c r="G34" i="4" s="1"/>
  <c r="I34" i="4" s="1"/>
  <c r="J34" i="4" s="1"/>
  <c r="E33" i="4"/>
  <c r="G33" i="4" s="1"/>
  <c r="I33" i="4" s="1"/>
  <c r="J33" i="4" s="1"/>
  <c r="E32" i="4"/>
  <c r="G32" i="4" s="1"/>
  <c r="I32" i="4" s="1"/>
  <c r="J32" i="4" s="1"/>
  <c r="E31" i="4"/>
  <c r="G31" i="4" s="1"/>
  <c r="I31" i="4" s="1"/>
  <c r="J31" i="4" s="1"/>
  <c r="E30" i="4"/>
  <c r="G30" i="4" s="1"/>
  <c r="I30" i="4" s="1"/>
  <c r="J30" i="4" s="1"/>
  <c r="E29" i="4"/>
  <c r="G29" i="4" s="1"/>
  <c r="I29" i="4" s="1"/>
  <c r="J29" i="4" s="1"/>
  <c r="G28" i="4"/>
  <c r="I28" i="4" s="1"/>
  <c r="J28" i="4" s="1"/>
  <c r="E27" i="4"/>
  <c r="G27" i="4" s="1"/>
  <c r="I27" i="4" s="1"/>
  <c r="J27" i="4" s="1"/>
  <c r="E26" i="4"/>
  <c r="G26" i="4" s="1"/>
  <c r="I26" i="4" s="1"/>
  <c r="J26" i="4" s="1"/>
  <c r="E25" i="4"/>
  <c r="G25" i="4" s="1"/>
  <c r="I25" i="4" s="1"/>
  <c r="J25" i="4" s="1"/>
  <c r="E24" i="4"/>
  <c r="G24" i="4" s="1"/>
  <c r="I24" i="4" s="1"/>
  <c r="J24" i="4" s="1"/>
  <c r="E23" i="4"/>
  <c r="G23" i="4" s="1"/>
  <c r="I23" i="4" s="1"/>
  <c r="J23" i="4" s="1"/>
  <c r="E22" i="4"/>
  <c r="G22" i="4" s="1"/>
  <c r="I22" i="4" s="1"/>
  <c r="J22" i="4" s="1"/>
  <c r="E21" i="4"/>
  <c r="G21" i="4" s="1"/>
  <c r="I21" i="4" s="1"/>
  <c r="J21" i="4" s="1"/>
  <c r="E20" i="4"/>
  <c r="G20" i="4" s="1"/>
  <c r="I20" i="4" s="1"/>
  <c r="J20" i="4" s="1"/>
  <c r="E19" i="4"/>
  <c r="G19" i="4" s="1"/>
  <c r="I19" i="4" s="1"/>
  <c r="J19" i="4" s="1"/>
  <c r="E18" i="4"/>
  <c r="G18" i="4" s="1"/>
  <c r="I18" i="4" s="1"/>
  <c r="J18" i="4" s="1"/>
  <c r="E17" i="4"/>
  <c r="G17" i="4" s="1"/>
  <c r="I17" i="4" s="1"/>
  <c r="J17" i="4" s="1"/>
  <c r="G16" i="4"/>
  <c r="I16" i="4" s="1"/>
  <c r="J16" i="4" s="1"/>
  <c r="E15" i="4"/>
  <c r="G15" i="4" s="1"/>
  <c r="I15" i="4" s="1"/>
  <c r="J15" i="4" s="1"/>
  <c r="E14" i="4"/>
  <c r="G14" i="4" s="1"/>
  <c r="I14" i="4" s="1"/>
  <c r="J14" i="4" s="1"/>
  <c r="E13" i="4"/>
  <c r="G13" i="4" s="1"/>
  <c r="I13" i="4" s="1"/>
  <c r="J13" i="4" s="1"/>
  <c r="E12" i="4"/>
  <c r="G12" i="4" s="1"/>
  <c r="I12" i="4" s="1"/>
  <c r="J12" i="4" s="1"/>
  <c r="E11" i="4"/>
  <c r="G11" i="4" s="1"/>
  <c r="I11" i="4" s="1"/>
  <c r="J11" i="4" s="1"/>
  <c r="E10" i="4"/>
  <c r="G10" i="4" s="1"/>
  <c r="I10" i="4" s="1"/>
  <c r="J10" i="4" s="1"/>
  <c r="E9" i="4"/>
  <c r="G9" i="4" s="1"/>
  <c r="I9" i="4" s="1"/>
  <c r="J9" i="4" s="1"/>
  <c r="E8" i="4"/>
  <c r="G8" i="4" s="1"/>
  <c r="I8" i="4" s="1"/>
  <c r="J8" i="4" s="1"/>
  <c r="E7" i="4"/>
  <c r="G7" i="4" s="1"/>
  <c r="I7" i="4" s="1"/>
  <c r="J7" i="4" s="1"/>
  <c r="E6" i="4"/>
  <c r="G6" i="4" s="1"/>
  <c r="I6" i="4" s="1"/>
  <c r="J6" i="4" s="1"/>
  <c r="E5" i="4"/>
  <c r="G5" i="4" s="1"/>
  <c r="I5" i="4" s="1"/>
  <c r="J5" i="4" s="1"/>
  <c r="G4" i="4"/>
  <c r="I4" i="4" s="1"/>
  <c r="J4" i="4" s="1"/>
  <c r="N7" i="3"/>
  <c r="M7" i="3"/>
  <c r="N8" i="3"/>
  <c r="M8" i="3"/>
  <c r="N9" i="3"/>
  <c r="M9" i="3"/>
  <c r="N10" i="3"/>
  <c r="M10" i="3"/>
  <c r="N11" i="3"/>
  <c r="M11" i="3"/>
  <c r="N12" i="3"/>
  <c r="M12" i="3"/>
  <c r="N13" i="3"/>
  <c r="M13" i="3"/>
  <c r="N14" i="3"/>
  <c r="M14" i="3"/>
  <c r="N15" i="3"/>
  <c r="M15" i="3"/>
  <c r="N16" i="3"/>
  <c r="M16" i="3"/>
  <c r="N17" i="3"/>
  <c r="M17" i="3"/>
  <c r="N18" i="3"/>
  <c r="M18" i="3"/>
  <c r="N19" i="3"/>
  <c r="M19" i="3"/>
  <c r="N20" i="3"/>
  <c r="M20" i="3"/>
  <c r="N21" i="3"/>
  <c r="M21" i="3"/>
  <c r="N22" i="3"/>
  <c r="M22" i="3"/>
  <c r="N23" i="3"/>
  <c r="M23" i="3"/>
  <c r="N24" i="3"/>
  <c r="M24" i="3"/>
  <c r="N25" i="3"/>
  <c r="M25" i="3"/>
  <c r="N26" i="3"/>
  <c r="M26" i="3"/>
  <c r="N27" i="3"/>
  <c r="M27" i="3"/>
  <c r="N28" i="3"/>
  <c r="M28" i="3"/>
  <c r="N29" i="3"/>
  <c r="M29" i="3"/>
  <c r="N30" i="3"/>
  <c r="M30" i="3"/>
  <c r="N31" i="3"/>
  <c r="M31" i="3"/>
  <c r="N32" i="3"/>
  <c r="M32" i="3"/>
  <c r="N33" i="3"/>
  <c r="M33" i="3"/>
  <c r="N34" i="3"/>
  <c r="M34" i="3"/>
  <c r="N35" i="3"/>
  <c r="M35" i="3"/>
  <c r="N36" i="3"/>
  <c r="M36" i="3"/>
  <c r="N37" i="3"/>
  <c r="M37" i="3"/>
  <c r="N38" i="3"/>
  <c r="M38" i="3"/>
  <c r="N39" i="3"/>
  <c r="M39" i="3"/>
  <c r="N40" i="3"/>
  <c r="M40" i="3"/>
  <c r="N41" i="3"/>
  <c r="M41" i="3"/>
  <c r="N42" i="3"/>
  <c r="M42" i="3"/>
  <c r="N43" i="3"/>
  <c r="M43" i="3"/>
  <c r="N44" i="3"/>
  <c r="M44" i="3"/>
  <c r="N45" i="3"/>
  <c r="M45" i="3"/>
  <c r="N46" i="3"/>
  <c r="M46" i="3"/>
  <c r="N47" i="3"/>
  <c r="M47" i="3"/>
  <c r="N48" i="3"/>
  <c r="M48" i="3"/>
  <c r="N49" i="3"/>
  <c r="M49" i="3"/>
  <c r="N50" i="3"/>
  <c r="M50" i="3"/>
  <c r="N51" i="3"/>
  <c r="M51" i="3"/>
  <c r="N52" i="3"/>
  <c r="M52" i="3"/>
  <c r="N53" i="3"/>
  <c r="M53" i="3"/>
  <c r="N54" i="3"/>
  <c r="M54" i="3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D55" i="3"/>
  <c r="S54" i="3"/>
  <c r="S53" i="3"/>
  <c r="T53" i="3" s="1"/>
  <c r="S52" i="3"/>
  <c r="T52" i="3" s="1"/>
  <c r="S51" i="3"/>
  <c r="T51" i="3" s="1"/>
  <c r="S50" i="3"/>
  <c r="T50" i="3" s="1"/>
  <c r="S49" i="3"/>
  <c r="T49" i="3" s="1"/>
  <c r="S48" i="3"/>
  <c r="T48" i="3" s="1"/>
  <c r="S47" i="3"/>
  <c r="T47" i="3" s="1"/>
  <c r="S46" i="3"/>
  <c r="T46" i="3" s="1"/>
  <c r="S45" i="3"/>
  <c r="T45" i="3" s="1"/>
  <c r="S44" i="3"/>
  <c r="T44" i="3" s="1"/>
  <c r="S43" i="3"/>
  <c r="T43" i="3" s="1"/>
  <c r="S42" i="3"/>
  <c r="S41" i="3"/>
  <c r="T41" i="3" s="1"/>
  <c r="S40" i="3"/>
  <c r="T40" i="3" s="1"/>
  <c r="S39" i="3"/>
  <c r="T39" i="3" s="1"/>
  <c r="S38" i="3"/>
  <c r="T38" i="3" s="1"/>
  <c r="S37" i="3"/>
  <c r="T37" i="3" s="1"/>
  <c r="S36" i="3"/>
  <c r="T36" i="3" s="1"/>
  <c r="S35" i="3"/>
  <c r="T35" i="3" s="1"/>
  <c r="S34" i="3"/>
  <c r="T34" i="3" s="1"/>
  <c r="S33" i="3"/>
  <c r="T33" i="3" s="1"/>
  <c r="S32" i="3"/>
  <c r="T32" i="3" s="1"/>
  <c r="S31" i="3"/>
  <c r="T31" i="3" s="1"/>
  <c r="S30" i="3"/>
  <c r="T30" i="3" s="1"/>
  <c r="S29" i="3"/>
  <c r="T29" i="3" s="1"/>
  <c r="S28" i="3"/>
  <c r="T28" i="3" s="1"/>
  <c r="S27" i="3"/>
  <c r="T27" i="3" s="1"/>
  <c r="S26" i="3"/>
  <c r="T26" i="3" s="1"/>
  <c r="S25" i="3"/>
  <c r="T25" i="3" s="1"/>
  <c r="S24" i="3"/>
  <c r="T24" i="3" s="1"/>
  <c r="S23" i="3"/>
  <c r="T23" i="3" s="1"/>
  <c r="S22" i="3"/>
  <c r="T22" i="3" s="1"/>
  <c r="S21" i="3"/>
  <c r="T21" i="3" s="1"/>
  <c r="S20" i="3"/>
  <c r="T20" i="3" s="1"/>
  <c r="S19" i="3"/>
  <c r="T19" i="3" s="1"/>
  <c r="S18" i="3"/>
  <c r="T18" i="3" s="1"/>
  <c r="S17" i="3"/>
  <c r="T17" i="3" s="1"/>
  <c r="S16" i="3"/>
  <c r="T16" i="3" s="1"/>
  <c r="S15" i="3"/>
  <c r="T15" i="3" s="1"/>
  <c r="S14" i="3"/>
  <c r="T14" i="3" s="1"/>
  <c r="S13" i="3"/>
  <c r="T13" i="3" s="1"/>
  <c r="S12" i="3"/>
  <c r="T12" i="3" s="1"/>
  <c r="S11" i="3"/>
  <c r="T11" i="3" s="1"/>
  <c r="S10" i="3"/>
  <c r="T10" i="3" s="1"/>
  <c r="S9" i="3"/>
  <c r="T9" i="3" s="1"/>
  <c r="S8" i="3"/>
  <c r="T8" i="3" s="1"/>
  <c r="S7" i="3"/>
  <c r="T7" i="3" s="1"/>
  <c r="F7" i="3"/>
  <c r="F55" i="3" l="1"/>
  <c r="G7" i="3"/>
  <c r="T42" i="3"/>
  <c r="M4" i="3"/>
  <c r="S55" i="3"/>
  <c r="T54" i="3"/>
  <c r="T55" i="3" s="1"/>
  <c r="R54" i="3"/>
  <c r="R55" i="3" s="1"/>
  <c r="O54" i="3"/>
  <c r="P54" i="3" s="1"/>
  <c r="R53" i="3"/>
  <c r="O53" i="3"/>
  <c r="P53" i="3" s="1"/>
  <c r="R52" i="3"/>
  <c r="O52" i="3"/>
  <c r="P52" i="3" s="1"/>
  <c r="R51" i="3"/>
  <c r="O51" i="3"/>
  <c r="P51" i="3" s="1"/>
  <c r="R50" i="3"/>
  <c r="O50" i="3"/>
  <c r="P50" i="3" s="1"/>
  <c r="R49" i="3"/>
  <c r="O49" i="3"/>
  <c r="P49" i="3" s="1"/>
  <c r="R48" i="3"/>
  <c r="O48" i="3"/>
  <c r="P48" i="3" s="1"/>
  <c r="R47" i="3"/>
  <c r="O47" i="3"/>
  <c r="P47" i="3" s="1"/>
  <c r="R46" i="3"/>
  <c r="O46" i="3"/>
  <c r="P46" i="3" s="1"/>
  <c r="R45" i="3"/>
  <c r="O45" i="3"/>
  <c r="P45" i="3" s="1"/>
  <c r="R44" i="3"/>
  <c r="O44" i="3"/>
  <c r="P44" i="3" s="1"/>
  <c r="R43" i="3"/>
  <c r="O43" i="3"/>
  <c r="P43" i="3" s="1"/>
  <c r="R42" i="3"/>
  <c r="O42" i="3"/>
  <c r="P42" i="3" s="1"/>
  <c r="R41" i="3"/>
  <c r="O41" i="3"/>
  <c r="P41" i="3" s="1"/>
  <c r="R40" i="3"/>
  <c r="O40" i="3"/>
  <c r="P40" i="3" s="1"/>
  <c r="R39" i="3"/>
  <c r="O39" i="3"/>
  <c r="P39" i="3" s="1"/>
  <c r="R38" i="3"/>
  <c r="O38" i="3"/>
  <c r="P38" i="3" s="1"/>
  <c r="R37" i="3"/>
  <c r="O37" i="3"/>
  <c r="P37" i="3" s="1"/>
  <c r="R36" i="3"/>
  <c r="O36" i="3"/>
  <c r="P36" i="3" s="1"/>
  <c r="R35" i="3"/>
  <c r="O35" i="3"/>
  <c r="P35" i="3" s="1"/>
  <c r="R34" i="3"/>
  <c r="O34" i="3"/>
  <c r="P34" i="3" s="1"/>
  <c r="R33" i="3"/>
  <c r="O33" i="3"/>
  <c r="P33" i="3" s="1"/>
  <c r="R32" i="3"/>
  <c r="O32" i="3"/>
  <c r="P32" i="3" s="1"/>
  <c r="R31" i="3"/>
  <c r="O31" i="3"/>
  <c r="P31" i="3" s="1"/>
  <c r="R30" i="3"/>
  <c r="O30" i="3"/>
  <c r="P30" i="3" s="1"/>
  <c r="R29" i="3"/>
  <c r="O29" i="3"/>
  <c r="P29" i="3" s="1"/>
  <c r="R28" i="3"/>
  <c r="O28" i="3"/>
  <c r="P28" i="3" s="1"/>
  <c r="R27" i="3"/>
  <c r="O27" i="3"/>
  <c r="P27" i="3" s="1"/>
  <c r="R26" i="3"/>
  <c r="O26" i="3"/>
  <c r="P26" i="3" s="1"/>
  <c r="R25" i="3"/>
  <c r="O25" i="3"/>
  <c r="P25" i="3" s="1"/>
  <c r="R24" i="3"/>
  <c r="O24" i="3"/>
  <c r="P24" i="3" s="1"/>
  <c r="R23" i="3"/>
  <c r="O23" i="3"/>
  <c r="P23" i="3" s="1"/>
  <c r="R22" i="3"/>
  <c r="O22" i="3"/>
  <c r="P22" i="3" s="1"/>
  <c r="R21" i="3"/>
  <c r="O21" i="3"/>
  <c r="P21" i="3" s="1"/>
  <c r="R20" i="3"/>
  <c r="O20" i="3"/>
  <c r="P20" i="3" s="1"/>
  <c r="R19" i="3"/>
  <c r="O19" i="3"/>
  <c r="P19" i="3" s="1"/>
  <c r="R18" i="3"/>
  <c r="O18" i="3"/>
  <c r="P18" i="3" s="1"/>
  <c r="R17" i="3"/>
  <c r="O17" i="3"/>
  <c r="P17" i="3" s="1"/>
  <c r="R16" i="3"/>
  <c r="O16" i="3"/>
  <c r="P16" i="3" s="1"/>
  <c r="R15" i="3"/>
  <c r="O15" i="3"/>
  <c r="P15" i="3" s="1"/>
  <c r="R14" i="3"/>
  <c r="O14" i="3"/>
  <c r="P14" i="3" s="1"/>
  <c r="R13" i="3"/>
  <c r="O13" i="3"/>
  <c r="P13" i="3" s="1"/>
  <c r="R12" i="3"/>
  <c r="O12" i="3"/>
  <c r="P12" i="3" s="1"/>
  <c r="R11" i="3"/>
  <c r="O11" i="3"/>
  <c r="P11" i="3" s="1"/>
  <c r="R10" i="3"/>
  <c r="O10" i="3"/>
  <c r="P10" i="3" s="1"/>
  <c r="R9" i="3"/>
  <c r="O9" i="3"/>
  <c r="P9" i="3" s="1"/>
  <c r="R8" i="3"/>
  <c r="O8" i="3"/>
  <c r="P8" i="3" s="1"/>
  <c r="M55" i="3"/>
  <c r="R7" i="3"/>
  <c r="O7" i="3"/>
  <c r="N55" i="3"/>
  <c r="I4" i="3"/>
  <c r="O55" i="3" l="1"/>
  <c r="P7" i="3"/>
  <c r="P55" i="3" s="1"/>
  <c r="G55" i="3"/>
  <c r="H7" i="3"/>
  <c r="H55" i="3" l="1"/>
  <c r="Q7" i="3"/>
  <c r="I7" i="3"/>
  <c r="A4" i="3"/>
  <c r="I8" i="3" l="1"/>
  <c r="U7" i="3"/>
  <c r="V7" i="3" s="1"/>
  <c r="J7" i="3"/>
  <c r="K8" i="3" l="1"/>
  <c r="I9" i="3"/>
  <c r="J8" i="3"/>
  <c r="K9" i="3" l="1"/>
  <c r="Q9" i="3" s="1"/>
  <c r="I10" i="3"/>
  <c r="J9" i="3"/>
  <c r="L8" i="3"/>
  <c r="Q8" i="3"/>
  <c r="L9" i="3" l="1"/>
  <c r="U8" i="3"/>
  <c r="V8" i="3" s="1"/>
  <c r="K10" i="3"/>
  <c r="I11" i="3"/>
  <c r="J10" i="3"/>
  <c r="K11" i="3" l="1"/>
  <c r="Q11" i="3" s="1"/>
  <c r="I12" i="3"/>
  <c r="J11" i="3"/>
  <c r="Q10" i="3"/>
  <c r="L10" i="3"/>
  <c r="U9" i="3"/>
  <c r="V9" i="3" s="1"/>
  <c r="L11" i="3" l="1"/>
  <c r="U10" i="3"/>
  <c r="V10" i="3" s="1"/>
  <c r="K12" i="3"/>
  <c r="I13" i="3"/>
  <c r="J12" i="3"/>
  <c r="K13" i="3" l="1"/>
  <c r="Q13" i="3" s="1"/>
  <c r="I14" i="3"/>
  <c r="J13" i="3"/>
  <c r="Q12" i="3"/>
  <c r="L12" i="3"/>
  <c r="U11" i="3"/>
  <c r="V11" i="3" s="1"/>
  <c r="L13" i="3" l="1"/>
  <c r="U12" i="3"/>
  <c r="V12" i="3" s="1"/>
  <c r="K14" i="3"/>
  <c r="I15" i="3"/>
  <c r="J14" i="3"/>
  <c r="K15" i="3" l="1"/>
  <c r="Q15" i="3" s="1"/>
  <c r="I16" i="3"/>
  <c r="J15" i="3"/>
  <c r="Q14" i="3"/>
  <c r="L14" i="3"/>
  <c r="U13" i="3"/>
  <c r="V13" i="3" s="1"/>
  <c r="L15" i="3" l="1"/>
  <c r="U14" i="3"/>
  <c r="V14" i="3" s="1"/>
  <c r="K16" i="3"/>
  <c r="I17" i="3"/>
  <c r="J16" i="3"/>
  <c r="K17" i="3" l="1"/>
  <c r="Q17" i="3" s="1"/>
  <c r="I18" i="3"/>
  <c r="J17" i="3"/>
  <c r="Q16" i="3"/>
  <c r="L16" i="3"/>
  <c r="U15" i="3"/>
  <c r="V15" i="3" s="1"/>
  <c r="L17" i="3" l="1"/>
  <c r="U16" i="3"/>
  <c r="V16" i="3" s="1"/>
  <c r="K18" i="3"/>
  <c r="I19" i="3"/>
  <c r="J18" i="3"/>
  <c r="K19" i="3" l="1"/>
  <c r="Q19" i="3" s="1"/>
  <c r="I20" i="3"/>
  <c r="J19" i="3"/>
  <c r="Q18" i="3"/>
  <c r="L18" i="3"/>
  <c r="U17" i="3"/>
  <c r="V17" i="3" s="1"/>
  <c r="L19" i="3" l="1"/>
  <c r="U18" i="3"/>
  <c r="V18" i="3" s="1"/>
  <c r="K20" i="3"/>
  <c r="I21" i="3"/>
  <c r="J20" i="3"/>
  <c r="K21" i="3" l="1"/>
  <c r="Q21" i="3" s="1"/>
  <c r="I22" i="3"/>
  <c r="J21" i="3"/>
  <c r="Q20" i="3"/>
  <c r="L20" i="3"/>
  <c r="U19" i="3"/>
  <c r="V19" i="3" s="1"/>
  <c r="L21" i="3" l="1"/>
  <c r="U20" i="3"/>
  <c r="V20" i="3" s="1"/>
  <c r="K22" i="3"/>
  <c r="I23" i="3"/>
  <c r="J22" i="3"/>
  <c r="K23" i="3" l="1"/>
  <c r="Q23" i="3" s="1"/>
  <c r="I24" i="3"/>
  <c r="J23" i="3"/>
  <c r="Q22" i="3"/>
  <c r="L22" i="3"/>
  <c r="U21" i="3"/>
  <c r="V21" i="3" s="1"/>
  <c r="L23" i="3" l="1"/>
  <c r="U22" i="3"/>
  <c r="V22" i="3" s="1"/>
  <c r="K24" i="3"/>
  <c r="I25" i="3"/>
  <c r="J24" i="3"/>
  <c r="K25" i="3" l="1"/>
  <c r="Q25" i="3" s="1"/>
  <c r="I26" i="3"/>
  <c r="J25" i="3"/>
  <c r="Q24" i="3"/>
  <c r="L24" i="3"/>
  <c r="U23" i="3"/>
  <c r="V23" i="3" s="1"/>
  <c r="L25" i="3" l="1"/>
  <c r="U24" i="3"/>
  <c r="V24" i="3" s="1"/>
  <c r="K26" i="3"/>
  <c r="I27" i="3"/>
  <c r="J26" i="3"/>
  <c r="K27" i="3" l="1"/>
  <c r="Q27" i="3" s="1"/>
  <c r="I28" i="3"/>
  <c r="J27" i="3"/>
  <c r="Q26" i="3"/>
  <c r="L26" i="3"/>
  <c r="U25" i="3"/>
  <c r="V25" i="3" s="1"/>
  <c r="L27" i="3" l="1"/>
  <c r="U26" i="3"/>
  <c r="V26" i="3" s="1"/>
  <c r="K28" i="3"/>
  <c r="I29" i="3"/>
  <c r="J28" i="3"/>
  <c r="K29" i="3" l="1"/>
  <c r="Q29" i="3" s="1"/>
  <c r="I30" i="3"/>
  <c r="J29" i="3"/>
  <c r="Q28" i="3"/>
  <c r="L28" i="3"/>
  <c r="U27" i="3"/>
  <c r="V27" i="3" s="1"/>
  <c r="L29" i="3" l="1"/>
  <c r="U28" i="3"/>
  <c r="V28" i="3" s="1"/>
  <c r="K30" i="3"/>
  <c r="I31" i="3"/>
  <c r="J30" i="3"/>
  <c r="K31" i="3" l="1"/>
  <c r="Q31" i="3" s="1"/>
  <c r="I32" i="3"/>
  <c r="J31" i="3"/>
  <c r="Q30" i="3"/>
  <c r="L30" i="3"/>
  <c r="U29" i="3"/>
  <c r="V29" i="3" s="1"/>
  <c r="L31" i="3" l="1"/>
  <c r="U30" i="3"/>
  <c r="V30" i="3" s="1"/>
  <c r="K32" i="3"/>
  <c r="I33" i="3"/>
  <c r="J32" i="3"/>
  <c r="K33" i="3" l="1"/>
  <c r="Q33" i="3" s="1"/>
  <c r="I34" i="3"/>
  <c r="J33" i="3"/>
  <c r="Q32" i="3"/>
  <c r="L32" i="3"/>
  <c r="U31" i="3"/>
  <c r="V31" i="3" s="1"/>
  <c r="L33" i="3" l="1"/>
  <c r="U32" i="3"/>
  <c r="V32" i="3" s="1"/>
  <c r="K34" i="3"/>
  <c r="I35" i="3"/>
  <c r="J34" i="3"/>
  <c r="K35" i="3" l="1"/>
  <c r="Q35" i="3" s="1"/>
  <c r="I36" i="3"/>
  <c r="J35" i="3"/>
  <c r="Q34" i="3"/>
  <c r="L34" i="3"/>
  <c r="U33" i="3"/>
  <c r="V33" i="3" s="1"/>
  <c r="L35" i="3" l="1"/>
  <c r="U34" i="3"/>
  <c r="V34" i="3" s="1"/>
  <c r="K36" i="3"/>
  <c r="I37" i="3"/>
  <c r="J36" i="3"/>
  <c r="K37" i="3" l="1"/>
  <c r="Q37" i="3" s="1"/>
  <c r="I38" i="3"/>
  <c r="J37" i="3"/>
  <c r="Q36" i="3"/>
  <c r="L36" i="3"/>
  <c r="U35" i="3"/>
  <c r="V35" i="3" s="1"/>
  <c r="L37" i="3" l="1"/>
  <c r="U36" i="3"/>
  <c r="V36" i="3" s="1"/>
  <c r="K38" i="3"/>
  <c r="I39" i="3"/>
  <c r="J38" i="3"/>
  <c r="K39" i="3" l="1"/>
  <c r="Q39" i="3" s="1"/>
  <c r="I40" i="3"/>
  <c r="J39" i="3"/>
  <c r="Q38" i="3"/>
  <c r="L38" i="3"/>
  <c r="U37" i="3"/>
  <c r="V37" i="3" s="1"/>
  <c r="L39" i="3" l="1"/>
  <c r="U38" i="3"/>
  <c r="V38" i="3" s="1"/>
  <c r="K40" i="3"/>
  <c r="I41" i="3"/>
  <c r="J40" i="3"/>
  <c r="K41" i="3" l="1"/>
  <c r="Q41" i="3" s="1"/>
  <c r="I42" i="3"/>
  <c r="J41" i="3"/>
  <c r="Q40" i="3"/>
  <c r="L40" i="3"/>
  <c r="U39" i="3"/>
  <c r="V39" i="3" s="1"/>
  <c r="L41" i="3" l="1"/>
  <c r="U40" i="3"/>
  <c r="V40" i="3" s="1"/>
  <c r="K42" i="3"/>
  <c r="I43" i="3"/>
  <c r="J42" i="3"/>
  <c r="K43" i="3" l="1"/>
  <c r="Q43" i="3" s="1"/>
  <c r="I44" i="3"/>
  <c r="J43" i="3"/>
  <c r="Q42" i="3"/>
  <c r="L42" i="3"/>
  <c r="U41" i="3"/>
  <c r="V41" i="3" s="1"/>
  <c r="L43" i="3" l="1"/>
  <c r="U42" i="3"/>
  <c r="V42" i="3" s="1"/>
  <c r="Q4" i="3" s="1"/>
  <c r="K44" i="3"/>
  <c r="I45" i="3"/>
  <c r="J44" i="3"/>
  <c r="K45" i="3" l="1"/>
  <c r="Q45" i="3" s="1"/>
  <c r="I46" i="3"/>
  <c r="J45" i="3"/>
  <c r="Q44" i="3"/>
  <c r="L44" i="3"/>
  <c r="U43" i="3"/>
  <c r="V43" i="3" s="1"/>
  <c r="L45" i="3" l="1"/>
  <c r="U44" i="3"/>
  <c r="V44" i="3" s="1"/>
  <c r="K46" i="3"/>
  <c r="I47" i="3"/>
  <c r="J46" i="3"/>
  <c r="K47" i="3" l="1"/>
  <c r="Q47" i="3" s="1"/>
  <c r="I48" i="3"/>
  <c r="J47" i="3"/>
  <c r="Q46" i="3"/>
  <c r="L46" i="3"/>
  <c r="U45" i="3"/>
  <c r="V45" i="3" s="1"/>
  <c r="L47" i="3" l="1"/>
  <c r="U46" i="3"/>
  <c r="V46" i="3" s="1"/>
  <c r="K48" i="3"/>
  <c r="I49" i="3"/>
  <c r="J48" i="3"/>
  <c r="K49" i="3" l="1"/>
  <c r="Q49" i="3" s="1"/>
  <c r="I50" i="3"/>
  <c r="J49" i="3"/>
  <c r="Q48" i="3"/>
  <c r="L48" i="3"/>
  <c r="U47" i="3"/>
  <c r="V47" i="3" s="1"/>
  <c r="L49" i="3" l="1"/>
  <c r="U48" i="3"/>
  <c r="V48" i="3" s="1"/>
  <c r="K50" i="3"/>
  <c r="I51" i="3"/>
  <c r="J50" i="3"/>
  <c r="K51" i="3" l="1"/>
  <c r="Q51" i="3" s="1"/>
  <c r="I52" i="3"/>
  <c r="J51" i="3"/>
  <c r="Q50" i="3"/>
  <c r="L50" i="3"/>
  <c r="U49" i="3"/>
  <c r="V49" i="3" s="1"/>
  <c r="L51" i="3" l="1"/>
  <c r="U50" i="3"/>
  <c r="V50" i="3" s="1"/>
  <c r="K52" i="3"/>
  <c r="I53" i="3"/>
  <c r="J52" i="3"/>
  <c r="K53" i="3" l="1"/>
  <c r="Q53" i="3" s="1"/>
  <c r="I54" i="3"/>
  <c r="J53" i="3"/>
  <c r="Q52" i="3"/>
  <c r="L52" i="3"/>
  <c r="U51" i="3"/>
  <c r="V51" i="3" s="1"/>
  <c r="L53" i="3" l="1"/>
  <c r="U52" i="3"/>
  <c r="V52" i="3" s="1"/>
  <c r="K54" i="3"/>
  <c r="I55" i="3"/>
  <c r="J54" i="3"/>
  <c r="J55" i="3" s="1"/>
  <c r="Q54" i="3" l="1"/>
  <c r="Q55" i="3" s="1"/>
  <c r="E4" i="3"/>
  <c r="K55" i="3"/>
  <c r="L54" i="3"/>
  <c r="U53" i="3"/>
  <c r="V53" i="3" s="1"/>
  <c r="L55" i="3" l="1"/>
  <c r="U54" i="3"/>
  <c r="U55" i="3" l="1"/>
  <c r="V54" i="3"/>
  <c r="V5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4" authorId="0" shapeId="0" xr:uid="{00000000-0006-0000-0100-000001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5" authorId="0" shapeId="0" xr:uid="{00000000-0006-0000-0100-000002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6" authorId="0" shapeId="0" xr:uid="{00000000-0006-0000-0100-000003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7" authorId="0" shapeId="0" xr:uid="{00000000-0006-0000-0100-000004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10" authorId="0" shapeId="0" xr:uid="{00000000-0006-0000-0100-000005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11" authorId="0" shapeId="0" xr:uid="{00000000-0006-0000-0100-000006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12" authorId="0" shapeId="0" xr:uid="{00000000-0006-0000-0100-000007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13" authorId="0" shapeId="0" xr:uid="{00000000-0006-0000-0100-000008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14" authorId="0" shapeId="0" xr:uid="{00000000-0006-0000-0100-000009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17" authorId="0" shapeId="0" xr:uid="{00000000-0006-0000-0100-00000A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18" authorId="0" shapeId="0" xr:uid="{00000000-0006-0000-0100-00000B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19" authorId="0" shapeId="0" xr:uid="{00000000-0006-0000-0100-00000C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20" authorId="0" shapeId="0" xr:uid="{00000000-0006-0000-0100-00000D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  <comment ref="B21" authorId="0" shapeId="0" xr:uid="{00000000-0006-0000-0100-00000E000000}">
      <text>
        <r>
          <rPr>
            <sz val="10"/>
            <rFont val="Noto Sans CJK SC"/>
            <family val="2"/>
          </rPr>
          <t>用户可修改的模型假设。来源：用户提供的需求及中银</t>
        </r>
        <r>
          <rPr>
            <sz val="10"/>
            <rFont val="Arial"/>
            <family val="2"/>
          </rPr>
          <t>E</t>
        </r>
        <r>
          <rPr>
            <sz val="10"/>
            <rFont val="Noto Sans CJK SC"/>
            <family val="2"/>
          </rPr>
          <t>贷截图试算；非外部实时数据。</t>
        </r>
      </text>
    </comment>
  </commentList>
</comments>
</file>

<file path=xl/sharedStrings.xml><?xml version="1.0" encoding="utf-8"?>
<sst xmlns="http://schemas.openxmlformats.org/spreadsheetml/2006/main" count="89" uniqueCount="87">
  <si>
    <r>
      <rPr>
        <b/>
        <sz val="15"/>
        <color rgb="FFFFFFFF"/>
        <rFont val="Noto Sans CJK SC"/>
        <family val="2"/>
      </rPr>
      <t>中银</t>
    </r>
    <r>
      <rPr>
        <b/>
        <sz val="15"/>
        <color rgb="FFFFFFFF"/>
        <rFont val="Cambria"/>
        <charset val="1"/>
      </rPr>
      <t>E</t>
    </r>
    <r>
      <rPr>
        <b/>
        <sz val="15"/>
        <color rgb="FFFFFFFF"/>
        <rFont val="Noto Sans CJK SC"/>
        <family val="2"/>
      </rPr>
      <t xml:space="preserve">贷 </t>
    </r>
    <r>
      <rPr>
        <b/>
        <sz val="15"/>
        <color rgb="FFFFFFFF"/>
        <rFont val="Cambria"/>
        <charset val="1"/>
      </rPr>
      <t xml:space="preserve">+ </t>
    </r>
    <r>
      <rPr>
        <b/>
        <sz val="15"/>
        <color rgb="FFFFFFFF"/>
        <rFont val="Noto Sans CJK SC"/>
        <family val="2"/>
      </rPr>
      <t>香港港币基金滚动策略模型</t>
    </r>
  </si>
  <si>
    <t>用途</t>
  </si>
  <si>
    <t>比较“每月直接换汇消费”与“每月人民币贷款消费，同时将等值港币投入按月分红基金”的现金流、收益、利息、到期本金及净资产。</t>
  </si>
  <si>
    <t>核心口径</t>
  </si>
  <si>
    <r>
      <rPr>
        <sz val="11"/>
        <color theme="1"/>
        <rFont val="Noto Sans CJK SC"/>
        <family val="2"/>
      </rPr>
      <t xml:space="preserve">贷款利息按 </t>
    </r>
    <r>
      <rPr>
        <sz val="11"/>
        <color theme="1"/>
        <rFont val="Calibri"/>
        <family val="2"/>
        <charset val="1"/>
      </rPr>
      <t>Actual/360</t>
    </r>
    <r>
      <rPr>
        <sz val="11"/>
        <color theme="1"/>
        <rFont val="Noto Sans CJK SC"/>
        <family val="2"/>
      </rPr>
      <t xml:space="preserve">：剩余本金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实际计息天数 </t>
    </r>
    <r>
      <rPr>
        <sz val="11"/>
        <color theme="1"/>
        <rFont val="Calibri"/>
        <family val="2"/>
        <charset val="1"/>
      </rPr>
      <t>÷ 360</t>
    </r>
    <r>
      <rPr>
        <sz val="11"/>
        <color theme="1"/>
        <rFont val="Noto Sans CJK SC"/>
        <family val="2"/>
      </rPr>
      <t>；按期付息，到期还本。</t>
    </r>
  </si>
  <si>
    <t>投资口径</t>
  </si>
  <si>
    <r>
      <rPr>
        <sz val="11"/>
        <color theme="1"/>
        <rFont val="Calibri"/>
        <family val="2"/>
        <charset val="1"/>
      </rPr>
      <t>5%</t>
    </r>
    <r>
      <rPr>
        <sz val="11"/>
        <color theme="1"/>
        <rFont val="Noto Sans CJK SC"/>
        <family val="2"/>
      </rPr>
      <t>默认解释为年化现金分红率，按月计提，除息日</t>
    </r>
    <r>
      <rPr>
        <sz val="11"/>
        <color theme="1"/>
        <rFont val="Calibri"/>
        <family val="2"/>
        <charset val="1"/>
      </rPr>
      <t>28</t>
    </r>
    <r>
      <rPr>
        <sz val="11"/>
        <color theme="1"/>
        <rFont val="Noto Sans CJK SC"/>
        <family val="2"/>
      </rPr>
      <t>日，次月</t>
    </r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日发放；默认不考虑基金净值涨跌、税费及手续费。</t>
    </r>
  </si>
  <si>
    <t>汇率口径</t>
  </si>
  <si>
    <r>
      <rPr>
        <sz val="11"/>
        <color theme="1"/>
        <rFont val="Noto Sans CJK SC"/>
        <family val="2"/>
      </rPr>
      <t>“人民币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港币”表示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港币可兑换多少人民币。月度汇率可逐月改动，贷款还款也按对应月份的汇率折算为港币。</t>
    </r>
  </si>
  <si>
    <t>使用方法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</si>
  <si>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）在“参数设置”修改蓝色字体；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）在“月度汇总”</t>
    </r>
    <r>
      <rPr>
        <sz val="11"/>
        <color theme="1"/>
        <rFont val="Calibri"/>
        <family val="2"/>
        <charset val="1"/>
      </rPr>
      <t>E</t>
    </r>
    <r>
      <rPr>
        <sz val="11"/>
        <color theme="1"/>
        <rFont val="Noto Sans CJK SC"/>
        <family val="2"/>
      </rPr>
      <t>列逐月输入实际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假设汇率；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）查看顶部</t>
    </r>
    <r>
      <rPr>
        <sz val="11"/>
        <color theme="1"/>
        <rFont val="Calibri"/>
        <family val="2"/>
        <charset val="1"/>
      </rPr>
      <t>KPI</t>
    </r>
    <r>
      <rPr>
        <sz val="11"/>
        <color theme="1"/>
        <rFont val="Noto Sans CJK SC"/>
        <family val="2"/>
      </rPr>
      <t>及图表；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）在“贷款明细”核对每笔贷款到期日和逐期利息。</t>
    </r>
  </si>
  <si>
    <t>重要提示</t>
  </si>
  <si>
    <t>本模型用于情景分析，不构成投资或借贷建议。滚动借款会形成集中到期本金，基金收益并非保证；若人民币升值、基金净值下跌或贷款利率上升，策略可能亏损。</t>
  </si>
  <si>
    <t>颜色说明</t>
  </si>
  <si>
    <t>蓝色字体＝可修改输入；黑色＝公式；绿色＝跨工作表链接；灰色＝静态说明；黄色底纹＝关键假设。</t>
  </si>
  <si>
    <t>参数设置</t>
  </si>
  <si>
    <t>时间及消费假设</t>
  </si>
  <si>
    <t>模型开始日</t>
  </si>
  <si>
    <t>每月贷款及基金申购日以该日的“日”为准</t>
  </si>
  <si>
    <r>
      <rPr>
        <sz val="11"/>
        <color theme="1"/>
        <rFont val="Noto Sans CJK SC"/>
        <family val="2"/>
      </rPr>
      <t>每月人民币消费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贷款金额</t>
    </r>
  </si>
  <si>
    <t>每月在中国大陆消费，由当月新贷款覆盖</t>
  </si>
  <si>
    <t>新增贷款月数</t>
  </si>
  <si>
    <r>
      <rPr>
        <sz val="11"/>
        <color rgb="FF666666"/>
        <rFont val="Noto Sans CJK SC"/>
        <family val="2"/>
      </rPr>
      <t>预先支持</t>
    </r>
    <r>
      <rPr>
        <sz val="11"/>
        <color rgb="FF666666"/>
        <rFont val="Cambria"/>
        <charset val="1"/>
      </rPr>
      <t>1</t>
    </r>
    <r>
      <rPr>
        <sz val="11"/>
        <color rgb="FF666666"/>
        <rFont val="Noto Sans CJK SC"/>
        <family val="2"/>
      </rPr>
      <t>至</t>
    </r>
    <r>
      <rPr>
        <sz val="11"/>
        <color rgb="FF666666"/>
        <rFont val="Cambria"/>
        <charset val="1"/>
      </rPr>
      <t>36</t>
    </r>
    <r>
      <rPr>
        <sz val="11"/>
        <color rgb="FF666666"/>
        <rFont val="Noto Sans CJK SC"/>
        <family val="2"/>
      </rPr>
      <t>个月</t>
    </r>
  </si>
  <si>
    <r>
      <rPr>
        <sz val="11"/>
        <color theme="1"/>
        <rFont val="Noto Sans CJK SC"/>
        <family val="2"/>
      </rPr>
      <t>汇率基准（人民币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港币）</t>
    </r>
  </si>
  <si>
    <r>
      <rPr>
        <sz val="11"/>
        <color rgb="FF666666"/>
        <rFont val="Cambria"/>
        <charset val="1"/>
      </rPr>
      <t>1</t>
    </r>
    <r>
      <rPr>
        <sz val="11"/>
        <color rgb="FF666666"/>
        <rFont val="Noto Sans CJK SC"/>
        <family val="2"/>
      </rPr>
      <t>港币可兑换的人民币；月度表可逐月覆盖</t>
    </r>
  </si>
  <si>
    <r>
      <rPr>
        <b/>
        <sz val="11"/>
        <color rgb="FFFFFFFF"/>
        <rFont val="Noto Sans CJK SC"/>
        <family val="2"/>
      </rPr>
      <t>中银</t>
    </r>
    <r>
      <rPr>
        <b/>
        <sz val="11"/>
        <color rgb="FFFFFFFF"/>
        <rFont val="Cambria"/>
        <charset val="1"/>
      </rPr>
      <t>E</t>
    </r>
    <r>
      <rPr>
        <b/>
        <sz val="11"/>
        <color rgb="FFFFFFFF"/>
        <rFont val="Noto Sans CJK SC"/>
        <family val="2"/>
      </rPr>
      <t>贷假设</t>
    </r>
  </si>
  <si>
    <t>年利率</t>
  </si>
  <si>
    <t>根据截图试算</t>
  </si>
  <si>
    <t>计息年基数</t>
  </si>
  <si>
    <t>Actual/360</t>
  </si>
  <si>
    <t>贷款期限（月）</t>
  </si>
  <si>
    <t>每笔贷款期限</t>
  </si>
  <si>
    <t>每月结息日</t>
  </si>
  <si>
    <t>首个结息日设为放款后第二个月的该日</t>
  </si>
  <si>
    <t>每期金额取整位数</t>
  </si>
  <si>
    <t>人民币“分”</t>
  </si>
  <si>
    <t>港币基金假设</t>
  </si>
  <si>
    <t>预计年化分红率</t>
  </si>
  <si>
    <t>按月分红，非保证收益</t>
  </si>
  <si>
    <t>每年分红次数</t>
  </si>
  <si>
    <t>默认每月一次</t>
  </si>
  <si>
    <t>每月除息日</t>
  </si>
  <si>
    <r>
      <rPr>
        <sz val="11"/>
        <color rgb="FF666666"/>
        <rFont val="Noto Sans CJK SC"/>
        <family val="2"/>
      </rPr>
      <t>当月</t>
    </r>
    <r>
      <rPr>
        <sz val="11"/>
        <color rgb="FF666666"/>
        <rFont val="Cambria"/>
        <charset val="1"/>
      </rPr>
      <t>10</t>
    </r>
    <r>
      <rPr>
        <sz val="11"/>
        <color rgb="FF666666"/>
        <rFont val="Noto Sans CJK SC"/>
        <family val="2"/>
      </rPr>
      <t>日申购假设可参与当月除息</t>
    </r>
  </si>
  <si>
    <t>分红发放日</t>
  </si>
  <si>
    <r>
      <rPr>
        <sz val="11"/>
        <color rgb="FF666666"/>
        <rFont val="Noto Sans CJK SC"/>
        <family val="2"/>
      </rPr>
      <t>当月计提、次月</t>
    </r>
    <r>
      <rPr>
        <sz val="11"/>
        <color rgb="FF666666"/>
        <rFont val="Cambria"/>
        <charset val="1"/>
      </rPr>
      <t>8</t>
    </r>
    <r>
      <rPr>
        <sz val="11"/>
        <color rgb="FF666666"/>
        <rFont val="Noto Sans CJK SC"/>
        <family val="2"/>
      </rPr>
      <t>日发放</t>
    </r>
  </si>
  <si>
    <r>
      <rPr>
        <sz val="11"/>
        <color theme="1"/>
        <rFont val="Noto Sans CJK SC"/>
        <family val="2"/>
      </rPr>
      <t>申购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赎回费用率</t>
    </r>
  </si>
  <si>
    <t>如有收费可填写</t>
  </si>
  <si>
    <t>月度汇总与策略对比</t>
  </si>
  <si>
    <t>累计基金投入（港币）</t>
  </si>
  <si>
    <t>累计已收分红（港币）</t>
  </si>
  <si>
    <t>累计贷款利息（人民币）</t>
  </si>
  <si>
    <t>期末未偿本金（人民币）</t>
  </si>
  <si>
    <t>策略期末净资产（港币）</t>
  </si>
  <si>
    <t>月份</t>
  </si>
  <si>
    <t>贷款批次</t>
  </si>
  <si>
    <t>贷款日</t>
  </si>
  <si>
    <r>
      <rPr>
        <b/>
        <sz val="11"/>
        <rFont val="Noto Sans CJK SC"/>
        <family val="2"/>
      </rPr>
      <t>当月消费</t>
    </r>
    <r>
      <rPr>
        <b/>
        <sz val="11"/>
        <rFont val="Cambria"/>
        <charset val="1"/>
      </rPr>
      <t>/</t>
    </r>
    <r>
      <rPr>
        <b/>
        <sz val="11"/>
        <rFont val="Noto Sans CJK SC"/>
        <family val="2"/>
      </rPr>
      <t>新贷款（人民币）</t>
    </r>
  </si>
  <si>
    <r>
      <rPr>
        <b/>
        <sz val="11"/>
        <rFont val="Noto Sans CJK SC"/>
        <family val="2"/>
      </rPr>
      <t>汇率（人民币</t>
    </r>
    <r>
      <rPr>
        <b/>
        <sz val="11"/>
        <rFont val="Cambria"/>
        <charset val="1"/>
      </rPr>
      <t>/</t>
    </r>
    <r>
      <rPr>
        <b/>
        <sz val="11"/>
        <rFont val="Noto Sans CJK SC"/>
        <family val="2"/>
      </rPr>
      <t>港币）</t>
    </r>
  </si>
  <si>
    <t>直接换汇所需港币</t>
  </si>
  <si>
    <t>基金申购费用（港币）</t>
  </si>
  <si>
    <t>基金净投入（港币）</t>
  </si>
  <si>
    <t>期末基金本金（港币）</t>
  </si>
  <si>
    <t>当月应计分红（港币）</t>
  </si>
  <si>
    <t>当月收到分红（港币）</t>
  </si>
  <si>
    <t>累计分红（港币）</t>
  </si>
  <si>
    <t>偿还本金（人民币）</t>
  </si>
  <si>
    <t>支付利息（人民币）</t>
  </si>
  <si>
    <t>还款总额（人民币）</t>
  </si>
  <si>
    <t>还款折港币</t>
  </si>
  <si>
    <t>净现金流（港币）</t>
  </si>
  <si>
    <t>到期本金提示（人民币）</t>
  </si>
  <si>
    <t>负债折港币</t>
  </si>
  <si>
    <r>
      <rPr>
        <b/>
        <sz val="11"/>
        <rFont val="Noto Sans CJK SC"/>
        <family val="2"/>
      </rPr>
      <t>基金资产</t>
    </r>
    <r>
      <rPr>
        <b/>
        <sz val="11"/>
        <rFont val="Cambria"/>
        <charset val="1"/>
      </rPr>
      <t>+</t>
    </r>
    <r>
      <rPr>
        <b/>
        <sz val="11"/>
        <rFont val="Noto Sans CJK SC"/>
        <family val="2"/>
      </rPr>
      <t>分红（港币）</t>
    </r>
  </si>
  <si>
    <t>策略净资产（港币）</t>
  </si>
  <si>
    <r>
      <rPr>
        <b/>
        <sz val="11"/>
        <rFont val="Noto Sans CJK SC"/>
        <family val="2"/>
      </rPr>
      <t>累计</t>
    </r>
    <r>
      <rPr>
        <b/>
        <sz val="11"/>
        <rFont val="Cambria"/>
        <charset val="1"/>
      </rPr>
      <t>/</t>
    </r>
    <r>
      <rPr>
        <b/>
        <sz val="11"/>
        <rFont val="Noto Sans CJK SC"/>
        <family val="2"/>
      </rPr>
      <t>期末</t>
    </r>
  </si>
  <si>
    <t>贷款明细（每笔贷款逐期计息）</t>
  </si>
  <si>
    <t>放款日</t>
  </si>
  <si>
    <t>贷款本金（人民币）</t>
  </si>
  <si>
    <t>期数</t>
  </si>
  <si>
    <t>本期起始日</t>
  </si>
  <si>
    <t>本期还款日</t>
  </si>
  <si>
    <t>计息天数</t>
  </si>
  <si>
    <t>当期本金（人民币）</t>
  </si>
  <si>
    <t>当期利息（人民币）</t>
  </si>
  <si>
    <t>当期还款（人民币）</t>
  </si>
  <si>
    <t>本金到期日</t>
  </si>
  <si>
    <t>是否启用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</si>
</sst>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¥#,##0.00;[Red]&quot;(¥&quot;#,##0.00\);\-"/>
    <numFmt numFmtId="166" formatCode="0.0000"/>
    <numFmt numFmtId="167" formatCode="&quot;HK$&quot;#,##0.00;[Red]&quot;(HK$&quot;#,##0.00\);\-"/>
    <numFmt numFmtId="168" formatCode="yyyy\-mm"/>
  </numFmts>
  <fonts count="16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Cambria"/>
      <charset val="1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b/>
      <sz val="11"/>
      <color rgb="FFFFFFFF"/>
      <name val="Noto Sans CJK SC"/>
      <family val="2"/>
    </font>
    <font>
      <sz val="11"/>
      <color rgb="FF0000FF"/>
      <name val="Cambria"/>
      <charset val="1"/>
    </font>
    <font>
      <sz val="11"/>
      <color rgb="FF666666"/>
      <name val="Noto Sans CJK SC"/>
      <family val="2"/>
    </font>
    <font>
      <sz val="11"/>
      <color rgb="FF666666"/>
      <name val="Cambria"/>
      <charset val="1"/>
    </font>
    <font>
      <b/>
      <sz val="11"/>
      <color rgb="FFFFFFFF"/>
      <name val="Cambria"/>
      <charset val="1"/>
    </font>
    <font>
      <sz val="10"/>
      <name val="Noto Sans CJK SC"/>
      <family val="2"/>
    </font>
    <font>
      <sz val="10"/>
      <name val="Arial"/>
      <family val="2"/>
    </font>
    <font>
      <b/>
      <sz val="13"/>
      <name val="Cambria"/>
      <charset val="1"/>
    </font>
    <font>
      <b/>
      <sz val="11"/>
      <name val="Cambria"/>
      <charset val="1"/>
    </font>
    <font>
      <sz val="11"/>
      <color rgb="FF000000"/>
      <name val="Cambria"/>
      <charset val="1"/>
    </font>
    <font>
      <sz val="11"/>
      <color rgb="FF00800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EAF7"/>
      </patternFill>
    </fill>
    <fill>
      <patternFill patternType="solid">
        <fgColor rgb="FFD9EAF7"/>
        <bgColor rgb="FFDDEBF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65" fontId="12" fillId="4" borderId="0" xfId="0" applyNumberFormat="1" applyFont="1" applyFill="1" applyAlignment="1">
      <alignment horizontal="center"/>
    </xf>
    <xf numFmtId="167" fontId="12" fillId="4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/>
    <xf numFmtId="164" fontId="6" fillId="3" borderId="0" xfId="0" applyNumberFormat="1" applyFont="1" applyFill="1"/>
    <xf numFmtId="0" fontId="7" fillId="0" borderId="0" xfId="0" applyFont="1"/>
    <xf numFmtId="165" fontId="6" fillId="3" borderId="0" xfId="0" applyNumberFormat="1" applyFont="1" applyFill="1"/>
    <xf numFmtId="0" fontId="6" fillId="3" borderId="0" xfId="0" applyFont="1" applyFill="1"/>
    <xf numFmtId="166" fontId="6" fillId="3" borderId="0" xfId="0" applyNumberFormat="1" applyFont="1" applyFill="1"/>
    <xf numFmtId="0" fontId="8" fillId="0" borderId="0" xfId="0" applyFont="1"/>
    <xf numFmtId="10" fontId="6" fillId="3" borderId="0" xfId="0" applyNumberFormat="1" applyFont="1" applyFill="1"/>
    <xf numFmtId="0" fontId="3" fillId="5" borderId="0" xfId="0" applyFont="1" applyFill="1" applyAlignment="1">
      <alignment horizontal="center" vertical="center" wrapText="1"/>
    </xf>
    <xf numFmtId="168" fontId="14" fillId="0" borderId="0" xfId="0" applyNumberFormat="1" applyFont="1"/>
    <xf numFmtId="0" fontId="14" fillId="0" borderId="0" xfId="0" applyFont="1"/>
    <xf numFmtId="164" fontId="15" fillId="0" borderId="0" xfId="0" applyNumberFormat="1" applyFont="1"/>
    <xf numFmtId="165" fontId="15" fillId="0" borderId="0" xfId="0" applyNumberFormat="1" applyFont="1"/>
    <xf numFmtId="167" fontId="14" fillId="0" borderId="0" xfId="0" applyNumberFormat="1" applyFont="1"/>
    <xf numFmtId="167" fontId="15" fillId="0" borderId="0" xfId="0" applyNumberFormat="1" applyFont="1"/>
    <xf numFmtId="165" fontId="14" fillId="0" borderId="0" xfId="0" applyNumberFormat="1" applyFont="1"/>
    <xf numFmtId="165" fontId="13" fillId="0" borderId="1" xfId="0" applyNumberFormat="1" applyFont="1" applyBorder="1"/>
    <xf numFmtId="167" fontId="13" fillId="0" borderId="1" xfId="0" applyNumberFormat="1" applyFont="1" applyBorder="1"/>
    <xf numFmtId="164" fontId="14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基金资产、港币负债与策略净资产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月度汇总!T6</c:f>
              <c:strCache>
                <c:ptCount val="1"/>
                <c:pt idx="0">
                  <c:v>负债折港币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月度汇总!$T$7:$T$54</c:f>
              <c:numCache>
                <c:formatCode>"HK$"#,##0.00;[Red]"(HK$"#,##0.00\);\-</c:formatCode>
                <c:ptCount val="48"/>
                <c:pt idx="0">
                  <c:v>25434.782608695652</c:v>
                </c:pt>
                <c:pt idx="1">
                  <c:v>50869.565217391304</c:v>
                </c:pt>
                <c:pt idx="2">
                  <c:v>76304.34782608696</c:v>
                </c:pt>
                <c:pt idx="3">
                  <c:v>101739.13043478261</c:v>
                </c:pt>
                <c:pt idx="4">
                  <c:v>127173.91304347826</c:v>
                </c:pt>
                <c:pt idx="5">
                  <c:v>152608.69565217392</c:v>
                </c:pt>
                <c:pt idx="6">
                  <c:v>178043.47826086957</c:v>
                </c:pt>
                <c:pt idx="7">
                  <c:v>203478.26086956522</c:v>
                </c:pt>
                <c:pt idx="8">
                  <c:v>228913.04347826086</c:v>
                </c:pt>
                <c:pt idx="9">
                  <c:v>254347.82608695651</c:v>
                </c:pt>
                <c:pt idx="10">
                  <c:v>279782.60869565216</c:v>
                </c:pt>
                <c:pt idx="11">
                  <c:v>305217.39130434784</c:v>
                </c:pt>
                <c:pt idx="12">
                  <c:v>305217.39130434784</c:v>
                </c:pt>
                <c:pt idx="13">
                  <c:v>305217.39130434784</c:v>
                </c:pt>
                <c:pt idx="14">
                  <c:v>305217.39130434784</c:v>
                </c:pt>
                <c:pt idx="15">
                  <c:v>305217.39130434784</c:v>
                </c:pt>
                <c:pt idx="16">
                  <c:v>305217.39130434784</c:v>
                </c:pt>
                <c:pt idx="17">
                  <c:v>305217.39130434784</c:v>
                </c:pt>
                <c:pt idx="18">
                  <c:v>305217.39130434784</c:v>
                </c:pt>
                <c:pt idx="19">
                  <c:v>305217.39130434784</c:v>
                </c:pt>
                <c:pt idx="20">
                  <c:v>305217.39130434784</c:v>
                </c:pt>
                <c:pt idx="21">
                  <c:v>305217.39130434784</c:v>
                </c:pt>
                <c:pt idx="22">
                  <c:v>305217.39130434784</c:v>
                </c:pt>
                <c:pt idx="23">
                  <c:v>305217.39130434784</c:v>
                </c:pt>
                <c:pt idx="24">
                  <c:v>279782.60869565216</c:v>
                </c:pt>
                <c:pt idx="25">
                  <c:v>254347.82608695651</c:v>
                </c:pt>
                <c:pt idx="26">
                  <c:v>228913.04347826086</c:v>
                </c:pt>
                <c:pt idx="27">
                  <c:v>203478.26086956522</c:v>
                </c:pt>
                <c:pt idx="28">
                  <c:v>178043.47826086957</c:v>
                </c:pt>
                <c:pt idx="29">
                  <c:v>152608.69565217392</c:v>
                </c:pt>
                <c:pt idx="30">
                  <c:v>127173.91304347826</c:v>
                </c:pt>
                <c:pt idx="31">
                  <c:v>101739.13043478261</c:v>
                </c:pt>
                <c:pt idx="32">
                  <c:v>76304.34782608696</c:v>
                </c:pt>
                <c:pt idx="33">
                  <c:v>50869.565217391304</c:v>
                </c:pt>
                <c:pt idx="34">
                  <c:v>25434.782608695652</c:v>
                </c:pt>
                <c:pt idx="35">
                  <c:v>0</c:v>
                </c:pt>
                <c:pt idx="36">
                  <c:v>-25434.782608695652</c:v>
                </c:pt>
                <c:pt idx="37">
                  <c:v>-50869.565217391304</c:v>
                </c:pt>
                <c:pt idx="38">
                  <c:v>-76304.34782608696</c:v>
                </c:pt>
                <c:pt idx="39">
                  <c:v>-101739.13043478261</c:v>
                </c:pt>
                <c:pt idx="40">
                  <c:v>-127173.91304347826</c:v>
                </c:pt>
                <c:pt idx="41">
                  <c:v>-152608.69565217392</c:v>
                </c:pt>
                <c:pt idx="42">
                  <c:v>-178043.47826086957</c:v>
                </c:pt>
                <c:pt idx="43">
                  <c:v>-203478.26086956522</c:v>
                </c:pt>
                <c:pt idx="44">
                  <c:v>-228913.04347826086</c:v>
                </c:pt>
                <c:pt idx="45">
                  <c:v>-254347.82608695651</c:v>
                </c:pt>
                <c:pt idx="46">
                  <c:v>-279782.60869565216</c:v>
                </c:pt>
                <c:pt idx="47">
                  <c:v>-305217.39130434784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0D-4F21-8BF2-7032FE756E97}"/>
            </c:ext>
          </c:extLst>
        </c:ser>
        <c:ser>
          <c:idx val="1"/>
          <c:order val="1"/>
          <c:tx>
            <c:strRef>
              <c:f>月度汇总!U6</c:f>
              <c:strCache>
                <c:ptCount val="1"/>
                <c:pt idx="0">
                  <c:v>基金资产+分红（港币）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月度汇总!$U$7:$U$54</c:f>
              <c:numCache>
                <c:formatCode>"HK$"#,##0.00;[Red]"(HK$"#,##0.00\);\-</c:formatCode>
                <c:ptCount val="48"/>
                <c:pt idx="0">
                  <c:v>25434.782608695652</c:v>
                </c:pt>
                <c:pt idx="1">
                  <c:v>50975.543478260872</c:v>
                </c:pt>
                <c:pt idx="2">
                  <c:v>76622.282608695648</c:v>
                </c:pt>
                <c:pt idx="3">
                  <c:v>102375</c:v>
                </c:pt>
                <c:pt idx="4">
                  <c:v>128233.6956521739</c:v>
                </c:pt>
                <c:pt idx="5">
                  <c:v>154198.36956521741</c:v>
                </c:pt>
                <c:pt idx="6">
                  <c:v>180269.02173913043</c:v>
                </c:pt>
                <c:pt idx="7">
                  <c:v>206445.65217391305</c:v>
                </c:pt>
                <c:pt idx="8">
                  <c:v>232728.26086956522</c:v>
                </c:pt>
                <c:pt idx="9">
                  <c:v>259116.84782608695</c:v>
                </c:pt>
                <c:pt idx="10">
                  <c:v>285611.41304347827</c:v>
                </c:pt>
                <c:pt idx="11">
                  <c:v>312211.95652173914</c:v>
                </c:pt>
                <c:pt idx="12">
                  <c:v>338918.47826086963</c:v>
                </c:pt>
                <c:pt idx="13">
                  <c:v>365730.97826086963</c:v>
                </c:pt>
                <c:pt idx="14">
                  <c:v>392649.45652173919</c:v>
                </c:pt>
                <c:pt idx="15">
                  <c:v>419673.91304347839</c:v>
                </c:pt>
                <c:pt idx="16">
                  <c:v>446804.34782608709</c:v>
                </c:pt>
                <c:pt idx="17">
                  <c:v>474040.76086956536</c:v>
                </c:pt>
                <c:pt idx="18">
                  <c:v>501383.15217391326</c:v>
                </c:pt>
                <c:pt idx="19">
                  <c:v>528831.52173913061</c:v>
                </c:pt>
                <c:pt idx="20">
                  <c:v>556385.86956521752</c:v>
                </c:pt>
                <c:pt idx="21">
                  <c:v>584046.19565217418</c:v>
                </c:pt>
                <c:pt idx="22">
                  <c:v>611812.50000000023</c:v>
                </c:pt>
                <c:pt idx="23">
                  <c:v>639684.78260869591</c:v>
                </c:pt>
                <c:pt idx="24">
                  <c:v>642228.26086956554</c:v>
                </c:pt>
                <c:pt idx="25">
                  <c:v>644771.73913043505</c:v>
                </c:pt>
                <c:pt idx="26">
                  <c:v>647315.21739130467</c:v>
                </c:pt>
                <c:pt idx="27">
                  <c:v>649858.69565217418</c:v>
                </c:pt>
                <c:pt idx="28">
                  <c:v>652402.17391304381</c:v>
                </c:pt>
                <c:pt idx="29">
                  <c:v>654945.65217391332</c:v>
                </c:pt>
                <c:pt idx="30">
                  <c:v>657489.13043478294</c:v>
                </c:pt>
                <c:pt idx="31">
                  <c:v>660032.60869565245</c:v>
                </c:pt>
                <c:pt idx="32">
                  <c:v>662576.08695652208</c:v>
                </c:pt>
                <c:pt idx="33">
                  <c:v>665119.56521739159</c:v>
                </c:pt>
                <c:pt idx="34">
                  <c:v>667663.04347826121</c:v>
                </c:pt>
                <c:pt idx="35">
                  <c:v>670206.52173913072</c:v>
                </c:pt>
                <c:pt idx="36">
                  <c:v>672750.00000000035</c:v>
                </c:pt>
                <c:pt idx="37">
                  <c:v>675293.47826086986</c:v>
                </c:pt>
                <c:pt idx="38">
                  <c:v>677836.95652173948</c:v>
                </c:pt>
                <c:pt idx="39">
                  <c:v>680380.43478260899</c:v>
                </c:pt>
                <c:pt idx="40">
                  <c:v>682923.9130434785</c:v>
                </c:pt>
                <c:pt idx="41">
                  <c:v>685467.39130434813</c:v>
                </c:pt>
                <c:pt idx="42">
                  <c:v>688010.86956521776</c:v>
                </c:pt>
                <c:pt idx="43">
                  <c:v>690554.34782608727</c:v>
                </c:pt>
                <c:pt idx="44">
                  <c:v>693097.82608695677</c:v>
                </c:pt>
                <c:pt idx="45">
                  <c:v>695641.3043478264</c:v>
                </c:pt>
                <c:pt idx="46">
                  <c:v>698184.78260869603</c:v>
                </c:pt>
                <c:pt idx="47">
                  <c:v>700728.26086956554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0D-4F21-8BF2-7032FE756E97}"/>
            </c:ext>
          </c:extLst>
        </c:ser>
        <c:ser>
          <c:idx val="2"/>
          <c:order val="2"/>
          <c:tx>
            <c:strRef>
              <c:f>月度汇总!V6</c:f>
              <c:strCache>
                <c:ptCount val="1"/>
                <c:pt idx="0">
                  <c:v>策略净资产（港币）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月度汇总!$V$7:$V$54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105.97826086956775</c:v>
                </c:pt>
                <c:pt idx="2">
                  <c:v>187.36956521738435</c:v>
                </c:pt>
                <c:pt idx="3">
                  <c:v>302.45652173913106</c:v>
                </c:pt>
                <c:pt idx="4">
                  <c:v>455.91304347825712</c:v>
                </c:pt>
                <c:pt idx="5">
                  <c:v>638.39130434783499</c:v>
                </c:pt>
                <c:pt idx="6">
                  <c:v>852.22826086956047</c:v>
                </c:pt>
                <c:pt idx="7">
                  <c:v>1141.7608695652302</c:v>
                </c:pt>
                <c:pt idx="8">
                  <c:v>1429.9891304347866</c:v>
                </c:pt>
                <c:pt idx="9">
                  <c:v>1763.6086956521717</c:v>
                </c:pt>
                <c:pt idx="10">
                  <c:v>2114.5652173913272</c:v>
                </c:pt>
                <c:pt idx="11">
                  <c:v>2520.2499999999927</c:v>
                </c:pt>
                <c:pt idx="12">
                  <c:v>28361.717391304395</c:v>
                </c:pt>
                <c:pt idx="13">
                  <c:v>54306.826086956571</c:v>
                </c:pt>
                <c:pt idx="14">
                  <c:v>80383.619565217436</c:v>
                </c:pt>
                <c:pt idx="15">
                  <c:v>106543.02173913055</c:v>
                </c:pt>
                <c:pt idx="16">
                  <c:v>132831.77173913055</c:v>
                </c:pt>
                <c:pt idx="17">
                  <c:v>159203.13043478274</c:v>
                </c:pt>
                <c:pt idx="18">
                  <c:v>185678.1304347828</c:v>
                </c:pt>
                <c:pt idx="19">
                  <c:v>212310.4021739132</c:v>
                </c:pt>
                <c:pt idx="20">
                  <c:v>239002.02173913055</c:v>
                </c:pt>
                <c:pt idx="21">
                  <c:v>265820.6630434785</c:v>
                </c:pt>
                <c:pt idx="22">
                  <c:v>292721.9130434785</c:v>
                </c:pt>
                <c:pt idx="23">
                  <c:v>319752.51086956548</c:v>
                </c:pt>
                <c:pt idx="24">
                  <c:v>346865.71739130467</c:v>
                </c:pt>
                <c:pt idx="25">
                  <c:v>373976.58695652196</c:v>
                </c:pt>
                <c:pt idx="26">
                  <c:v>401243.72826086992</c:v>
                </c:pt>
                <c:pt idx="27">
                  <c:v>428559.78260869597</c:v>
                </c:pt>
                <c:pt idx="28">
                  <c:v>455966.81521739165</c:v>
                </c:pt>
                <c:pt idx="29">
                  <c:v>483427.43478260894</c:v>
                </c:pt>
                <c:pt idx="30">
                  <c:v>510960.33695652208</c:v>
                </c:pt>
                <c:pt idx="31">
                  <c:v>538600.52173913072</c:v>
                </c:pt>
                <c:pt idx="32">
                  <c:v>566277.98913043516</c:v>
                </c:pt>
                <c:pt idx="33">
                  <c:v>594034.75000000023</c:v>
                </c:pt>
                <c:pt idx="34">
                  <c:v>621856.78260869603</c:v>
                </c:pt>
                <c:pt idx="35">
                  <c:v>649753.43478260899</c:v>
                </c:pt>
                <c:pt idx="36">
                  <c:v>677731.6956521743</c:v>
                </c:pt>
                <c:pt idx="37">
                  <c:v>705709.95652173948</c:v>
                </c:pt>
                <c:pt idx="38">
                  <c:v>733688.21739130467</c:v>
                </c:pt>
                <c:pt idx="39">
                  <c:v>761666.47826086986</c:v>
                </c:pt>
                <c:pt idx="40">
                  <c:v>789644.73913043505</c:v>
                </c:pt>
                <c:pt idx="41">
                  <c:v>817623.00000000035</c:v>
                </c:pt>
                <c:pt idx="42">
                  <c:v>845601.26086956565</c:v>
                </c:pt>
                <c:pt idx="43">
                  <c:v>873579.52173913072</c:v>
                </c:pt>
                <c:pt idx="44">
                  <c:v>901557.78260869591</c:v>
                </c:pt>
                <c:pt idx="45">
                  <c:v>929536.04347826121</c:v>
                </c:pt>
                <c:pt idx="46">
                  <c:v>957514.3043478264</c:v>
                </c:pt>
                <c:pt idx="47">
                  <c:v>985492.56521739159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0D-4F21-8BF2-7032FE756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068406"/>
        <c:axId val="80618627"/>
      </c:lineChart>
      <c:dateAx>
        <c:axId val="750684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0618627"/>
        <c:crosses val="autoZero"/>
        <c:auto val="1"/>
        <c:lblOffset val="100"/>
        <c:baseTimeUnit val="months"/>
      </c:dateAx>
      <c:valAx>
        <c:axId val="80618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港币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HK$&quot;#,##0.00;[Red]&quot;(HK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50684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5</xdr:col>
      <xdr:colOff>966600</xdr:colOff>
      <xdr:row>72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tabSelected="1" zoomScaleNormal="100" workbookViewId="0"/>
  </sheetViews>
  <sheetFormatPr defaultColWidth="8.7109375" defaultRowHeight="15"/>
  <cols>
    <col min="1" max="1" width="16" customWidth="1"/>
    <col min="2" max="2" width="105" customWidth="1"/>
  </cols>
  <sheetData>
    <row r="1" spans="1:8" ht="24.75" customHeight="1">
      <c r="A1" s="5" t="s">
        <v>0</v>
      </c>
      <c r="B1" s="5"/>
      <c r="C1" s="5"/>
      <c r="D1" s="5"/>
      <c r="E1" s="5"/>
      <c r="F1" s="5"/>
      <c r="G1" s="5"/>
      <c r="H1" s="5"/>
    </row>
    <row r="3" spans="1:8" ht="28.35">
      <c r="A3" s="6" t="s">
        <v>1</v>
      </c>
      <c r="B3" s="7" t="s">
        <v>2</v>
      </c>
    </row>
    <row r="5" spans="1:8">
      <c r="A5" s="6" t="s">
        <v>3</v>
      </c>
      <c r="B5" s="7" t="s">
        <v>4</v>
      </c>
    </row>
    <row r="6" spans="1:8" ht="29.1">
      <c r="A6" s="6" t="s">
        <v>5</v>
      </c>
      <c r="B6" s="8" t="s">
        <v>6</v>
      </c>
    </row>
    <row r="7" spans="1:8">
      <c r="A7" s="6" t="s">
        <v>7</v>
      </c>
      <c r="B7" s="7" t="s">
        <v>8</v>
      </c>
    </row>
    <row r="9" spans="1:8" ht="29.1">
      <c r="A9" s="6" t="s">
        <v>9</v>
      </c>
      <c r="B9" s="8" t="s">
        <v>10</v>
      </c>
    </row>
    <row r="11" spans="1:8" ht="28.35">
      <c r="A11" s="6" t="s">
        <v>11</v>
      </c>
      <c r="B11" s="9" t="s">
        <v>12</v>
      </c>
    </row>
    <row r="13" spans="1:8">
      <c r="A13" s="6" t="s">
        <v>13</v>
      </c>
      <c r="B13" s="7" t="s">
        <v>14</v>
      </c>
    </row>
  </sheetData>
  <mergeCells count="1">
    <mergeCell ref="A1:H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30" customWidth="1"/>
    <col min="2" max="2" width="18" customWidth="1"/>
    <col min="3" max="3" width="55" customWidth="1"/>
  </cols>
  <sheetData>
    <row r="1" spans="1:5" ht="24.75" customHeight="1">
      <c r="A1" s="5" t="s">
        <v>15</v>
      </c>
      <c r="B1" s="5"/>
      <c r="C1" s="5"/>
      <c r="D1" s="5"/>
      <c r="E1" s="5"/>
    </row>
    <row r="3" spans="1:5">
      <c r="A3" s="4" t="s">
        <v>16</v>
      </c>
      <c r="B3" s="4"/>
      <c r="C3" s="4"/>
      <c r="D3" s="4"/>
      <c r="E3" s="4"/>
    </row>
    <row r="4" spans="1:5">
      <c r="A4" s="10" t="s">
        <v>17</v>
      </c>
      <c r="B4" s="11">
        <v>46244</v>
      </c>
      <c r="C4" s="12" t="s">
        <v>18</v>
      </c>
    </row>
    <row r="5" spans="1:5">
      <c r="A5" s="10" t="s">
        <v>19</v>
      </c>
      <c r="B5" s="13">
        <v>23400</v>
      </c>
      <c r="C5" s="12" t="s">
        <v>20</v>
      </c>
    </row>
    <row r="6" spans="1:5">
      <c r="A6" s="10" t="s">
        <v>21</v>
      </c>
      <c r="B6" s="14">
        <v>24</v>
      </c>
      <c r="C6" s="12" t="s">
        <v>22</v>
      </c>
    </row>
    <row r="7" spans="1:5">
      <c r="A7" s="10" t="s">
        <v>23</v>
      </c>
      <c r="B7" s="15">
        <v>0.92</v>
      </c>
      <c r="C7" s="16" t="s">
        <v>24</v>
      </c>
    </row>
    <row r="9" spans="1:5" ht="14.85">
      <c r="A9" s="4" t="s">
        <v>25</v>
      </c>
      <c r="B9" s="4"/>
      <c r="C9" s="4"/>
      <c r="D9" s="4"/>
      <c r="E9" s="4"/>
    </row>
    <row r="10" spans="1:5">
      <c r="A10" s="10" t="s">
        <v>26</v>
      </c>
      <c r="B10" s="17">
        <v>3.3000000000000002E-2</v>
      </c>
      <c r="C10" s="12" t="s">
        <v>27</v>
      </c>
    </row>
    <row r="11" spans="1:5">
      <c r="A11" s="10" t="s">
        <v>28</v>
      </c>
      <c r="B11" s="14">
        <v>360</v>
      </c>
      <c r="C11" s="16" t="s">
        <v>29</v>
      </c>
    </row>
    <row r="12" spans="1:5">
      <c r="A12" s="10" t="s">
        <v>30</v>
      </c>
      <c r="B12" s="14">
        <v>12</v>
      </c>
      <c r="C12" s="12" t="s">
        <v>31</v>
      </c>
    </row>
    <row r="13" spans="1:5">
      <c r="A13" s="10" t="s">
        <v>32</v>
      </c>
      <c r="B13" s="14">
        <v>5</v>
      </c>
      <c r="C13" s="12" t="s">
        <v>33</v>
      </c>
    </row>
    <row r="14" spans="1:5">
      <c r="A14" s="10" t="s">
        <v>34</v>
      </c>
      <c r="B14" s="14">
        <v>2</v>
      </c>
      <c r="C14" s="12" t="s">
        <v>35</v>
      </c>
    </row>
    <row r="16" spans="1:5">
      <c r="A16" s="4" t="s">
        <v>36</v>
      </c>
      <c r="B16" s="4"/>
      <c r="C16" s="4"/>
      <c r="D16" s="4"/>
      <c r="E16" s="4"/>
    </row>
    <row r="17" spans="1:3">
      <c r="A17" s="10" t="s">
        <v>37</v>
      </c>
      <c r="B17" s="17">
        <v>0.05</v>
      </c>
      <c r="C17" s="12" t="s">
        <v>38</v>
      </c>
    </row>
    <row r="18" spans="1:3">
      <c r="A18" s="10" t="s">
        <v>39</v>
      </c>
      <c r="B18" s="14">
        <v>12</v>
      </c>
      <c r="C18" s="12" t="s">
        <v>40</v>
      </c>
    </row>
    <row r="19" spans="1:3">
      <c r="A19" s="10" t="s">
        <v>41</v>
      </c>
      <c r="B19" s="14">
        <v>28</v>
      </c>
      <c r="C19" s="12" t="s">
        <v>42</v>
      </c>
    </row>
    <row r="20" spans="1:3">
      <c r="A20" s="10" t="s">
        <v>43</v>
      </c>
      <c r="B20" s="14">
        <v>8</v>
      </c>
      <c r="C20" s="12" t="s">
        <v>44</v>
      </c>
    </row>
    <row r="21" spans="1:3">
      <c r="A21" s="10" t="s">
        <v>45</v>
      </c>
      <c r="B21" s="17">
        <v>0</v>
      </c>
      <c r="C21" s="12" t="s">
        <v>46</v>
      </c>
    </row>
  </sheetData>
  <mergeCells count="4">
    <mergeCell ref="A1:E1"/>
    <mergeCell ref="A3:E3"/>
    <mergeCell ref="A9:E9"/>
    <mergeCell ref="A16:E16"/>
  </mergeCells>
  <pageMargins left="0.75" right="0.75" top="1" bottom="1" header="0.511811023622047" footer="0.511811023622047"/>
  <pageSetup fitToHeight="0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5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1" customWidth="1"/>
    <col min="2" max="2" width="9" customWidth="1"/>
    <col min="3" max="3" width="12" customWidth="1"/>
    <col min="4" max="15" width="18" customWidth="1"/>
    <col min="16" max="17" width="17" customWidth="1"/>
    <col min="18" max="19" width="20" customWidth="1"/>
    <col min="20" max="20" width="17" customWidth="1"/>
    <col min="21" max="22" width="20" customWidth="1"/>
  </cols>
  <sheetData>
    <row r="1" spans="1:22" ht="24.75" customHeight="1">
      <c r="A1" s="5" t="s">
        <v>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3" spans="1:22">
      <c r="A3" s="3" t="s">
        <v>48</v>
      </c>
      <c r="B3" s="3"/>
      <c r="C3" s="3"/>
      <c r="E3" s="3" t="s">
        <v>49</v>
      </c>
      <c r="F3" s="3"/>
      <c r="G3" s="3"/>
      <c r="I3" s="3" t="s">
        <v>50</v>
      </c>
      <c r="J3" s="3"/>
      <c r="K3" s="3"/>
      <c r="M3" s="3" t="s">
        <v>51</v>
      </c>
      <c r="N3" s="3"/>
      <c r="O3" s="3"/>
      <c r="Q3" s="3" t="s">
        <v>52</v>
      </c>
      <c r="R3" s="3"/>
      <c r="S3" s="3"/>
    </row>
    <row r="4" spans="1:22" ht="16.149999999999999">
      <c r="A4" s="2">
        <f>SUM(H7:H54)</f>
        <v>610434.78260869591</v>
      </c>
      <c r="B4" s="2"/>
      <c r="C4" s="2"/>
      <c r="E4" s="2">
        <f>SUM(K7:K54)</f>
        <v>90293.478260869626</v>
      </c>
      <c r="F4" s="2"/>
      <c r="G4" s="2"/>
      <c r="I4" s="1">
        <f>SUM(N7:N54)</f>
        <v>18816.839999999997</v>
      </c>
      <c r="J4" s="1"/>
      <c r="K4" s="1"/>
      <c r="M4" s="1">
        <f>INDEX(S7:S54,参数设置!B6+参数设置!B12)</f>
        <v>0</v>
      </c>
      <c r="N4" s="1"/>
      <c r="O4" s="1"/>
      <c r="Q4" s="2">
        <f>INDEX(V7:V54,参数设置!B6+参数设置!B12)</f>
        <v>649753.43478260899</v>
      </c>
      <c r="R4" s="2"/>
      <c r="S4" s="2"/>
    </row>
    <row r="6" spans="1:22" ht="28.35">
      <c r="A6" s="18" t="s">
        <v>53</v>
      </c>
      <c r="B6" s="18" t="s">
        <v>54</v>
      </c>
      <c r="C6" s="18" t="s">
        <v>55</v>
      </c>
      <c r="D6" s="18" t="s">
        <v>56</v>
      </c>
      <c r="E6" s="18" t="s">
        <v>57</v>
      </c>
      <c r="F6" s="18" t="s">
        <v>58</v>
      </c>
      <c r="G6" s="18" t="s">
        <v>59</v>
      </c>
      <c r="H6" s="18" t="s">
        <v>60</v>
      </c>
      <c r="I6" s="18" t="s">
        <v>61</v>
      </c>
      <c r="J6" s="18" t="s">
        <v>62</v>
      </c>
      <c r="K6" s="18" t="s">
        <v>63</v>
      </c>
      <c r="L6" s="18" t="s">
        <v>64</v>
      </c>
      <c r="M6" s="18" t="s">
        <v>65</v>
      </c>
      <c r="N6" s="18" t="s">
        <v>66</v>
      </c>
      <c r="O6" s="18" t="s">
        <v>67</v>
      </c>
      <c r="P6" s="18" t="s">
        <v>68</v>
      </c>
      <c r="Q6" s="18" t="s">
        <v>69</v>
      </c>
      <c r="R6" s="18" t="s">
        <v>70</v>
      </c>
      <c r="S6" s="18" t="s">
        <v>51</v>
      </c>
      <c r="T6" s="18" t="s">
        <v>71</v>
      </c>
      <c r="U6" s="18" t="s">
        <v>72</v>
      </c>
      <c r="V6" s="18" t="s">
        <v>73</v>
      </c>
    </row>
    <row r="7" spans="1:22">
      <c r="A7" s="19">
        <f>EDATE(DATE(YEAR(参数设置!$B$4),MONTH(参数设置!$B$4),1),ROW()-7)</f>
        <v>46235</v>
      </c>
      <c r="B7" s="20">
        <f>IF(ROW()-6&lt;=参数设置!$B$6,ROW()-6,"")</f>
        <v>1</v>
      </c>
      <c r="C7" s="21">
        <f>IF(B7="","",EDATE(参数设置!$B$4,B7-1))</f>
        <v>46244</v>
      </c>
      <c r="D7" s="22">
        <f>IF(B7="",0,参数设置!$B$5)</f>
        <v>23400</v>
      </c>
      <c r="E7" s="15">
        <f>参数设置!$B$7</f>
        <v>0.92</v>
      </c>
      <c r="F7" s="23">
        <f>IF(D7=0,0,D7/E7)</f>
        <v>25434.782608695652</v>
      </c>
      <c r="G7" s="24">
        <f>F7*参数设置!$B$21</f>
        <v>0</v>
      </c>
      <c r="H7" s="23">
        <f>F7-G7</f>
        <v>25434.782608695652</v>
      </c>
      <c r="I7" s="23">
        <f>IF(ROW()=7,H7,I6+H7)</f>
        <v>25434.782608695652</v>
      </c>
      <c r="J7" s="24">
        <f>I7*参数设置!$B$17/参数设置!$B$18</f>
        <v>105.97826086956523</v>
      </c>
      <c r="K7" s="23">
        <f>IF(ROW()=7,0,J6)</f>
        <v>0</v>
      </c>
      <c r="L7" s="23">
        <f>IF(ROW()=7,K7,L6+K7)</f>
        <v>0</v>
      </c>
      <c r="M7" s="22">
        <f>SUMIFS(贷款明细!$H$4:$H$435,贷款明细!$F$4:$F$435,"&gt;="&amp;A7,贷款明细!$F$4:$F$435,"&lt;"&amp;EDATE(A7,1))</f>
        <v>0</v>
      </c>
      <c r="N7" s="22">
        <f>SUMIFS(贷款明细!$I$4:$I$435,贷款明细!$F$4:$F$435,"&gt;="&amp;A7,贷款明细!$F$4:$F$435,"&lt;"&amp;EDATE(A7,1))</f>
        <v>0</v>
      </c>
      <c r="O7" s="25">
        <f>M7+N7</f>
        <v>0</v>
      </c>
      <c r="P7" s="23">
        <f>O7/E7</f>
        <v>0</v>
      </c>
      <c r="Q7" s="23">
        <f>-H7+K7-P7</f>
        <v>-25434.782608695652</v>
      </c>
      <c r="R7" s="25">
        <f>M7</f>
        <v>0</v>
      </c>
      <c r="S7" s="25">
        <f>SUM($D$7:D7)-SUM($M$7:M7)</f>
        <v>23400</v>
      </c>
      <c r="T7" s="23">
        <f>S7/E7</f>
        <v>25434.782608695652</v>
      </c>
      <c r="U7" s="23">
        <f>I7+L7</f>
        <v>25434.782608695652</v>
      </c>
      <c r="V7" s="23">
        <f>U7-T7-SUM($N$7:N7)/E7</f>
        <v>0</v>
      </c>
    </row>
    <row r="8" spans="1:22">
      <c r="A8" s="19">
        <f>EDATE(DATE(YEAR(参数设置!$B$4),MONTH(参数设置!$B$4),1),ROW()-7)</f>
        <v>46266</v>
      </c>
      <c r="B8" s="20">
        <f>IF(ROW()-6&lt;=参数设置!$B$6,ROW()-6,"")</f>
        <v>2</v>
      </c>
      <c r="C8" s="21">
        <f>IF(B8="","",EDATE(参数设置!$B$4,B8-1))</f>
        <v>46275</v>
      </c>
      <c r="D8" s="22">
        <f>IF(B8="",0,参数设置!$B$5)</f>
        <v>23400</v>
      </c>
      <c r="E8" s="15">
        <f>参数设置!$B$7</f>
        <v>0.92</v>
      </c>
      <c r="F8" s="23">
        <f>IF(D8=0,0,D8/E8)</f>
        <v>25434.782608695652</v>
      </c>
      <c r="G8" s="24">
        <f>F8*参数设置!$B$21</f>
        <v>0</v>
      </c>
      <c r="H8" s="23">
        <f>F8-G8</f>
        <v>25434.782608695652</v>
      </c>
      <c r="I8" s="23">
        <f>IF(ROW()=7,H8,I7+H8)</f>
        <v>50869.565217391304</v>
      </c>
      <c r="J8" s="24">
        <f>I8*参数设置!$B$17/参数设置!$B$18</f>
        <v>211.95652173913047</v>
      </c>
      <c r="K8" s="23">
        <f>IF(ROW()=7,0,J7)</f>
        <v>105.97826086956523</v>
      </c>
      <c r="L8" s="23">
        <f>IF(ROW()=7,K8,L7+K8)</f>
        <v>105.97826086956523</v>
      </c>
      <c r="M8" s="22">
        <f>SUMIFS(贷款明细!$H$4:$H$435,贷款明细!$F$4:$F$435,"&gt;="&amp;A8,贷款明细!$F$4:$F$435,"&lt;"&amp;EDATE(A8,1))</f>
        <v>0</v>
      </c>
      <c r="N8" s="22">
        <f>SUMIFS(贷款明细!$I$4:$I$435,贷款明细!$F$4:$F$435,"&gt;="&amp;A8,贷款明细!$F$4:$F$435,"&lt;"&amp;EDATE(A8,1))</f>
        <v>0</v>
      </c>
      <c r="O8" s="25">
        <f>M8+N8</f>
        <v>0</v>
      </c>
      <c r="P8" s="23">
        <f>O8/E8</f>
        <v>0</v>
      </c>
      <c r="Q8" s="23">
        <f>-H8+K8-P8</f>
        <v>-25328.804347826088</v>
      </c>
      <c r="R8" s="25">
        <f>M8</f>
        <v>0</v>
      </c>
      <c r="S8" s="25">
        <f>SUM($D$7:D8)-SUM($M$7:M8)</f>
        <v>46800</v>
      </c>
      <c r="T8" s="23">
        <f>S8/E8</f>
        <v>50869.565217391304</v>
      </c>
      <c r="U8" s="23">
        <f>I8+L8</f>
        <v>50975.543478260872</v>
      </c>
      <c r="V8" s="23">
        <f>U8-T8-SUM($N$7:N8)/E8</f>
        <v>105.97826086956775</v>
      </c>
    </row>
    <row r="9" spans="1:22">
      <c r="A9" s="19">
        <f>EDATE(DATE(YEAR(参数设置!$B$4),MONTH(参数设置!$B$4),1),ROW()-7)</f>
        <v>46296</v>
      </c>
      <c r="B9" s="20">
        <f>IF(ROW()-6&lt;=参数设置!$B$6,ROW()-6,"")</f>
        <v>3</v>
      </c>
      <c r="C9" s="21">
        <f>IF(B9="","",EDATE(参数设置!$B$4,B9-1))</f>
        <v>46305</v>
      </c>
      <c r="D9" s="22">
        <f>IF(B9="",0,参数设置!$B$5)</f>
        <v>23400</v>
      </c>
      <c r="E9" s="15">
        <f>参数设置!$B$7</f>
        <v>0.92</v>
      </c>
      <c r="F9" s="23">
        <f>IF(D9=0,0,D9/E9)</f>
        <v>25434.782608695652</v>
      </c>
      <c r="G9" s="24">
        <f>F9*参数设置!$B$21</f>
        <v>0</v>
      </c>
      <c r="H9" s="23">
        <f>F9-G9</f>
        <v>25434.782608695652</v>
      </c>
      <c r="I9" s="23">
        <f>IF(ROW()=7,H9,I8+H9)</f>
        <v>76304.34782608696</v>
      </c>
      <c r="J9" s="24">
        <f>I9*参数设置!$B$17/参数设置!$B$18</f>
        <v>317.93478260869568</v>
      </c>
      <c r="K9" s="23">
        <f>IF(ROW()=7,0,J8)</f>
        <v>211.95652173913047</v>
      </c>
      <c r="L9" s="23">
        <f>IF(ROW()=7,K9,L8+K9)</f>
        <v>317.93478260869568</v>
      </c>
      <c r="M9" s="22">
        <f>SUMIFS(贷款明细!$H$4:$H$435,贷款明细!$F$4:$F$435,"&gt;="&amp;A9,贷款明细!$F$4:$F$435,"&lt;"&amp;EDATE(A9,1))</f>
        <v>0</v>
      </c>
      <c r="N9" s="22">
        <f>SUMIFS(贷款明细!$I$4:$I$435,贷款明细!$F$4:$F$435,"&gt;="&amp;A9,贷款明细!$F$4:$F$435,"&lt;"&amp;EDATE(A9,1))</f>
        <v>120.12</v>
      </c>
      <c r="O9" s="25">
        <f>M9+N9</f>
        <v>120.12</v>
      </c>
      <c r="P9" s="23">
        <f>O9/E9</f>
        <v>130.56521739130434</v>
      </c>
      <c r="Q9" s="23">
        <f>-H9+K9-P9</f>
        <v>-25353.391304347824</v>
      </c>
      <c r="R9" s="25">
        <f>M9</f>
        <v>0</v>
      </c>
      <c r="S9" s="25">
        <f>SUM($D$7:D9)-SUM($M$7:M9)</f>
        <v>70200</v>
      </c>
      <c r="T9" s="23">
        <f>S9/E9</f>
        <v>76304.34782608696</v>
      </c>
      <c r="U9" s="23">
        <f>I9+L9</f>
        <v>76622.282608695648</v>
      </c>
      <c r="V9" s="23">
        <f>U9-T9-SUM($N$7:N9)/E9</f>
        <v>187.36956521738435</v>
      </c>
    </row>
    <row r="10" spans="1:22">
      <c r="A10" s="19">
        <f>EDATE(DATE(YEAR(参数设置!$B$4),MONTH(参数设置!$B$4),1),ROW()-7)</f>
        <v>46327</v>
      </c>
      <c r="B10" s="20">
        <f>IF(ROW()-6&lt;=参数设置!$B$6,ROW()-6,"")</f>
        <v>4</v>
      </c>
      <c r="C10" s="21">
        <f>IF(B10="","",EDATE(参数设置!$B$4,B10-1))</f>
        <v>46336</v>
      </c>
      <c r="D10" s="22">
        <f>IF(B10="",0,参数设置!$B$5)</f>
        <v>23400</v>
      </c>
      <c r="E10" s="15">
        <f>参数设置!$B$7</f>
        <v>0.92</v>
      </c>
      <c r="F10" s="23">
        <f>IF(D10=0,0,D10/E10)</f>
        <v>25434.782608695652</v>
      </c>
      <c r="G10" s="24">
        <f>F10*参数设置!$B$21</f>
        <v>0</v>
      </c>
      <c r="H10" s="23">
        <f>F10-G10</f>
        <v>25434.782608695652</v>
      </c>
      <c r="I10" s="23">
        <f>IF(ROW()=7,H10,I9+H10)</f>
        <v>101739.13043478261</v>
      </c>
      <c r="J10" s="24">
        <f>I10*参数设置!$B$17/参数设置!$B$18</f>
        <v>423.91304347826093</v>
      </c>
      <c r="K10" s="23">
        <f>IF(ROW()=7,0,J9)</f>
        <v>317.93478260869568</v>
      </c>
      <c r="L10" s="23">
        <f>IF(ROW()=7,K10,L9+K10)</f>
        <v>635.86956521739137</v>
      </c>
      <c r="M10" s="22">
        <f>SUMIFS(贷款明细!$H$4:$H$435,贷款明细!$F$4:$F$435,"&gt;="&amp;A10,贷款明细!$F$4:$F$435,"&lt;"&amp;EDATE(A10,1))</f>
        <v>0</v>
      </c>
      <c r="N10" s="22">
        <f>SUMIFS(贷款明细!$I$4:$I$435,贷款明细!$F$4:$F$435,"&gt;="&amp;A10,贷款明细!$F$4:$F$435,"&lt;"&amp;EDATE(A10,1))</f>
        <v>186.62</v>
      </c>
      <c r="O10" s="25">
        <f>M10+N10</f>
        <v>186.62</v>
      </c>
      <c r="P10" s="23">
        <f>O10/E10</f>
        <v>202.84782608695653</v>
      </c>
      <c r="Q10" s="23">
        <f>-H10+K10-P10</f>
        <v>-25319.695652173912</v>
      </c>
      <c r="R10" s="25">
        <f>M10</f>
        <v>0</v>
      </c>
      <c r="S10" s="25">
        <f>SUM($D$7:D10)-SUM($M$7:M10)</f>
        <v>93600</v>
      </c>
      <c r="T10" s="23">
        <f>S10/E10</f>
        <v>101739.13043478261</v>
      </c>
      <c r="U10" s="23">
        <f>I10+L10</f>
        <v>102375</v>
      </c>
      <c r="V10" s="23">
        <f>U10-T10-SUM($N$7:N10)/E10</f>
        <v>302.45652173913106</v>
      </c>
    </row>
    <row r="11" spans="1:22">
      <c r="A11" s="19">
        <f>EDATE(DATE(YEAR(参数设置!$B$4),MONTH(参数设置!$B$4),1),ROW()-7)</f>
        <v>46357</v>
      </c>
      <c r="B11" s="20">
        <f>IF(ROW()-6&lt;=参数设置!$B$6,ROW()-6,"")</f>
        <v>5</v>
      </c>
      <c r="C11" s="21">
        <f>IF(B11="","",EDATE(参数设置!$B$4,B11-1))</f>
        <v>46366</v>
      </c>
      <c r="D11" s="22">
        <f>IF(B11="",0,参数设置!$B$5)</f>
        <v>23400</v>
      </c>
      <c r="E11" s="15">
        <f>参数设置!$B$7</f>
        <v>0.92</v>
      </c>
      <c r="F11" s="23">
        <f>IF(D11=0,0,D11/E11)</f>
        <v>25434.782608695652</v>
      </c>
      <c r="G11" s="24">
        <f>F11*参数设置!$B$21</f>
        <v>0</v>
      </c>
      <c r="H11" s="23">
        <f>F11-G11</f>
        <v>25434.782608695652</v>
      </c>
      <c r="I11" s="23">
        <f>IF(ROW()=7,H11,I10+H11)</f>
        <v>127173.91304347826</v>
      </c>
      <c r="J11" s="24">
        <f>I11*参数设置!$B$17/参数设置!$B$18</f>
        <v>529.89130434782612</v>
      </c>
      <c r="K11" s="23">
        <f>IF(ROW()=7,0,J10)</f>
        <v>423.91304347826093</v>
      </c>
      <c r="L11" s="23">
        <f>IF(ROW()=7,K11,L10+K11)</f>
        <v>1059.7826086956522</v>
      </c>
      <c r="M11" s="22">
        <f>SUMIFS(贷款明细!$H$4:$H$435,贷款明细!$F$4:$F$435,"&gt;="&amp;A11,贷款明细!$F$4:$F$435,"&lt;"&amp;EDATE(A11,1))</f>
        <v>0</v>
      </c>
      <c r="N11" s="22">
        <f>SUMIFS(贷款明细!$I$4:$I$435,贷款明细!$F$4:$F$435,"&gt;="&amp;A11,贷款明细!$F$4:$F$435,"&lt;"&amp;EDATE(A11,1))</f>
        <v>248.82</v>
      </c>
      <c r="O11" s="25">
        <f>M11+N11</f>
        <v>248.82</v>
      </c>
      <c r="P11" s="23">
        <f>O11/E11</f>
        <v>270.45652173913044</v>
      </c>
      <c r="Q11" s="23">
        <f>-H11+K11-P11</f>
        <v>-25281.326086956524</v>
      </c>
      <c r="R11" s="25">
        <f>M11</f>
        <v>0</v>
      </c>
      <c r="S11" s="25">
        <f>SUM($D$7:D11)-SUM($M$7:M11)</f>
        <v>117000</v>
      </c>
      <c r="T11" s="23">
        <f>S11/E11</f>
        <v>127173.91304347826</v>
      </c>
      <c r="U11" s="23">
        <f>I11+L11</f>
        <v>128233.6956521739</v>
      </c>
      <c r="V11" s="23">
        <f>U11-T11-SUM($N$7:N11)/E11</f>
        <v>455.91304347825712</v>
      </c>
    </row>
    <row r="12" spans="1:22">
      <c r="A12" s="19">
        <f>EDATE(DATE(YEAR(参数设置!$B$4),MONTH(参数设置!$B$4),1),ROW()-7)</f>
        <v>46388</v>
      </c>
      <c r="B12" s="20">
        <f>IF(ROW()-6&lt;=参数设置!$B$6,ROW()-6,"")</f>
        <v>6</v>
      </c>
      <c r="C12" s="21">
        <f>IF(B12="","",EDATE(参数设置!$B$4,B12-1))</f>
        <v>46397</v>
      </c>
      <c r="D12" s="22">
        <f>IF(B12="",0,参数设置!$B$5)</f>
        <v>23400</v>
      </c>
      <c r="E12" s="15">
        <f>参数设置!$B$7</f>
        <v>0.92</v>
      </c>
      <c r="F12" s="23">
        <f>IF(D12=0,0,D12/E12)</f>
        <v>25434.782608695652</v>
      </c>
      <c r="G12" s="24">
        <f>F12*参数设置!$B$21</f>
        <v>0</v>
      </c>
      <c r="H12" s="23">
        <f>F12-G12</f>
        <v>25434.782608695652</v>
      </c>
      <c r="I12" s="23">
        <f>IF(ROW()=7,H12,I11+H12)</f>
        <v>152608.69565217392</v>
      </c>
      <c r="J12" s="24">
        <f>I12*参数设置!$B$17/参数设置!$B$18</f>
        <v>635.86956521739137</v>
      </c>
      <c r="K12" s="23">
        <f>IF(ROW()=7,0,J11)</f>
        <v>529.89130434782612</v>
      </c>
      <c r="L12" s="23">
        <f>IF(ROW()=7,K12,L11+K12)</f>
        <v>1589.6739130434785</v>
      </c>
      <c r="M12" s="22">
        <f>SUMIFS(贷款明细!$H$4:$H$435,贷款明细!$F$4:$F$435,"&gt;="&amp;A12,贷款明细!$F$4:$F$435,"&lt;"&amp;EDATE(A12,1))</f>
        <v>0</v>
      </c>
      <c r="N12" s="22">
        <f>SUMIFS(贷款明细!$I$4:$I$435,贷款明细!$F$4:$F$435,"&gt;="&amp;A12,贷款明细!$F$4:$F$435,"&lt;"&amp;EDATE(A12,1))</f>
        <v>319.62</v>
      </c>
      <c r="O12" s="25">
        <f>M12+N12</f>
        <v>319.62</v>
      </c>
      <c r="P12" s="23">
        <f>O12/E12</f>
        <v>347.41304347826087</v>
      </c>
      <c r="Q12" s="23">
        <f>-H12+K12-P12</f>
        <v>-25252.304347826084</v>
      </c>
      <c r="R12" s="25">
        <f>M12</f>
        <v>0</v>
      </c>
      <c r="S12" s="25">
        <f>SUM($D$7:D12)-SUM($M$7:M12)</f>
        <v>140400</v>
      </c>
      <c r="T12" s="23">
        <f>S12/E12</f>
        <v>152608.69565217392</v>
      </c>
      <c r="U12" s="23">
        <f>I12+L12</f>
        <v>154198.36956521741</v>
      </c>
      <c r="V12" s="23">
        <f>U12-T12-SUM($N$7:N12)/E12</f>
        <v>638.39130434783499</v>
      </c>
    </row>
    <row r="13" spans="1:22">
      <c r="A13" s="19">
        <f>EDATE(DATE(YEAR(参数设置!$B$4),MONTH(参数设置!$B$4),1),ROW()-7)</f>
        <v>46419</v>
      </c>
      <c r="B13" s="20">
        <f>IF(ROW()-6&lt;=参数设置!$B$6,ROW()-6,"")</f>
        <v>7</v>
      </c>
      <c r="C13" s="21">
        <f>IF(B13="","",EDATE(参数设置!$B$4,B13-1))</f>
        <v>46428</v>
      </c>
      <c r="D13" s="22">
        <f>IF(B13="",0,参数设置!$B$5)</f>
        <v>23400</v>
      </c>
      <c r="E13" s="15">
        <f>参数设置!$B$7</f>
        <v>0.92</v>
      </c>
      <c r="F13" s="23">
        <f>IF(D13=0,0,D13/E13)</f>
        <v>25434.782608695652</v>
      </c>
      <c r="G13" s="24">
        <f>F13*参数设置!$B$21</f>
        <v>0</v>
      </c>
      <c r="H13" s="23">
        <f>F13-G13</f>
        <v>25434.782608695652</v>
      </c>
      <c r="I13" s="23">
        <f>IF(ROW()=7,H13,I12+H13)</f>
        <v>178043.47826086957</v>
      </c>
      <c r="J13" s="24">
        <f>I13*参数设置!$B$17/参数设置!$B$18</f>
        <v>741.8478260869565</v>
      </c>
      <c r="K13" s="23">
        <f>IF(ROW()=7,0,J12)</f>
        <v>635.86956521739137</v>
      </c>
      <c r="L13" s="23">
        <f>IF(ROW()=7,K13,L12+K13)</f>
        <v>2225.54347826087</v>
      </c>
      <c r="M13" s="22">
        <f>SUMIFS(贷款明细!$H$4:$H$435,贷款明细!$F$4:$F$435,"&gt;="&amp;A13,贷款明细!$F$4:$F$435,"&lt;"&amp;EDATE(A13,1))</f>
        <v>0</v>
      </c>
      <c r="N13" s="22">
        <f>SUMIFS(贷款明细!$I$4:$I$435,贷款明细!$F$4:$F$435,"&gt;="&amp;A13,贷款明细!$F$4:$F$435,"&lt;"&amp;EDATE(A13,1))</f>
        <v>388.27</v>
      </c>
      <c r="O13" s="25">
        <f>M13+N13</f>
        <v>388.27</v>
      </c>
      <c r="P13" s="23">
        <f>O13/E13</f>
        <v>422.03260869565213</v>
      </c>
      <c r="Q13" s="23">
        <f>-H13+K13-P13</f>
        <v>-25220.945652173912</v>
      </c>
      <c r="R13" s="25">
        <f>M13</f>
        <v>0</v>
      </c>
      <c r="S13" s="25">
        <f>SUM($D$7:D13)-SUM($M$7:M13)</f>
        <v>163800</v>
      </c>
      <c r="T13" s="23">
        <f>S13/E13</f>
        <v>178043.47826086957</v>
      </c>
      <c r="U13" s="23">
        <f>I13+L13</f>
        <v>180269.02173913043</v>
      </c>
      <c r="V13" s="23">
        <f>U13-T13-SUM($N$7:N13)/E13</f>
        <v>852.22826086956047</v>
      </c>
    </row>
    <row r="14" spans="1:22">
      <c r="A14" s="19">
        <f>EDATE(DATE(YEAR(参数设置!$B$4),MONTH(参数设置!$B$4),1),ROW()-7)</f>
        <v>46447</v>
      </c>
      <c r="B14" s="20">
        <f>IF(ROW()-6&lt;=参数设置!$B$6,ROW()-6,"")</f>
        <v>8</v>
      </c>
      <c r="C14" s="21">
        <f>IF(B14="","",EDATE(参数设置!$B$4,B14-1))</f>
        <v>46456</v>
      </c>
      <c r="D14" s="22">
        <f>IF(B14="",0,参数设置!$B$5)</f>
        <v>23400</v>
      </c>
      <c r="E14" s="15">
        <f>参数设置!$B$7</f>
        <v>0.92</v>
      </c>
      <c r="F14" s="23">
        <f>IF(D14=0,0,D14/E14)</f>
        <v>25434.782608695652</v>
      </c>
      <c r="G14" s="24">
        <f>F14*参数设置!$B$21</f>
        <v>0</v>
      </c>
      <c r="H14" s="23">
        <f>F14-G14</f>
        <v>25434.782608695652</v>
      </c>
      <c r="I14" s="23">
        <f>IF(ROW()=7,H14,I13+H14)</f>
        <v>203478.26086956522</v>
      </c>
      <c r="J14" s="24">
        <f>I14*参数设置!$B$17/参数设置!$B$18</f>
        <v>847.82608695652186</v>
      </c>
      <c r="K14" s="23">
        <f>IF(ROW()=7,0,J13)</f>
        <v>741.8478260869565</v>
      </c>
      <c r="L14" s="23">
        <f>IF(ROW()=7,K14,L13+K14)</f>
        <v>2967.3913043478265</v>
      </c>
      <c r="M14" s="22">
        <f>SUMIFS(贷款明细!$H$4:$H$435,贷款明细!$F$4:$F$435,"&gt;="&amp;A14,贷款明细!$F$4:$F$435,"&lt;"&amp;EDATE(A14,1))</f>
        <v>0</v>
      </c>
      <c r="N14" s="22">
        <f>SUMIFS(贷款明细!$I$4:$I$435,贷款明细!$F$4:$F$435,"&gt;="&amp;A14,贷款明细!$F$4:$F$435,"&lt;"&amp;EDATE(A14,1))</f>
        <v>416.13</v>
      </c>
      <c r="O14" s="25">
        <f>M14+N14</f>
        <v>416.13</v>
      </c>
      <c r="P14" s="23">
        <f>O14/E14</f>
        <v>452.31521739130432</v>
      </c>
      <c r="Q14" s="23">
        <f>-H14+K14-P14</f>
        <v>-25145.25</v>
      </c>
      <c r="R14" s="25">
        <f>M14</f>
        <v>0</v>
      </c>
      <c r="S14" s="25">
        <f>SUM($D$7:D14)-SUM($M$7:M14)</f>
        <v>187200</v>
      </c>
      <c r="T14" s="23">
        <f>S14/E14</f>
        <v>203478.26086956522</v>
      </c>
      <c r="U14" s="23">
        <f>I14+L14</f>
        <v>206445.65217391305</v>
      </c>
      <c r="V14" s="23">
        <f>U14-T14-SUM($N$7:N14)/E14</f>
        <v>1141.7608695652302</v>
      </c>
    </row>
    <row r="15" spans="1:22">
      <c r="A15" s="19">
        <f>EDATE(DATE(YEAR(参数设置!$B$4),MONTH(参数设置!$B$4),1),ROW()-7)</f>
        <v>46478</v>
      </c>
      <c r="B15" s="20">
        <f>IF(ROW()-6&lt;=参数设置!$B$6,ROW()-6,"")</f>
        <v>9</v>
      </c>
      <c r="C15" s="21">
        <f>IF(B15="","",EDATE(参数设置!$B$4,B15-1))</f>
        <v>46487</v>
      </c>
      <c r="D15" s="22">
        <f>IF(B15="",0,参数设置!$B$5)</f>
        <v>23400</v>
      </c>
      <c r="E15" s="15">
        <f>参数设置!$B$7</f>
        <v>0.92</v>
      </c>
      <c r="F15" s="23">
        <f>IF(D15=0,0,D15/E15)</f>
        <v>25434.782608695652</v>
      </c>
      <c r="G15" s="24">
        <f>F15*参数设置!$B$21</f>
        <v>0</v>
      </c>
      <c r="H15" s="23">
        <f>F15-G15</f>
        <v>25434.782608695652</v>
      </c>
      <c r="I15" s="23">
        <f>IF(ROW()=7,H15,I14+H15)</f>
        <v>228913.04347826086</v>
      </c>
      <c r="J15" s="24">
        <f>I15*参数设置!$B$17/参数设置!$B$18</f>
        <v>953.804347826087</v>
      </c>
      <c r="K15" s="23">
        <f>IF(ROW()=7,0,J14)</f>
        <v>847.82608695652186</v>
      </c>
      <c r="L15" s="23">
        <f>IF(ROW()=7,K15,L14+K15)</f>
        <v>3815.2173913043484</v>
      </c>
      <c r="M15" s="22">
        <f>SUMIFS(贷款明细!$H$4:$H$435,贷款明细!$F$4:$F$435,"&gt;="&amp;A15,贷款明细!$F$4:$F$435,"&lt;"&amp;EDATE(A15,1))</f>
        <v>0</v>
      </c>
      <c r="N15" s="22">
        <f>SUMIFS(贷款明细!$I$4:$I$435,贷款明细!$F$4:$F$435,"&gt;="&amp;A15,贷款明细!$F$4:$F$435,"&lt;"&amp;EDATE(A15,1))</f>
        <v>514.83000000000004</v>
      </c>
      <c r="O15" s="25">
        <f>M15+N15</f>
        <v>514.83000000000004</v>
      </c>
      <c r="P15" s="23">
        <f>O15/E15</f>
        <v>559.5978260869565</v>
      </c>
      <c r="Q15" s="23">
        <f>-H15+K15-P15</f>
        <v>-25146.554347826088</v>
      </c>
      <c r="R15" s="25">
        <f>M15</f>
        <v>0</v>
      </c>
      <c r="S15" s="25">
        <f>SUM($D$7:D15)-SUM($M$7:M15)</f>
        <v>210600</v>
      </c>
      <c r="T15" s="23">
        <f>S15/E15</f>
        <v>228913.04347826086</v>
      </c>
      <c r="U15" s="23">
        <f>I15+L15</f>
        <v>232728.26086956522</v>
      </c>
      <c r="V15" s="23">
        <f>U15-T15-SUM($N$7:N15)/E15</f>
        <v>1429.9891304347866</v>
      </c>
    </row>
    <row r="16" spans="1:22">
      <c r="A16" s="19">
        <f>EDATE(DATE(YEAR(参数设置!$B$4),MONTH(参数设置!$B$4),1),ROW()-7)</f>
        <v>46508</v>
      </c>
      <c r="B16" s="20">
        <f>IF(ROW()-6&lt;=参数设置!$B$6,ROW()-6,"")</f>
        <v>10</v>
      </c>
      <c r="C16" s="21">
        <f>IF(B16="","",EDATE(参数设置!$B$4,B16-1))</f>
        <v>46517</v>
      </c>
      <c r="D16" s="22">
        <f>IF(B16="",0,参数设置!$B$5)</f>
        <v>23400</v>
      </c>
      <c r="E16" s="15">
        <f>参数设置!$B$7</f>
        <v>0.92</v>
      </c>
      <c r="F16" s="23">
        <f>IF(D16=0,0,D16/E16)</f>
        <v>25434.782608695652</v>
      </c>
      <c r="G16" s="24">
        <f>F16*参数设置!$B$21</f>
        <v>0</v>
      </c>
      <c r="H16" s="23">
        <f>F16-G16</f>
        <v>25434.782608695652</v>
      </c>
      <c r="I16" s="23">
        <f>IF(ROW()=7,H16,I15+H16)</f>
        <v>254347.82608695651</v>
      </c>
      <c r="J16" s="24">
        <f>I16*参数设置!$B$17/参数设置!$B$18</f>
        <v>1059.7826086956522</v>
      </c>
      <c r="K16" s="23">
        <f>IF(ROW()=7,0,J15)</f>
        <v>953.804347826087</v>
      </c>
      <c r="L16" s="23">
        <f>IF(ROW()=7,K16,L15+K16)</f>
        <v>4769.0217391304359</v>
      </c>
      <c r="M16" s="22">
        <f>SUMIFS(贷款明细!$H$4:$H$435,贷款明细!$F$4:$F$435,"&gt;="&amp;A16,贷款明细!$F$4:$F$435,"&lt;"&amp;EDATE(A16,1))</f>
        <v>0</v>
      </c>
      <c r="N16" s="22">
        <f>SUMIFS(贷款明细!$I$4:$I$435,贷款明细!$F$4:$F$435,"&gt;="&amp;A16,贷款明细!$F$4:$F$435,"&lt;"&amp;EDATE(A16,1))</f>
        <v>570.57000000000005</v>
      </c>
      <c r="O16" s="25">
        <f>M16+N16</f>
        <v>570.57000000000005</v>
      </c>
      <c r="P16" s="23">
        <f>O16/E16</f>
        <v>620.18478260869563</v>
      </c>
      <c r="Q16" s="23">
        <f>-H16+K16-P16</f>
        <v>-25101.16304347826</v>
      </c>
      <c r="R16" s="25">
        <f>M16</f>
        <v>0</v>
      </c>
      <c r="S16" s="25">
        <f>SUM($D$7:D16)-SUM($M$7:M16)</f>
        <v>234000</v>
      </c>
      <c r="T16" s="23">
        <f>S16/E16</f>
        <v>254347.82608695651</v>
      </c>
      <c r="U16" s="23">
        <f>I16+L16</f>
        <v>259116.84782608695</v>
      </c>
      <c r="V16" s="23">
        <f>U16-T16-SUM($N$7:N16)/E16</f>
        <v>1763.6086956521717</v>
      </c>
    </row>
    <row r="17" spans="1:22">
      <c r="A17" s="19">
        <f>EDATE(DATE(YEAR(参数设置!$B$4),MONTH(参数设置!$B$4),1),ROW()-7)</f>
        <v>46539</v>
      </c>
      <c r="B17" s="20">
        <f>IF(ROW()-6&lt;=参数设置!$B$6,ROW()-6,"")</f>
        <v>11</v>
      </c>
      <c r="C17" s="21">
        <f>IF(B17="","",EDATE(参数设置!$B$4,B17-1))</f>
        <v>46548</v>
      </c>
      <c r="D17" s="22">
        <f>IF(B17="",0,参数设置!$B$5)</f>
        <v>23400</v>
      </c>
      <c r="E17" s="15">
        <f>参数设置!$B$7</f>
        <v>0.92</v>
      </c>
      <c r="F17" s="23">
        <f>IF(D17=0,0,D17/E17)</f>
        <v>25434.782608695652</v>
      </c>
      <c r="G17" s="24">
        <f>F17*参数设置!$B$21</f>
        <v>0</v>
      </c>
      <c r="H17" s="23">
        <f>F17-G17</f>
        <v>25434.782608695652</v>
      </c>
      <c r="I17" s="23">
        <f>IF(ROW()=7,H17,I16+H17)</f>
        <v>279782.60869565216</v>
      </c>
      <c r="J17" s="24">
        <f>I17*参数设置!$B$17/参数设置!$B$18</f>
        <v>1165.7608695652173</v>
      </c>
      <c r="K17" s="23">
        <f>IF(ROW()=7,0,J16)</f>
        <v>1059.7826086956522</v>
      </c>
      <c r="L17" s="23">
        <f>IF(ROW()=7,K17,L16+K17)</f>
        <v>5828.8043478260879</v>
      </c>
      <c r="M17" s="22">
        <f>SUMIFS(贷款明细!$H$4:$H$435,贷款明细!$F$4:$F$435,"&gt;="&amp;A17,贷款明细!$F$4:$F$435,"&lt;"&amp;EDATE(A17,1))</f>
        <v>0</v>
      </c>
      <c r="N17" s="22">
        <f>SUMIFS(贷款明细!$I$4:$I$435,贷款明细!$F$4:$F$435,"&gt;="&amp;A17,贷款明细!$F$4:$F$435,"&lt;"&amp;EDATE(A17,1))</f>
        <v>652.12</v>
      </c>
      <c r="O17" s="25">
        <f>M17+N17</f>
        <v>652.12</v>
      </c>
      <c r="P17" s="23">
        <f>O17/E17</f>
        <v>708.82608695652175</v>
      </c>
      <c r="Q17" s="23">
        <f>-H17+K17-P17</f>
        <v>-25083.82608695652</v>
      </c>
      <c r="R17" s="25">
        <f>M17</f>
        <v>0</v>
      </c>
      <c r="S17" s="25">
        <f>SUM($D$7:D17)-SUM($M$7:M17)</f>
        <v>257400</v>
      </c>
      <c r="T17" s="23">
        <f>S17/E17</f>
        <v>279782.60869565216</v>
      </c>
      <c r="U17" s="23">
        <f>I17+L17</f>
        <v>285611.41304347827</v>
      </c>
      <c r="V17" s="23">
        <f>U17-T17-SUM($N$7:N17)/E17</f>
        <v>2114.5652173913272</v>
      </c>
    </row>
    <row r="18" spans="1:22">
      <c r="A18" s="19">
        <f>EDATE(DATE(YEAR(参数设置!$B$4),MONTH(参数设置!$B$4),1),ROW()-7)</f>
        <v>46569</v>
      </c>
      <c r="B18" s="20">
        <f>IF(ROW()-6&lt;=参数设置!$B$6,ROW()-6,"")</f>
        <v>12</v>
      </c>
      <c r="C18" s="21">
        <f>IF(B18="","",EDATE(参数设置!$B$4,B18-1))</f>
        <v>46578</v>
      </c>
      <c r="D18" s="22">
        <f>IF(B18="",0,参数设置!$B$5)</f>
        <v>23400</v>
      </c>
      <c r="E18" s="15">
        <f>参数设置!$B$7</f>
        <v>0.92</v>
      </c>
      <c r="F18" s="23">
        <f>IF(D18=0,0,D18/E18)</f>
        <v>25434.782608695652</v>
      </c>
      <c r="G18" s="24">
        <f>F18*参数设置!$B$21</f>
        <v>0</v>
      </c>
      <c r="H18" s="23">
        <f>F18-G18</f>
        <v>25434.782608695652</v>
      </c>
      <c r="I18" s="23">
        <f>IF(ROW()=7,H18,I17+H18)</f>
        <v>305217.39130434784</v>
      </c>
      <c r="J18" s="24">
        <f>I18*参数设置!$B$17/参数设置!$B$18</f>
        <v>1271.7391304347827</v>
      </c>
      <c r="K18" s="23">
        <f>IF(ROW()=7,0,J17)</f>
        <v>1165.7608695652173</v>
      </c>
      <c r="L18" s="23">
        <f>IF(ROW()=7,K18,L17+K18)</f>
        <v>6994.5652173913049</v>
      </c>
      <c r="M18" s="22">
        <f>SUMIFS(贷款明细!$H$4:$H$435,贷款明细!$F$4:$F$435,"&gt;="&amp;A18,贷款明细!$F$4:$F$435,"&lt;"&amp;EDATE(A18,1))</f>
        <v>0</v>
      </c>
      <c r="N18" s="22">
        <f>SUMIFS(贷款明细!$I$4:$I$435,贷款明细!$F$4:$F$435,"&gt;="&amp;A18,贷款明细!$F$4:$F$435,"&lt;"&amp;EDATE(A18,1))</f>
        <v>699.2700000000001</v>
      </c>
      <c r="O18" s="25">
        <f>M18+N18</f>
        <v>699.2700000000001</v>
      </c>
      <c r="P18" s="23">
        <f>O18/E18</f>
        <v>760.07608695652186</v>
      </c>
      <c r="Q18" s="23">
        <f>-H18+K18-P18</f>
        <v>-25029.097826086956</v>
      </c>
      <c r="R18" s="25">
        <f>M18</f>
        <v>0</v>
      </c>
      <c r="S18" s="25">
        <f>SUM($D$7:D18)-SUM($M$7:M18)</f>
        <v>280800</v>
      </c>
      <c r="T18" s="23">
        <f>S18/E18</f>
        <v>305217.39130434784</v>
      </c>
      <c r="U18" s="23">
        <f>I18+L18</f>
        <v>312211.95652173914</v>
      </c>
      <c r="V18" s="23">
        <f>U18-T18-SUM($N$7:N18)/E18</f>
        <v>2520.2499999999927</v>
      </c>
    </row>
    <row r="19" spans="1:22">
      <c r="A19" s="19">
        <f>EDATE(DATE(YEAR(参数设置!$B$4),MONTH(参数设置!$B$4),1),ROW()-7)</f>
        <v>46600</v>
      </c>
      <c r="B19" s="20">
        <f>IF(ROW()-6&lt;=参数设置!$B$6,ROW()-6,"")</f>
        <v>13</v>
      </c>
      <c r="C19" s="21">
        <f>IF(B19="","",EDATE(参数设置!$B$4,B19-1))</f>
        <v>46609</v>
      </c>
      <c r="D19" s="22">
        <f>IF(B19="",0,参数设置!$B$5)</f>
        <v>23400</v>
      </c>
      <c r="E19" s="15">
        <f>参数设置!$B$7</f>
        <v>0.92</v>
      </c>
      <c r="F19" s="23">
        <f>IF(D19=0,0,D19/E19)</f>
        <v>25434.782608695652</v>
      </c>
      <c r="G19" s="24">
        <f>F19*参数设置!$B$21</f>
        <v>0</v>
      </c>
      <c r="H19" s="23">
        <f>F19-G19</f>
        <v>25434.782608695652</v>
      </c>
      <c r="I19" s="23">
        <f>IF(ROW()=7,H19,I18+H19)</f>
        <v>330652.17391304352</v>
      </c>
      <c r="J19" s="24">
        <f>I19*参数设置!$B$17/参数设置!$B$18</f>
        <v>1377.717391304348</v>
      </c>
      <c r="K19" s="23">
        <f>IF(ROW()=7,0,J18)</f>
        <v>1271.7391304347827</v>
      </c>
      <c r="L19" s="23">
        <f>IF(ROW()=7,K19,L18+K19)</f>
        <v>8266.3043478260879</v>
      </c>
      <c r="M19" s="22">
        <f>SUMIFS(贷款明细!$H$4:$H$435,贷款明细!$F$4:$F$435,"&gt;="&amp;A19,贷款明细!$F$4:$F$435,"&lt;"&amp;EDATE(A19,1))</f>
        <v>23400</v>
      </c>
      <c r="N19" s="22">
        <f>SUMIFS(贷款明细!$I$4:$I$435,贷款明细!$F$4:$F$435,"&gt;="&amp;A19,贷款明细!$F$4:$F$435,"&lt;"&amp;EDATE(A19,1))</f>
        <v>795.85</v>
      </c>
      <c r="O19" s="25">
        <f>M19+N19</f>
        <v>24195.85</v>
      </c>
      <c r="P19" s="23">
        <f>O19/E19</f>
        <v>26299.836956521736</v>
      </c>
      <c r="Q19" s="23">
        <f>-H19+K19-P19</f>
        <v>-50462.880434782608</v>
      </c>
      <c r="R19" s="25">
        <f>M19</f>
        <v>23400</v>
      </c>
      <c r="S19" s="25">
        <f>SUM($D$7:D19)-SUM($M$7:M19)</f>
        <v>280800</v>
      </c>
      <c r="T19" s="23">
        <f>S19/E19</f>
        <v>305217.39130434784</v>
      </c>
      <c r="U19" s="23">
        <f>I19+L19</f>
        <v>338918.47826086963</v>
      </c>
      <c r="V19" s="23">
        <f>U19-T19-SUM($N$7:N19)/E19</f>
        <v>28361.717391304395</v>
      </c>
    </row>
    <row r="20" spans="1:22">
      <c r="A20" s="19">
        <f>EDATE(DATE(YEAR(参数设置!$B$4),MONTH(参数设置!$B$4),1),ROW()-7)</f>
        <v>46631</v>
      </c>
      <c r="B20" s="20">
        <f>IF(ROW()-6&lt;=参数设置!$B$6,ROW()-6,"")</f>
        <v>14</v>
      </c>
      <c r="C20" s="21">
        <f>IF(B20="","",EDATE(参数设置!$B$4,B20-1))</f>
        <v>46640</v>
      </c>
      <c r="D20" s="22">
        <f>IF(B20="",0,参数设置!$B$5)</f>
        <v>23400</v>
      </c>
      <c r="E20" s="15">
        <f>参数设置!$B$7</f>
        <v>0.92</v>
      </c>
      <c r="F20" s="23">
        <f>IF(D20=0,0,D20/E20)</f>
        <v>25434.782608695652</v>
      </c>
      <c r="G20" s="24">
        <f>F20*参数设置!$B$21</f>
        <v>0</v>
      </c>
      <c r="H20" s="23">
        <f>F20-G20</f>
        <v>25434.782608695652</v>
      </c>
      <c r="I20" s="23">
        <f>IF(ROW()=7,H20,I19+H20)</f>
        <v>356086.95652173919</v>
      </c>
      <c r="J20" s="24">
        <f>I20*参数设置!$B$17/参数设置!$B$18</f>
        <v>1483.6956521739132</v>
      </c>
      <c r="K20" s="23">
        <f>IF(ROW()=7,0,J19)</f>
        <v>1377.717391304348</v>
      </c>
      <c r="L20" s="23">
        <f>IF(ROW()=7,K20,L19+K20)</f>
        <v>9644.0217391304359</v>
      </c>
      <c r="M20" s="22">
        <f>SUMIFS(贷款明细!$H$4:$H$435,贷款明细!$F$4:$F$435,"&gt;="&amp;A20,贷款明细!$F$4:$F$435,"&lt;"&amp;EDATE(A20,1))</f>
        <v>23400</v>
      </c>
      <c r="N20" s="22">
        <f>SUMIFS(贷款明细!$I$4:$I$435,贷款明细!$F$4:$F$435,"&gt;="&amp;A20,贷款明细!$F$4:$F$435,"&lt;"&amp;EDATE(A20,1))</f>
        <v>798</v>
      </c>
      <c r="O20" s="25">
        <f>M20+N20</f>
        <v>24198</v>
      </c>
      <c r="P20" s="23">
        <f>O20/E20</f>
        <v>26302.173913043476</v>
      </c>
      <c r="Q20" s="23">
        <f>-H20+K20-P20</f>
        <v>-50359.239130434784</v>
      </c>
      <c r="R20" s="25">
        <f>M20</f>
        <v>23400</v>
      </c>
      <c r="S20" s="25">
        <f>SUM($D$7:D20)-SUM($M$7:M20)</f>
        <v>280800</v>
      </c>
      <c r="T20" s="23">
        <f>S20/E20</f>
        <v>305217.39130434784</v>
      </c>
      <c r="U20" s="23">
        <f>I20+L20</f>
        <v>365730.97826086963</v>
      </c>
      <c r="V20" s="23">
        <f>U20-T20-SUM($N$7:N20)/E20</f>
        <v>54306.826086956571</v>
      </c>
    </row>
    <row r="21" spans="1:22">
      <c r="A21" s="19">
        <f>EDATE(DATE(YEAR(参数设置!$B$4),MONTH(参数设置!$B$4),1),ROW()-7)</f>
        <v>46661</v>
      </c>
      <c r="B21" s="20">
        <f>IF(ROW()-6&lt;=参数设置!$B$6,ROW()-6,"")</f>
        <v>15</v>
      </c>
      <c r="C21" s="21">
        <f>IF(B21="","",EDATE(参数设置!$B$4,B21-1))</f>
        <v>46670</v>
      </c>
      <c r="D21" s="22">
        <f>IF(B21="",0,参数设置!$B$5)</f>
        <v>23400</v>
      </c>
      <c r="E21" s="15">
        <f>参数设置!$B$7</f>
        <v>0.92</v>
      </c>
      <c r="F21" s="23">
        <f>IF(D21=0,0,D21/E21)</f>
        <v>25434.782608695652</v>
      </c>
      <c r="G21" s="24">
        <f>F21*参数设置!$B$21</f>
        <v>0</v>
      </c>
      <c r="H21" s="23">
        <f>F21-G21</f>
        <v>25434.782608695652</v>
      </c>
      <c r="I21" s="23">
        <f>IF(ROW()=7,H21,I20+H21)</f>
        <v>381521.73913043487</v>
      </c>
      <c r="J21" s="24">
        <f>I21*参数设置!$B$17/参数设置!$B$18</f>
        <v>1589.6739130434787</v>
      </c>
      <c r="K21" s="23">
        <f>IF(ROW()=7,0,J20)</f>
        <v>1483.6956521739132</v>
      </c>
      <c r="L21" s="23">
        <f>IF(ROW()=7,K21,L20+K21)</f>
        <v>11127.71739130435</v>
      </c>
      <c r="M21" s="22">
        <f>SUMIFS(贷款明细!$H$4:$H$435,贷款明细!$F$4:$F$435,"&gt;="&amp;A21,贷款明细!$F$4:$F$435,"&lt;"&amp;EDATE(A21,1))</f>
        <v>23400</v>
      </c>
      <c r="N21" s="22">
        <f>SUMIFS(贷款明细!$I$4:$I$435,贷款明细!$F$4:$F$435,"&gt;="&amp;A21,贷款明细!$F$4:$F$435,"&lt;"&amp;EDATE(A21,1))</f>
        <v>774.35000000000014</v>
      </c>
      <c r="O21" s="25">
        <f>M21+N21</f>
        <v>24174.35</v>
      </c>
      <c r="P21" s="23">
        <f>O21/E21</f>
        <v>26276.467391304344</v>
      </c>
      <c r="Q21" s="23">
        <f>-H21+K21-P21</f>
        <v>-50227.554347826081</v>
      </c>
      <c r="R21" s="25">
        <f>M21</f>
        <v>23400</v>
      </c>
      <c r="S21" s="25">
        <f>SUM($D$7:D21)-SUM($M$7:M21)</f>
        <v>280800</v>
      </c>
      <c r="T21" s="23">
        <f>S21/E21</f>
        <v>305217.39130434784</v>
      </c>
      <c r="U21" s="23">
        <f>I21+L21</f>
        <v>392649.45652173919</v>
      </c>
      <c r="V21" s="23">
        <f>U21-T21-SUM($N$7:N21)/E21</f>
        <v>80383.619565217436</v>
      </c>
    </row>
    <row r="22" spans="1:22">
      <c r="A22" s="19">
        <f>EDATE(DATE(YEAR(参数设置!$B$4),MONTH(参数设置!$B$4),1),ROW()-7)</f>
        <v>46692</v>
      </c>
      <c r="B22" s="20">
        <f>IF(ROW()-6&lt;=参数设置!$B$6,ROW()-6,"")</f>
        <v>16</v>
      </c>
      <c r="C22" s="21">
        <f>IF(B22="","",EDATE(参数设置!$B$4,B22-1))</f>
        <v>46701</v>
      </c>
      <c r="D22" s="22">
        <f>IF(B22="",0,参数设置!$B$5)</f>
        <v>23400</v>
      </c>
      <c r="E22" s="15">
        <f>参数设置!$B$7</f>
        <v>0.92</v>
      </c>
      <c r="F22" s="23">
        <f>IF(D22=0,0,D22/E22)</f>
        <v>25434.782608695652</v>
      </c>
      <c r="G22" s="24">
        <f>F22*参数设置!$B$21</f>
        <v>0</v>
      </c>
      <c r="H22" s="23">
        <f>F22-G22</f>
        <v>25434.782608695652</v>
      </c>
      <c r="I22" s="23">
        <f>IF(ROW()=7,H22,I21+H22)</f>
        <v>406956.52173913055</v>
      </c>
      <c r="J22" s="24">
        <f>I22*参数设置!$B$17/参数设置!$B$18</f>
        <v>1695.652173913044</v>
      </c>
      <c r="K22" s="23">
        <f>IF(ROW()=7,0,J21)</f>
        <v>1589.6739130434787</v>
      </c>
      <c r="L22" s="23">
        <f>IF(ROW()=7,K22,L21+K22)</f>
        <v>12717.391304347828</v>
      </c>
      <c r="M22" s="22">
        <f>SUMIFS(贷款明细!$H$4:$H$435,贷款明细!$F$4:$F$435,"&gt;="&amp;A22,贷款明细!$F$4:$F$435,"&lt;"&amp;EDATE(A22,1))</f>
        <v>23400</v>
      </c>
      <c r="N22" s="22">
        <f>SUMIFS(贷款明细!$I$4:$I$435,贷款明细!$F$4:$F$435,"&gt;="&amp;A22,贷款明细!$F$4:$F$435,"&lt;"&amp;EDATE(A22,1))</f>
        <v>795.85</v>
      </c>
      <c r="O22" s="25">
        <f>M22+N22</f>
        <v>24195.85</v>
      </c>
      <c r="P22" s="23">
        <f>O22/E22</f>
        <v>26299.836956521736</v>
      </c>
      <c r="Q22" s="23">
        <f>-H22+K22-P22</f>
        <v>-50144.945652173905</v>
      </c>
      <c r="R22" s="25">
        <f>M22</f>
        <v>23400</v>
      </c>
      <c r="S22" s="25">
        <f>SUM($D$7:D22)-SUM($M$7:M22)</f>
        <v>280800</v>
      </c>
      <c r="T22" s="23">
        <f>S22/E22</f>
        <v>305217.39130434784</v>
      </c>
      <c r="U22" s="23">
        <f>I22+L22</f>
        <v>419673.91304347839</v>
      </c>
      <c r="V22" s="23">
        <f>U22-T22-SUM($N$7:N22)/E22</f>
        <v>106543.02173913055</v>
      </c>
    </row>
    <row r="23" spans="1:22">
      <c r="A23" s="19">
        <f>EDATE(DATE(YEAR(参数设置!$B$4),MONTH(参数设置!$B$4),1),ROW()-7)</f>
        <v>46722</v>
      </c>
      <c r="B23" s="20">
        <f>IF(ROW()-6&lt;=参数设置!$B$6,ROW()-6,"")</f>
        <v>17</v>
      </c>
      <c r="C23" s="21">
        <f>IF(B23="","",EDATE(参数设置!$B$4,B23-1))</f>
        <v>46731</v>
      </c>
      <c r="D23" s="22">
        <f>IF(B23="",0,参数设置!$B$5)</f>
        <v>23400</v>
      </c>
      <c r="E23" s="15">
        <f>参数设置!$B$7</f>
        <v>0.92</v>
      </c>
      <c r="F23" s="23">
        <f>IF(D23=0,0,D23/E23)</f>
        <v>25434.782608695652</v>
      </c>
      <c r="G23" s="24">
        <f>F23*参数设置!$B$21</f>
        <v>0</v>
      </c>
      <c r="H23" s="23">
        <f>F23-G23</f>
        <v>25434.782608695652</v>
      </c>
      <c r="I23" s="23">
        <f>IF(ROW()=7,H23,I22+H23)</f>
        <v>432391.30434782623</v>
      </c>
      <c r="J23" s="24">
        <f>I23*参数设置!$B$17/参数设置!$B$18</f>
        <v>1801.6304347826092</v>
      </c>
      <c r="K23" s="23">
        <f>IF(ROW()=7,0,J22)</f>
        <v>1695.652173913044</v>
      </c>
      <c r="L23" s="23">
        <f>IF(ROW()=7,K23,L22+K23)</f>
        <v>14413.043478260872</v>
      </c>
      <c r="M23" s="22">
        <f>SUMIFS(贷款明细!$H$4:$H$435,贷款明细!$F$4:$F$435,"&gt;="&amp;A23,贷款明细!$F$4:$F$435,"&lt;"&amp;EDATE(A23,1))</f>
        <v>23400</v>
      </c>
      <c r="N23" s="22">
        <f>SUMIFS(贷款明细!$I$4:$I$435,贷款明细!$F$4:$F$435,"&gt;="&amp;A23,贷款明细!$F$4:$F$435,"&lt;"&amp;EDATE(A23,1))</f>
        <v>774.35000000000014</v>
      </c>
      <c r="O23" s="25">
        <f>M23+N23</f>
        <v>24174.35</v>
      </c>
      <c r="P23" s="23">
        <f>O23/E23</f>
        <v>26276.467391304344</v>
      </c>
      <c r="Q23" s="23">
        <f>-H23+K23-P23</f>
        <v>-50015.597826086952</v>
      </c>
      <c r="R23" s="25">
        <f>M23</f>
        <v>23400</v>
      </c>
      <c r="S23" s="25">
        <f>SUM($D$7:D23)-SUM($M$7:M23)</f>
        <v>280800</v>
      </c>
      <c r="T23" s="23">
        <f>S23/E23</f>
        <v>305217.39130434784</v>
      </c>
      <c r="U23" s="23">
        <f>I23+L23</f>
        <v>446804.34782608709</v>
      </c>
      <c r="V23" s="23">
        <f>U23-T23-SUM($N$7:N23)/E23</f>
        <v>132831.77173913055</v>
      </c>
    </row>
    <row r="24" spans="1:22">
      <c r="A24" s="19">
        <f>EDATE(DATE(YEAR(参数设置!$B$4),MONTH(参数设置!$B$4),1),ROW()-7)</f>
        <v>46753</v>
      </c>
      <c r="B24" s="20">
        <f>IF(ROW()-6&lt;=参数设置!$B$6,ROW()-6,"")</f>
        <v>18</v>
      </c>
      <c r="C24" s="21">
        <f>IF(B24="","",EDATE(参数设置!$B$4,B24-1))</f>
        <v>46762</v>
      </c>
      <c r="D24" s="22">
        <f>IF(B24="",0,参数设置!$B$5)</f>
        <v>23400</v>
      </c>
      <c r="E24" s="15">
        <f>参数设置!$B$7</f>
        <v>0.92</v>
      </c>
      <c r="F24" s="23">
        <f>IF(D24=0,0,D24/E24)</f>
        <v>25434.782608695652</v>
      </c>
      <c r="G24" s="24">
        <f>F24*参数设置!$B$21</f>
        <v>0</v>
      </c>
      <c r="H24" s="23">
        <f>F24-G24</f>
        <v>25434.782608695652</v>
      </c>
      <c r="I24" s="23">
        <f>IF(ROW()=7,H24,I23+H24)</f>
        <v>457826.0869565219</v>
      </c>
      <c r="J24" s="24">
        <f>I24*参数设置!$B$17/参数设置!$B$18</f>
        <v>1907.6086956521747</v>
      </c>
      <c r="K24" s="23">
        <f>IF(ROW()=7,0,J23)</f>
        <v>1801.6304347826092</v>
      </c>
      <c r="L24" s="23">
        <f>IF(ROW()=7,K24,L23+K24)</f>
        <v>16214.673913043482</v>
      </c>
      <c r="M24" s="22">
        <f>SUMIFS(贷款明细!$H$4:$H$435,贷款明细!$F$4:$F$435,"&gt;="&amp;A24,贷款明细!$F$4:$F$435,"&lt;"&amp;EDATE(A24,1))</f>
        <v>23400</v>
      </c>
      <c r="N24" s="22">
        <f>SUMIFS(贷款明细!$I$4:$I$435,贷款明细!$F$4:$F$435,"&gt;="&amp;A24,贷款明细!$F$4:$F$435,"&lt;"&amp;EDATE(A24,1))</f>
        <v>795.85</v>
      </c>
      <c r="O24" s="25">
        <f>M24+N24</f>
        <v>24195.85</v>
      </c>
      <c r="P24" s="23">
        <f>O24/E24</f>
        <v>26299.836956521736</v>
      </c>
      <c r="Q24" s="23">
        <f>-H24+K24-P24</f>
        <v>-49932.989130434784</v>
      </c>
      <c r="R24" s="25">
        <f>M24</f>
        <v>23400</v>
      </c>
      <c r="S24" s="25">
        <f>SUM($D$7:D24)-SUM($M$7:M24)</f>
        <v>280800</v>
      </c>
      <c r="T24" s="23">
        <f>S24/E24</f>
        <v>305217.39130434784</v>
      </c>
      <c r="U24" s="23">
        <f>I24+L24</f>
        <v>474040.76086956536</v>
      </c>
      <c r="V24" s="23">
        <f>U24-T24-SUM($N$7:N24)/E24</f>
        <v>159203.13043478274</v>
      </c>
    </row>
    <row r="25" spans="1:22">
      <c r="A25" s="19">
        <f>EDATE(DATE(YEAR(参数设置!$B$4),MONTH(参数设置!$B$4),1),ROW()-7)</f>
        <v>46784</v>
      </c>
      <c r="B25" s="20">
        <f>IF(ROW()-6&lt;=参数设置!$B$6,ROW()-6,"")</f>
        <v>19</v>
      </c>
      <c r="C25" s="21">
        <f>IF(B25="","",EDATE(参数设置!$B$4,B25-1))</f>
        <v>46793</v>
      </c>
      <c r="D25" s="22">
        <f>IF(B25="",0,参数设置!$B$5)</f>
        <v>23400</v>
      </c>
      <c r="E25" s="15">
        <f>参数设置!$B$7</f>
        <v>0.92</v>
      </c>
      <c r="F25" s="23">
        <f>IF(D25=0,0,D25/E25)</f>
        <v>25434.782608695652</v>
      </c>
      <c r="G25" s="24">
        <f>F25*参数设置!$B$21</f>
        <v>0</v>
      </c>
      <c r="H25" s="23">
        <f>F25-G25</f>
        <v>25434.782608695652</v>
      </c>
      <c r="I25" s="23">
        <f>IF(ROW()=7,H25,I24+H25)</f>
        <v>483260.86956521758</v>
      </c>
      <c r="J25" s="24">
        <f>I25*参数设置!$B$17/参数设置!$B$18</f>
        <v>2013.5869565217399</v>
      </c>
      <c r="K25" s="23">
        <f>IF(ROW()=7,0,J24)</f>
        <v>1907.6086956521747</v>
      </c>
      <c r="L25" s="23">
        <f>IF(ROW()=7,K25,L24+K25)</f>
        <v>18122.282608695656</v>
      </c>
      <c r="M25" s="22">
        <f>SUMIFS(贷款明细!$H$4:$H$435,贷款明细!$F$4:$F$435,"&gt;="&amp;A25,贷款明细!$F$4:$F$435,"&lt;"&amp;EDATE(A25,1))</f>
        <v>23400</v>
      </c>
      <c r="N25" s="22">
        <f>SUMIFS(贷款明细!$I$4:$I$435,贷款明细!$F$4:$F$435,"&gt;="&amp;A25,贷款明细!$F$4:$F$435,"&lt;"&amp;EDATE(A25,1))</f>
        <v>798</v>
      </c>
      <c r="O25" s="25">
        <f>M25+N25</f>
        <v>24198</v>
      </c>
      <c r="P25" s="23">
        <f>O25/E25</f>
        <v>26302.173913043476</v>
      </c>
      <c r="Q25" s="23">
        <f>-H25+K25-P25</f>
        <v>-49829.347826086952</v>
      </c>
      <c r="R25" s="25">
        <f>M25</f>
        <v>23400</v>
      </c>
      <c r="S25" s="25">
        <f>SUM($D$7:D25)-SUM($M$7:M25)</f>
        <v>280800</v>
      </c>
      <c r="T25" s="23">
        <f>S25/E25</f>
        <v>305217.39130434784</v>
      </c>
      <c r="U25" s="23">
        <f>I25+L25</f>
        <v>501383.15217391326</v>
      </c>
      <c r="V25" s="23">
        <f>U25-T25-SUM($N$7:N25)/E25</f>
        <v>185678.1304347828</v>
      </c>
    </row>
    <row r="26" spans="1:22">
      <c r="A26" s="19">
        <f>EDATE(DATE(YEAR(参数设置!$B$4),MONTH(参数设置!$B$4),1),ROW()-7)</f>
        <v>46813</v>
      </c>
      <c r="B26" s="20">
        <f>IF(ROW()-6&lt;=参数设置!$B$6,ROW()-6,"")</f>
        <v>20</v>
      </c>
      <c r="C26" s="21">
        <f>IF(B26="","",EDATE(参数设置!$B$4,B26-1))</f>
        <v>46822</v>
      </c>
      <c r="D26" s="22">
        <f>IF(B26="",0,参数设置!$B$5)</f>
        <v>23400</v>
      </c>
      <c r="E26" s="15">
        <f>参数设置!$B$7</f>
        <v>0.92</v>
      </c>
      <c r="F26" s="23">
        <f>IF(D26=0,0,D26/E26)</f>
        <v>25434.782608695652</v>
      </c>
      <c r="G26" s="24">
        <f>F26*参数设置!$B$21</f>
        <v>0</v>
      </c>
      <c r="H26" s="23">
        <f>F26-G26</f>
        <v>25434.782608695652</v>
      </c>
      <c r="I26" s="23">
        <f>IF(ROW()=7,H26,I25+H26)</f>
        <v>508695.65217391326</v>
      </c>
      <c r="J26" s="24">
        <f>I26*参数设置!$B$17/参数设置!$B$18</f>
        <v>2119.5652173913054</v>
      </c>
      <c r="K26" s="23">
        <f>IF(ROW()=7,0,J25)</f>
        <v>2013.5869565217399</v>
      </c>
      <c r="L26" s="23">
        <f>IF(ROW()=7,K26,L25+K26)</f>
        <v>20135.869565217396</v>
      </c>
      <c r="M26" s="22">
        <f>SUMIFS(贷款明细!$H$4:$H$435,贷款明细!$F$4:$F$435,"&gt;="&amp;A26,贷款明细!$F$4:$F$435,"&lt;"&amp;EDATE(A26,1))</f>
        <v>23400</v>
      </c>
      <c r="N26" s="22">
        <f>SUMIFS(贷款明细!$I$4:$I$435,贷款明细!$F$4:$F$435,"&gt;="&amp;A26,贷款明细!$F$4:$F$435,"&lt;"&amp;EDATE(A26,1))</f>
        <v>750.81</v>
      </c>
      <c r="O26" s="25">
        <f>M26+N26</f>
        <v>24150.81</v>
      </c>
      <c r="P26" s="23">
        <f>O26/E26</f>
        <v>26250.880434782608</v>
      </c>
      <c r="Q26" s="23">
        <f>-H26+K26-P26</f>
        <v>-49672.07608695652</v>
      </c>
      <c r="R26" s="25">
        <f>M26</f>
        <v>23400</v>
      </c>
      <c r="S26" s="25">
        <f>SUM($D$7:D26)-SUM($M$7:M26)</f>
        <v>280800</v>
      </c>
      <c r="T26" s="23">
        <f>S26/E26</f>
        <v>305217.39130434784</v>
      </c>
      <c r="U26" s="23">
        <f>I26+L26</f>
        <v>528831.52173913061</v>
      </c>
      <c r="V26" s="23">
        <f>U26-T26-SUM($N$7:N26)/E26</f>
        <v>212310.4021739132</v>
      </c>
    </row>
    <row r="27" spans="1:22">
      <c r="A27" s="19">
        <f>EDATE(DATE(YEAR(参数设置!$B$4),MONTH(参数设置!$B$4),1),ROW()-7)</f>
        <v>46844</v>
      </c>
      <c r="B27" s="20">
        <f>IF(ROW()-6&lt;=参数设置!$B$6,ROW()-6,"")</f>
        <v>21</v>
      </c>
      <c r="C27" s="21">
        <f>IF(B27="","",EDATE(参数设置!$B$4,B27-1))</f>
        <v>46853</v>
      </c>
      <c r="D27" s="22">
        <f>IF(B27="",0,参数设置!$B$5)</f>
        <v>23400</v>
      </c>
      <c r="E27" s="15">
        <f>参数设置!$B$7</f>
        <v>0.92</v>
      </c>
      <c r="F27" s="23">
        <f>IF(D27=0,0,D27/E27)</f>
        <v>25434.782608695652</v>
      </c>
      <c r="G27" s="24">
        <f>F27*参数设置!$B$21</f>
        <v>0</v>
      </c>
      <c r="H27" s="23">
        <f>F27-G27</f>
        <v>25434.782608695652</v>
      </c>
      <c r="I27" s="23">
        <f>IF(ROW()=7,H27,I26+H27)</f>
        <v>534130.43478260888</v>
      </c>
      <c r="J27" s="24">
        <f>I27*参数设置!$B$17/参数设置!$B$18</f>
        <v>2225.5434782608704</v>
      </c>
      <c r="K27" s="23">
        <f>IF(ROW()=7,0,J26)</f>
        <v>2119.5652173913054</v>
      </c>
      <c r="L27" s="23">
        <f>IF(ROW()=7,K27,L26+K27)</f>
        <v>22255.4347826087</v>
      </c>
      <c r="M27" s="22">
        <f>SUMIFS(贷款明细!$H$4:$H$435,贷款明细!$F$4:$F$435,"&gt;="&amp;A27,贷款明细!$F$4:$F$435,"&lt;"&amp;EDATE(A27,1))</f>
        <v>23400</v>
      </c>
      <c r="N27" s="22">
        <f>SUMIFS(贷款明细!$I$4:$I$435,贷款明细!$F$4:$F$435,"&gt;="&amp;A27,贷款明细!$F$4:$F$435,"&lt;"&amp;EDATE(A27,1))</f>
        <v>793.71</v>
      </c>
      <c r="O27" s="25">
        <f>M27+N27</f>
        <v>24193.71</v>
      </c>
      <c r="P27" s="23">
        <f>O27/E27</f>
        <v>26297.510869565216</v>
      </c>
      <c r="Q27" s="23">
        <f>-H27+K27-P27</f>
        <v>-49612.728260869568</v>
      </c>
      <c r="R27" s="25">
        <f>M27</f>
        <v>23400</v>
      </c>
      <c r="S27" s="25">
        <f>SUM($D$7:D27)-SUM($M$7:M27)</f>
        <v>280800</v>
      </c>
      <c r="T27" s="23">
        <f>S27/E27</f>
        <v>305217.39130434784</v>
      </c>
      <c r="U27" s="23">
        <f>I27+L27</f>
        <v>556385.86956521752</v>
      </c>
      <c r="V27" s="23">
        <f>U27-T27-SUM($N$7:N27)/E27</f>
        <v>239002.02173913055</v>
      </c>
    </row>
    <row r="28" spans="1:22">
      <c r="A28" s="19">
        <f>EDATE(DATE(YEAR(参数设置!$B$4),MONTH(参数设置!$B$4),1),ROW()-7)</f>
        <v>46874</v>
      </c>
      <c r="B28" s="20">
        <f>IF(ROW()-6&lt;=参数设置!$B$6,ROW()-6,"")</f>
        <v>22</v>
      </c>
      <c r="C28" s="21">
        <f>IF(B28="","",EDATE(参数设置!$B$4,B28-1))</f>
        <v>46883</v>
      </c>
      <c r="D28" s="22">
        <f>IF(B28="",0,参数设置!$B$5)</f>
        <v>23400</v>
      </c>
      <c r="E28" s="15">
        <f>参数设置!$B$7</f>
        <v>0.92</v>
      </c>
      <c r="F28" s="23">
        <f>IF(D28=0,0,D28/E28)</f>
        <v>25434.782608695652</v>
      </c>
      <c r="G28" s="24">
        <f>F28*参数设置!$B$21</f>
        <v>0</v>
      </c>
      <c r="H28" s="23">
        <f>F28-G28</f>
        <v>25434.782608695652</v>
      </c>
      <c r="I28" s="23">
        <f>IF(ROW()=7,H28,I27+H28)</f>
        <v>559565.21739130456</v>
      </c>
      <c r="J28" s="24">
        <f>I28*参数设置!$B$17/参数设置!$B$18</f>
        <v>2331.5217391304359</v>
      </c>
      <c r="K28" s="23">
        <f>IF(ROW()=7,0,J27)</f>
        <v>2225.5434782608704</v>
      </c>
      <c r="L28" s="23">
        <f>IF(ROW()=7,K28,L27+K28)</f>
        <v>24480.978260869571</v>
      </c>
      <c r="M28" s="22">
        <f>SUMIFS(贷款明细!$H$4:$H$435,贷款明细!$F$4:$F$435,"&gt;="&amp;A28,贷款明细!$F$4:$F$435,"&lt;"&amp;EDATE(A28,1))</f>
        <v>23400</v>
      </c>
      <c r="N28" s="22">
        <f>SUMIFS(贷款明细!$I$4:$I$435,贷款明细!$F$4:$F$435,"&gt;="&amp;A28,贷款明细!$F$4:$F$435,"&lt;"&amp;EDATE(A28,1))</f>
        <v>774.35000000000014</v>
      </c>
      <c r="O28" s="25">
        <f>M28+N28</f>
        <v>24174.35</v>
      </c>
      <c r="P28" s="23">
        <f>O28/E28</f>
        <v>26276.467391304344</v>
      </c>
      <c r="Q28" s="23">
        <f>-H28+K28-P28</f>
        <v>-49485.706521739121</v>
      </c>
      <c r="R28" s="25">
        <f>M28</f>
        <v>23400</v>
      </c>
      <c r="S28" s="25">
        <f>SUM($D$7:D28)-SUM($M$7:M28)</f>
        <v>280800</v>
      </c>
      <c r="T28" s="23">
        <f>S28/E28</f>
        <v>305217.39130434784</v>
      </c>
      <c r="U28" s="23">
        <f>I28+L28</f>
        <v>584046.19565217418</v>
      </c>
      <c r="V28" s="23">
        <f>U28-T28-SUM($N$7:N28)/E28</f>
        <v>265820.6630434785</v>
      </c>
    </row>
    <row r="29" spans="1:22">
      <c r="A29" s="19">
        <f>EDATE(DATE(YEAR(参数设置!$B$4),MONTH(参数设置!$B$4),1),ROW()-7)</f>
        <v>46905</v>
      </c>
      <c r="B29" s="20">
        <f>IF(ROW()-6&lt;=参数设置!$B$6,ROW()-6,"")</f>
        <v>23</v>
      </c>
      <c r="C29" s="21">
        <f>IF(B29="","",EDATE(参数设置!$B$4,B29-1))</f>
        <v>46914</v>
      </c>
      <c r="D29" s="22">
        <f>IF(B29="",0,参数设置!$B$5)</f>
        <v>23400</v>
      </c>
      <c r="E29" s="15">
        <f>参数设置!$B$7</f>
        <v>0.92</v>
      </c>
      <c r="F29" s="23">
        <f>IF(D29=0,0,D29/E29)</f>
        <v>25434.782608695652</v>
      </c>
      <c r="G29" s="24">
        <f>F29*参数设置!$B$21</f>
        <v>0</v>
      </c>
      <c r="H29" s="23">
        <f>F29-G29</f>
        <v>25434.782608695652</v>
      </c>
      <c r="I29" s="23">
        <f>IF(ROW()=7,H29,I28+H29)</f>
        <v>585000.00000000023</v>
      </c>
      <c r="J29" s="24">
        <f>I29*参数设置!$B$17/参数设置!$B$18</f>
        <v>2437.5000000000014</v>
      </c>
      <c r="K29" s="23">
        <f>IF(ROW()=7,0,J28)</f>
        <v>2331.5217391304359</v>
      </c>
      <c r="L29" s="23">
        <f>IF(ROW()=7,K29,L28+K29)</f>
        <v>26812.500000000007</v>
      </c>
      <c r="M29" s="22">
        <f>SUMIFS(贷款明细!$H$4:$H$435,贷款明细!$F$4:$F$435,"&gt;="&amp;A29,贷款明细!$F$4:$F$435,"&lt;"&amp;EDATE(A29,1))</f>
        <v>23400</v>
      </c>
      <c r="N29" s="22">
        <f>SUMIFS(贷款明细!$I$4:$I$435,贷款明细!$F$4:$F$435,"&gt;="&amp;A29,贷款明细!$F$4:$F$435,"&lt;"&amp;EDATE(A29,1))</f>
        <v>795.85</v>
      </c>
      <c r="O29" s="25">
        <f>M29+N29</f>
        <v>24195.85</v>
      </c>
      <c r="P29" s="23">
        <f>O29/E29</f>
        <v>26299.836956521736</v>
      </c>
      <c r="Q29" s="23">
        <f>-H29+K29-P29</f>
        <v>-49403.097826086952</v>
      </c>
      <c r="R29" s="25">
        <f>M29</f>
        <v>23400</v>
      </c>
      <c r="S29" s="25">
        <f>SUM($D$7:D29)-SUM($M$7:M29)</f>
        <v>280800</v>
      </c>
      <c r="T29" s="23">
        <f>S29/E29</f>
        <v>305217.39130434784</v>
      </c>
      <c r="U29" s="23">
        <f>I29+L29</f>
        <v>611812.50000000023</v>
      </c>
      <c r="V29" s="23">
        <f>U29-T29-SUM($N$7:N29)/E29</f>
        <v>292721.9130434785</v>
      </c>
    </row>
    <row r="30" spans="1:22">
      <c r="A30" s="19">
        <f>EDATE(DATE(YEAR(参数设置!$B$4),MONTH(参数设置!$B$4),1),ROW()-7)</f>
        <v>46935</v>
      </c>
      <c r="B30" s="20">
        <f>IF(ROW()-6&lt;=参数设置!$B$6,ROW()-6,"")</f>
        <v>24</v>
      </c>
      <c r="C30" s="21">
        <f>IF(B30="","",EDATE(参数设置!$B$4,B30-1))</f>
        <v>46944</v>
      </c>
      <c r="D30" s="22">
        <f>IF(B30="",0,参数设置!$B$5)</f>
        <v>23400</v>
      </c>
      <c r="E30" s="15">
        <f>参数设置!$B$7</f>
        <v>0.92</v>
      </c>
      <c r="F30" s="23">
        <f>IF(D30=0,0,D30/E30)</f>
        <v>25434.782608695652</v>
      </c>
      <c r="G30" s="24">
        <f>F30*参数设置!$B$21</f>
        <v>0</v>
      </c>
      <c r="H30" s="23">
        <f>F30-G30</f>
        <v>25434.782608695652</v>
      </c>
      <c r="I30" s="23">
        <f>IF(ROW()=7,H30,I29+H30)</f>
        <v>610434.78260869591</v>
      </c>
      <c r="J30" s="24">
        <f>I30*参数设置!$B$17/参数设置!$B$18</f>
        <v>2543.4782608695664</v>
      </c>
      <c r="K30" s="23">
        <f>IF(ROW()=7,0,J29)</f>
        <v>2437.5000000000014</v>
      </c>
      <c r="L30" s="23">
        <f>IF(ROW()=7,K30,L29+K30)</f>
        <v>29250.000000000007</v>
      </c>
      <c r="M30" s="22">
        <f>SUMIFS(贷款明细!$H$4:$H$435,贷款明细!$F$4:$F$435,"&gt;="&amp;A30,贷款明细!$F$4:$F$435,"&lt;"&amp;EDATE(A30,1))</f>
        <v>23400</v>
      </c>
      <c r="N30" s="22">
        <f>SUMIFS(贷款明细!$I$4:$I$435,贷款明细!$F$4:$F$435,"&gt;="&amp;A30,贷款明细!$F$4:$F$435,"&lt;"&amp;EDATE(A30,1))</f>
        <v>774.35000000000014</v>
      </c>
      <c r="O30" s="25">
        <f>M30+N30</f>
        <v>24174.35</v>
      </c>
      <c r="P30" s="23">
        <f>O30/E30</f>
        <v>26276.467391304344</v>
      </c>
      <c r="Q30" s="23">
        <f>-H30+K30-P30</f>
        <v>-49273.75</v>
      </c>
      <c r="R30" s="25">
        <f>M30</f>
        <v>23400</v>
      </c>
      <c r="S30" s="25">
        <f>SUM($D$7:D30)-SUM($M$7:M30)</f>
        <v>280800</v>
      </c>
      <c r="T30" s="23">
        <f>S30/E30</f>
        <v>305217.39130434784</v>
      </c>
      <c r="U30" s="23">
        <f>I30+L30</f>
        <v>639684.78260869591</v>
      </c>
      <c r="V30" s="23">
        <f>U30-T30-SUM($N$7:N30)/E30</f>
        <v>319752.51086956548</v>
      </c>
    </row>
    <row r="31" spans="1:22">
      <c r="A31" s="19">
        <f>EDATE(DATE(YEAR(参数设置!$B$4),MONTH(参数设置!$B$4),1),ROW()-7)</f>
        <v>46966</v>
      </c>
      <c r="B31" s="20" t="str">
        <f>IF(ROW()-6&lt;=参数设置!$B$6,ROW()-6,"")</f>
        <v/>
      </c>
      <c r="C31" s="21" t="str">
        <f>IF(B31="","",EDATE(参数设置!$B$4,B31-1))</f>
        <v/>
      </c>
      <c r="D31" s="22">
        <f>IF(B31="",0,参数设置!$B$5)</f>
        <v>0</v>
      </c>
      <c r="E31" s="15">
        <f>参数设置!$B$7</f>
        <v>0.92</v>
      </c>
      <c r="F31" s="23">
        <f>IF(D31=0,0,D31/E31)</f>
        <v>0</v>
      </c>
      <c r="G31" s="24">
        <f>F31*参数设置!$B$21</f>
        <v>0</v>
      </c>
      <c r="H31" s="23">
        <f>F31-G31</f>
        <v>0</v>
      </c>
      <c r="I31" s="23">
        <f>IF(ROW()=7,H31,I30+H31)</f>
        <v>610434.78260869591</v>
      </c>
      <c r="J31" s="24">
        <f>I31*参数设置!$B$17/参数设置!$B$18</f>
        <v>2543.4782608695664</v>
      </c>
      <c r="K31" s="23">
        <f>IF(ROW()=7,0,J30)</f>
        <v>2543.4782608695664</v>
      </c>
      <c r="L31" s="23">
        <f>IF(ROW()=7,K31,L30+K31)</f>
        <v>31793.478260869575</v>
      </c>
      <c r="M31" s="22">
        <f>SUMIFS(贷款明细!$H$4:$H$435,贷款明细!$F$4:$F$435,"&gt;="&amp;A31,贷款明细!$F$4:$F$435,"&lt;"&amp;EDATE(A31,1))</f>
        <v>23400</v>
      </c>
      <c r="N31" s="22">
        <f>SUMIFS(贷款明细!$I$4:$I$435,贷款明细!$F$4:$F$435,"&gt;="&amp;A31,贷款明细!$F$4:$F$435,"&lt;"&amp;EDATE(A31,1))</f>
        <v>795.85</v>
      </c>
      <c r="O31" s="25">
        <f>M31+N31</f>
        <v>24195.85</v>
      </c>
      <c r="P31" s="23">
        <f>O31/E31</f>
        <v>26299.836956521736</v>
      </c>
      <c r="Q31" s="23">
        <f>-H31+K31-P31</f>
        <v>-23756.358695652169</v>
      </c>
      <c r="R31" s="25">
        <f>M31</f>
        <v>23400</v>
      </c>
      <c r="S31" s="25">
        <f>SUM($D$7:D31)-SUM($M$7:M31)</f>
        <v>257400</v>
      </c>
      <c r="T31" s="23">
        <f>S31/E31</f>
        <v>279782.60869565216</v>
      </c>
      <c r="U31" s="23">
        <f>I31+L31</f>
        <v>642228.26086956554</v>
      </c>
      <c r="V31" s="23">
        <f>U31-T31-SUM($N$7:N31)/E31</f>
        <v>346865.71739130467</v>
      </c>
    </row>
    <row r="32" spans="1:22">
      <c r="A32" s="19">
        <f>EDATE(DATE(YEAR(参数设置!$B$4),MONTH(参数设置!$B$4),1),ROW()-7)</f>
        <v>46997</v>
      </c>
      <c r="B32" s="20" t="str">
        <f>IF(ROW()-6&lt;=参数设置!$B$6,ROW()-6,"")</f>
        <v/>
      </c>
      <c r="C32" s="21" t="str">
        <f>IF(B32="","",EDATE(参数设置!$B$4,B32-1))</f>
        <v/>
      </c>
      <c r="D32" s="22">
        <f>IF(B32="",0,参数设置!$B$5)</f>
        <v>0</v>
      </c>
      <c r="E32" s="15">
        <f>参数设置!$B$7</f>
        <v>0.92</v>
      </c>
      <c r="F32" s="23">
        <f>IF(D32=0,0,D32/E32)</f>
        <v>0</v>
      </c>
      <c r="G32" s="24">
        <f>F32*参数设置!$B$21</f>
        <v>0</v>
      </c>
      <c r="H32" s="23">
        <f>F32-G32</f>
        <v>0</v>
      </c>
      <c r="I32" s="23">
        <f>IF(ROW()=7,H32,I31+H32)</f>
        <v>610434.78260869591</v>
      </c>
      <c r="J32" s="24">
        <f>I32*参数设置!$B$17/参数设置!$B$18</f>
        <v>2543.4782608695664</v>
      </c>
      <c r="K32" s="23">
        <f>IF(ROW()=7,0,J31)</f>
        <v>2543.4782608695664</v>
      </c>
      <c r="L32" s="23">
        <f>IF(ROW()=7,K32,L31+K32)</f>
        <v>34336.956521739143</v>
      </c>
      <c r="M32" s="22">
        <f>SUMIFS(贷款明细!$H$4:$H$435,贷款明细!$F$4:$F$435,"&gt;="&amp;A32,贷款明细!$F$4:$F$435,"&lt;"&amp;EDATE(A32,1))</f>
        <v>23400</v>
      </c>
      <c r="N32" s="22">
        <f>SUMIFS(贷款明细!$I$4:$I$435,贷款明细!$F$4:$F$435,"&gt;="&amp;A32,贷款明细!$F$4:$F$435,"&lt;"&amp;EDATE(A32,1))</f>
        <v>798</v>
      </c>
      <c r="O32" s="25">
        <f>M32+N32</f>
        <v>24198</v>
      </c>
      <c r="P32" s="23">
        <f>O32/E32</f>
        <v>26302.173913043476</v>
      </c>
      <c r="Q32" s="23">
        <f>-H32+K32-P32</f>
        <v>-23758.695652173908</v>
      </c>
      <c r="R32" s="25">
        <f>M32</f>
        <v>23400</v>
      </c>
      <c r="S32" s="25">
        <f>SUM($D$7:D32)-SUM($M$7:M32)</f>
        <v>234000</v>
      </c>
      <c r="T32" s="23">
        <f>S32/E32</f>
        <v>254347.82608695651</v>
      </c>
      <c r="U32" s="23">
        <f>I32+L32</f>
        <v>644771.73913043505</v>
      </c>
      <c r="V32" s="23">
        <f>U32-T32-SUM($N$7:N32)/E32</f>
        <v>373976.58695652196</v>
      </c>
    </row>
    <row r="33" spans="1:22">
      <c r="A33" s="19">
        <f>EDATE(DATE(YEAR(参数设置!$B$4),MONTH(参数设置!$B$4),1),ROW()-7)</f>
        <v>47027</v>
      </c>
      <c r="B33" s="20" t="str">
        <f>IF(ROW()-6&lt;=参数设置!$B$6,ROW()-6,"")</f>
        <v/>
      </c>
      <c r="C33" s="21" t="str">
        <f>IF(B33="","",EDATE(参数设置!$B$4,B33-1))</f>
        <v/>
      </c>
      <c r="D33" s="22">
        <f>IF(B33="",0,参数设置!$B$5)</f>
        <v>0</v>
      </c>
      <c r="E33" s="15">
        <f>参数设置!$B$7</f>
        <v>0.92</v>
      </c>
      <c r="F33" s="23">
        <f>IF(D33=0,0,D33/E33)</f>
        <v>0</v>
      </c>
      <c r="G33" s="24">
        <f>F33*参数设置!$B$21</f>
        <v>0</v>
      </c>
      <c r="H33" s="23">
        <f>F33-G33</f>
        <v>0</v>
      </c>
      <c r="I33" s="23">
        <f>IF(ROW()=7,H33,I32+H33)</f>
        <v>610434.78260869591</v>
      </c>
      <c r="J33" s="24">
        <f>I33*参数设置!$B$17/参数设置!$B$18</f>
        <v>2543.4782608695664</v>
      </c>
      <c r="K33" s="23">
        <f>IF(ROW()=7,0,J32)</f>
        <v>2543.4782608695664</v>
      </c>
      <c r="L33" s="23">
        <f>IF(ROW()=7,K33,L32+K33)</f>
        <v>36880.434782608711</v>
      </c>
      <c r="M33" s="22">
        <f>SUMIFS(贷款明细!$H$4:$H$435,贷款明细!$F$4:$F$435,"&gt;="&amp;A33,贷款明细!$F$4:$F$435,"&lt;"&amp;EDATE(A33,1))</f>
        <v>23400</v>
      </c>
      <c r="N33" s="22">
        <f>SUMIFS(贷款明细!$I$4:$I$435,贷款明细!$F$4:$F$435,"&gt;="&amp;A33,贷款明细!$F$4:$F$435,"&lt;"&amp;EDATE(A33,1))</f>
        <v>654.23000000000013</v>
      </c>
      <c r="O33" s="25">
        <f>M33+N33</f>
        <v>24054.23</v>
      </c>
      <c r="P33" s="23">
        <f>O33/E33</f>
        <v>26145.90217391304</v>
      </c>
      <c r="Q33" s="23">
        <f>-H33+K33-P33</f>
        <v>-23602.423913043473</v>
      </c>
      <c r="R33" s="25">
        <f>M33</f>
        <v>23400</v>
      </c>
      <c r="S33" s="25">
        <f>SUM($D$7:D33)-SUM($M$7:M33)</f>
        <v>210600</v>
      </c>
      <c r="T33" s="23">
        <f>S33/E33</f>
        <v>228913.04347826086</v>
      </c>
      <c r="U33" s="23">
        <f>I33+L33</f>
        <v>647315.21739130467</v>
      </c>
      <c r="V33" s="23">
        <f>U33-T33-SUM($N$7:N33)/E33</f>
        <v>401243.72826086992</v>
      </c>
    </row>
    <row r="34" spans="1:22">
      <c r="A34" s="19">
        <f>EDATE(DATE(YEAR(参数设置!$B$4),MONTH(参数设置!$B$4),1),ROW()-7)</f>
        <v>47058</v>
      </c>
      <c r="B34" s="20" t="str">
        <f>IF(ROW()-6&lt;=参数设置!$B$6,ROW()-6,"")</f>
        <v/>
      </c>
      <c r="C34" s="21" t="str">
        <f>IF(B34="","",EDATE(参数设置!$B$4,B34-1))</f>
        <v/>
      </c>
      <c r="D34" s="22">
        <f>IF(B34="",0,参数设置!$B$5)</f>
        <v>0</v>
      </c>
      <c r="E34" s="15">
        <f>参数设置!$B$7</f>
        <v>0.92</v>
      </c>
      <c r="F34" s="23">
        <f>IF(D34=0,0,D34/E34)</f>
        <v>0</v>
      </c>
      <c r="G34" s="24">
        <f>F34*参数设置!$B$21</f>
        <v>0</v>
      </c>
      <c r="H34" s="23">
        <f>F34-G34</f>
        <v>0</v>
      </c>
      <c r="I34" s="23">
        <f>IF(ROW()=7,H34,I33+H34)</f>
        <v>610434.78260869591</v>
      </c>
      <c r="J34" s="24">
        <f>I34*参数设置!$B$17/参数设置!$B$18</f>
        <v>2543.4782608695664</v>
      </c>
      <c r="K34" s="23">
        <f>IF(ROW()=7,0,J33)</f>
        <v>2543.4782608695664</v>
      </c>
      <c r="L34" s="23">
        <f>IF(ROW()=7,K34,L33+K34)</f>
        <v>39423.913043478278</v>
      </c>
      <c r="M34" s="22">
        <f>SUMIFS(贷款明细!$H$4:$H$435,贷款明细!$F$4:$F$435,"&gt;="&amp;A34,贷款明细!$F$4:$F$435,"&lt;"&amp;EDATE(A34,1))</f>
        <v>23400</v>
      </c>
      <c r="N34" s="22">
        <f>SUMIFS(贷款明细!$I$4:$I$435,贷款明细!$F$4:$F$435,"&gt;="&amp;A34,贷款明细!$F$4:$F$435,"&lt;"&amp;EDATE(A34,1))</f>
        <v>609.23</v>
      </c>
      <c r="O34" s="25">
        <f>M34+N34</f>
        <v>24009.23</v>
      </c>
      <c r="P34" s="23">
        <f>O34/E34</f>
        <v>26096.98913043478</v>
      </c>
      <c r="Q34" s="23">
        <f>-H34+K34-P34</f>
        <v>-23553.510869565212</v>
      </c>
      <c r="R34" s="25">
        <f>M34</f>
        <v>23400</v>
      </c>
      <c r="S34" s="25">
        <f>SUM($D$7:D34)-SUM($M$7:M34)</f>
        <v>187200</v>
      </c>
      <c r="T34" s="23">
        <f>S34/E34</f>
        <v>203478.26086956522</v>
      </c>
      <c r="U34" s="23">
        <f>I34+L34</f>
        <v>649858.69565217418</v>
      </c>
      <c r="V34" s="23">
        <f>U34-T34-SUM($N$7:N34)/E34</f>
        <v>428559.78260869597</v>
      </c>
    </row>
    <row r="35" spans="1:22">
      <c r="A35" s="19">
        <f>EDATE(DATE(YEAR(参数设置!$B$4),MONTH(参数设置!$B$4),1),ROW()-7)</f>
        <v>47088</v>
      </c>
      <c r="B35" s="20" t="str">
        <f>IF(ROW()-6&lt;=参数设置!$B$6,ROW()-6,"")</f>
        <v/>
      </c>
      <c r="C35" s="21" t="str">
        <f>IF(B35="","",EDATE(参数设置!$B$4,B35-1))</f>
        <v/>
      </c>
      <c r="D35" s="22">
        <f>IF(B35="",0,参数设置!$B$5)</f>
        <v>0</v>
      </c>
      <c r="E35" s="15">
        <f>参数设置!$B$7</f>
        <v>0.92</v>
      </c>
      <c r="F35" s="23">
        <f>IF(D35=0,0,D35/E35)</f>
        <v>0</v>
      </c>
      <c r="G35" s="24">
        <f>F35*参数设置!$B$21</f>
        <v>0</v>
      </c>
      <c r="H35" s="23">
        <f>F35-G35</f>
        <v>0</v>
      </c>
      <c r="I35" s="23">
        <f>IF(ROW()=7,H35,I34+H35)</f>
        <v>610434.78260869591</v>
      </c>
      <c r="J35" s="24">
        <f>I35*参数设置!$B$17/参数设置!$B$18</f>
        <v>2543.4782608695664</v>
      </c>
      <c r="K35" s="23">
        <f>IF(ROW()=7,0,J34)</f>
        <v>2543.4782608695664</v>
      </c>
      <c r="L35" s="23">
        <f>IF(ROW()=7,K35,L34+K35)</f>
        <v>41967.391304347846</v>
      </c>
      <c r="M35" s="22">
        <f>SUMIFS(贷款明细!$H$4:$H$435,贷款明细!$F$4:$F$435,"&gt;="&amp;A35,贷款明细!$F$4:$F$435,"&lt;"&amp;EDATE(A35,1))</f>
        <v>23400</v>
      </c>
      <c r="N35" s="22">
        <f>SUMIFS(贷款明细!$I$4:$I$435,贷款明细!$F$4:$F$435,"&gt;="&amp;A35,贷款明细!$F$4:$F$435,"&lt;"&amp;EDATE(A35,1))</f>
        <v>525.53000000000009</v>
      </c>
      <c r="O35" s="25">
        <f>M35+N35</f>
        <v>23925.53</v>
      </c>
      <c r="P35" s="23">
        <f>O35/E35</f>
        <v>26006.010869565216</v>
      </c>
      <c r="Q35" s="23">
        <f>-H35+K35-P35</f>
        <v>-23462.532608695648</v>
      </c>
      <c r="R35" s="25">
        <f>M35</f>
        <v>23400</v>
      </c>
      <c r="S35" s="25">
        <f>SUM($D$7:D35)-SUM($M$7:M35)</f>
        <v>163800</v>
      </c>
      <c r="T35" s="23">
        <f>S35/E35</f>
        <v>178043.47826086957</v>
      </c>
      <c r="U35" s="23">
        <f>I35+L35</f>
        <v>652402.17391304381</v>
      </c>
      <c r="V35" s="23">
        <f>U35-T35-SUM($N$7:N35)/E35</f>
        <v>455966.81521739165</v>
      </c>
    </row>
    <row r="36" spans="1:22">
      <c r="A36" s="19">
        <f>EDATE(DATE(YEAR(参数设置!$B$4),MONTH(参数设置!$B$4),1),ROW()-7)</f>
        <v>47119</v>
      </c>
      <c r="B36" s="20" t="str">
        <f>IF(ROW()-6&lt;=参数设置!$B$6,ROW()-6,"")</f>
        <v/>
      </c>
      <c r="C36" s="21" t="str">
        <f>IF(B36="","",EDATE(参数设置!$B$4,B36-1))</f>
        <v/>
      </c>
      <c r="D36" s="22">
        <f>IF(B36="",0,参数设置!$B$5)</f>
        <v>0</v>
      </c>
      <c r="E36" s="15">
        <f>参数设置!$B$7</f>
        <v>0.92</v>
      </c>
      <c r="F36" s="23">
        <f>IF(D36=0,0,D36/E36)</f>
        <v>0</v>
      </c>
      <c r="G36" s="24">
        <f>F36*参数设置!$B$21</f>
        <v>0</v>
      </c>
      <c r="H36" s="23">
        <f>F36-G36</f>
        <v>0</v>
      </c>
      <c r="I36" s="23">
        <f>IF(ROW()=7,H36,I35+H36)</f>
        <v>610434.78260869591</v>
      </c>
      <c r="J36" s="24">
        <f>I36*参数设置!$B$17/参数设置!$B$18</f>
        <v>2543.4782608695664</v>
      </c>
      <c r="K36" s="23">
        <f>IF(ROW()=7,0,J35)</f>
        <v>2543.4782608695664</v>
      </c>
      <c r="L36" s="23">
        <f>IF(ROW()=7,K36,L35+K36)</f>
        <v>44510.869565217414</v>
      </c>
      <c r="M36" s="22">
        <f>SUMIFS(贷款明细!$H$4:$H$435,贷款明细!$F$4:$F$435,"&gt;="&amp;A36,贷款明细!$F$4:$F$435,"&lt;"&amp;EDATE(A36,1))</f>
        <v>23400</v>
      </c>
      <c r="N36" s="22">
        <f>SUMIFS(贷款明细!$I$4:$I$435,贷款明细!$F$4:$F$435,"&gt;="&amp;A36,贷款明细!$F$4:$F$435,"&lt;"&amp;EDATE(A36,1))</f>
        <v>476.23</v>
      </c>
      <c r="O36" s="25">
        <f>M36+N36</f>
        <v>23876.23</v>
      </c>
      <c r="P36" s="23">
        <f>O36/E36</f>
        <v>25952.423913043476</v>
      </c>
      <c r="Q36" s="23">
        <f>-H36+K36-P36</f>
        <v>-23408.945652173908</v>
      </c>
      <c r="R36" s="25">
        <f>M36</f>
        <v>23400</v>
      </c>
      <c r="S36" s="25">
        <f>SUM($D$7:D36)-SUM($M$7:M36)</f>
        <v>140400</v>
      </c>
      <c r="T36" s="23">
        <f>S36/E36</f>
        <v>152608.69565217392</v>
      </c>
      <c r="U36" s="23">
        <f>I36+L36</f>
        <v>654945.65217391332</v>
      </c>
      <c r="V36" s="23">
        <f>U36-T36-SUM($N$7:N36)/E36</f>
        <v>483427.43478260894</v>
      </c>
    </row>
    <row r="37" spans="1:22">
      <c r="A37" s="19">
        <f>EDATE(DATE(YEAR(参数设置!$B$4),MONTH(参数设置!$B$4),1),ROW()-7)</f>
        <v>47150</v>
      </c>
      <c r="B37" s="20" t="str">
        <f>IF(ROW()-6&lt;=参数设置!$B$6,ROW()-6,"")</f>
        <v/>
      </c>
      <c r="C37" s="21" t="str">
        <f>IF(B37="","",EDATE(参数设置!$B$4,B37-1))</f>
        <v/>
      </c>
      <c r="D37" s="22">
        <f>IF(B37="",0,参数设置!$B$5)</f>
        <v>0</v>
      </c>
      <c r="E37" s="15">
        <f>参数设置!$B$7</f>
        <v>0.92</v>
      </c>
      <c r="F37" s="23">
        <f>IF(D37=0,0,D37/E37)</f>
        <v>0</v>
      </c>
      <c r="G37" s="24">
        <f>F37*参数设置!$B$21</f>
        <v>0</v>
      </c>
      <c r="H37" s="23">
        <f>F37-G37</f>
        <v>0</v>
      </c>
      <c r="I37" s="23">
        <f>IF(ROW()=7,H37,I36+H37)</f>
        <v>610434.78260869591</v>
      </c>
      <c r="J37" s="24">
        <f>I37*参数设置!$B$17/参数设置!$B$18</f>
        <v>2543.4782608695664</v>
      </c>
      <c r="K37" s="23">
        <f>IF(ROW()=7,0,J36)</f>
        <v>2543.4782608695664</v>
      </c>
      <c r="L37" s="23">
        <f>IF(ROW()=7,K37,L36+K37)</f>
        <v>47054.347826086982</v>
      </c>
      <c r="M37" s="22">
        <f>SUMIFS(贷款明细!$H$4:$H$435,贷款明细!$F$4:$F$435,"&gt;="&amp;A37,贷款明细!$F$4:$F$435,"&lt;"&amp;EDATE(A37,1))</f>
        <v>23400</v>
      </c>
      <c r="N37" s="22">
        <f>SUMIFS(贷款明细!$I$4:$I$435,贷款明细!$F$4:$F$435,"&gt;="&amp;A37,贷款明细!$F$4:$F$435,"&lt;"&amp;EDATE(A37,1))</f>
        <v>409.73</v>
      </c>
      <c r="O37" s="25">
        <f>M37+N37</f>
        <v>23809.73</v>
      </c>
      <c r="P37" s="23">
        <f>O37/E37</f>
        <v>25880.141304347824</v>
      </c>
      <c r="Q37" s="23">
        <f>-H37+K37-P37</f>
        <v>-23336.663043478256</v>
      </c>
      <c r="R37" s="25">
        <f>M37</f>
        <v>23400</v>
      </c>
      <c r="S37" s="25">
        <f>SUM($D$7:D37)-SUM($M$7:M37)</f>
        <v>117000</v>
      </c>
      <c r="T37" s="23">
        <f>S37/E37</f>
        <v>127173.91304347826</v>
      </c>
      <c r="U37" s="23">
        <f>I37+L37</f>
        <v>657489.13043478294</v>
      </c>
      <c r="V37" s="23">
        <f>U37-T37-SUM($N$7:N37)/E37</f>
        <v>510960.33695652208</v>
      </c>
    </row>
    <row r="38" spans="1:22">
      <c r="A38" s="19">
        <f>EDATE(DATE(YEAR(参数设置!$B$4),MONTH(参数设置!$B$4),1),ROW()-7)</f>
        <v>47178</v>
      </c>
      <c r="B38" s="20" t="str">
        <f>IF(ROW()-6&lt;=参数设置!$B$6,ROW()-6,"")</f>
        <v/>
      </c>
      <c r="C38" s="21" t="str">
        <f>IF(B38="","",EDATE(参数设置!$B$4,B38-1))</f>
        <v/>
      </c>
      <c r="D38" s="22">
        <f>IF(B38="",0,参数设置!$B$5)</f>
        <v>0</v>
      </c>
      <c r="E38" s="15">
        <f>参数设置!$B$7</f>
        <v>0.92</v>
      </c>
      <c r="F38" s="23">
        <f>IF(D38=0,0,D38/E38)</f>
        <v>0</v>
      </c>
      <c r="G38" s="24">
        <f>F38*参数设置!$B$21</f>
        <v>0</v>
      </c>
      <c r="H38" s="23">
        <f>F38-G38</f>
        <v>0</v>
      </c>
      <c r="I38" s="23">
        <f>IF(ROW()=7,H38,I37+H38)</f>
        <v>610434.78260869591</v>
      </c>
      <c r="J38" s="24">
        <f>I38*参数设置!$B$17/参数设置!$B$18</f>
        <v>2543.4782608695664</v>
      </c>
      <c r="K38" s="23">
        <f>IF(ROW()=7,0,J37)</f>
        <v>2543.4782608695664</v>
      </c>
      <c r="L38" s="23">
        <f>IF(ROW()=7,K38,L37+K38)</f>
        <v>49597.826086956549</v>
      </c>
      <c r="M38" s="22">
        <f>SUMIFS(贷款明细!$H$4:$H$435,贷款明细!$F$4:$F$435,"&gt;="&amp;A38,贷款明细!$F$4:$F$435,"&lt;"&amp;EDATE(A38,1))</f>
        <v>23400</v>
      </c>
      <c r="N38" s="22">
        <f>SUMIFS(贷款明细!$I$4:$I$435,贷款明细!$F$4:$F$435,"&gt;="&amp;A38,贷款明细!$F$4:$F$435,"&lt;"&amp;EDATE(A38,1))</f>
        <v>311.03000000000003</v>
      </c>
      <c r="O38" s="25">
        <f>M38+N38</f>
        <v>23711.03</v>
      </c>
      <c r="P38" s="23">
        <f>O38/E38</f>
        <v>25772.858695652172</v>
      </c>
      <c r="Q38" s="23">
        <f>-H38+K38-P38</f>
        <v>-23229.380434782604</v>
      </c>
      <c r="R38" s="25">
        <f>M38</f>
        <v>23400</v>
      </c>
      <c r="S38" s="25">
        <f>SUM($D$7:D38)-SUM($M$7:M38)</f>
        <v>93600</v>
      </c>
      <c r="T38" s="23">
        <f>S38/E38</f>
        <v>101739.13043478261</v>
      </c>
      <c r="U38" s="23">
        <f>I38+L38</f>
        <v>660032.60869565245</v>
      </c>
      <c r="V38" s="23">
        <f>U38-T38-SUM($N$7:N38)/E38</f>
        <v>538600.52173913072</v>
      </c>
    </row>
    <row r="39" spans="1:22">
      <c r="A39" s="19">
        <f>EDATE(DATE(YEAR(参数设置!$B$4),MONTH(参数设置!$B$4),1),ROW()-7)</f>
        <v>47209</v>
      </c>
      <c r="B39" s="20" t="str">
        <f>IF(ROW()-6&lt;=参数设置!$B$6,ROW()-6,"")</f>
        <v/>
      </c>
      <c r="C39" s="21" t="str">
        <f>IF(B39="","",EDATE(参数设置!$B$4,B39-1))</f>
        <v/>
      </c>
      <c r="D39" s="22">
        <f>IF(B39="",0,参数设置!$B$5)</f>
        <v>0</v>
      </c>
      <c r="E39" s="15">
        <f>参数设置!$B$7</f>
        <v>0.92</v>
      </c>
      <c r="F39" s="23">
        <f>IF(D39=0,0,D39/E39)</f>
        <v>0</v>
      </c>
      <c r="G39" s="24">
        <f>F39*参数设置!$B$21</f>
        <v>0</v>
      </c>
      <c r="H39" s="23">
        <f>F39-G39</f>
        <v>0</v>
      </c>
      <c r="I39" s="23">
        <f>IF(ROW()=7,H39,I38+H39)</f>
        <v>610434.78260869591</v>
      </c>
      <c r="J39" s="24">
        <f>I39*参数设置!$B$17/参数设置!$B$18</f>
        <v>2543.4782608695664</v>
      </c>
      <c r="K39" s="23">
        <f>IF(ROW()=7,0,J38)</f>
        <v>2543.4782608695664</v>
      </c>
      <c r="L39" s="23">
        <f>IF(ROW()=7,K39,L38+K39)</f>
        <v>52141.304347826117</v>
      </c>
      <c r="M39" s="22">
        <f>SUMIFS(贷款明细!$H$4:$H$435,贷款明细!$F$4:$F$435,"&gt;="&amp;A39,贷款明细!$F$4:$F$435,"&lt;"&amp;EDATE(A39,1))</f>
        <v>23400</v>
      </c>
      <c r="N39" s="22">
        <f>SUMIFS(贷款明细!$I$4:$I$435,贷款明细!$F$4:$F$435,"&gt;="&amp;A39,贷款明细!$F$4:$F$435,"&lt;"&amp;EDATE(A39,1))</f>
        <v>276.73</v>
      </c>
      <c r="O39" s="25">
        <f>M39+N39</f>
        <v>23676.73</v>
      </c>
      <c r="P39" s="23">
        <f>O39/E39</f>
        <v>25735.57608695652</v>
      </c>
      <c r="Q39" s="23">
        <f>-H39+K39-P39</f>
        <v>-23192.097826086952</v>
      </c>
      <c r="R39" s="25">
        <f>M39</f>
        <v>23400</v>
      </c>
      <c r="S39" s="25">
        <f>SUM($D$7:D39)-SUM($M$7:M39)</f>
        <v>70200</v>
      </c>
      <c r="T39" s="23">
        <f>S39/E39</f>
        <v>76304.34782608696</v>
      </c>
      <c r="U39" s="23">
        <f>I39+L39</f>
        <v>662576.08695652208</v>
      </c>
      <c r="V39" s="23">
        <f>U39-T39-SUM($N$7:N39)/E39</f>
        <v>566277.98913043516</v>
      </c>
    </row>
    <row r="40" spans="1:22">
      <c r="A40" s="19">
        <f>EDATE(DATE(YEAR(参数设置!$B$4),MONTH(参数设置!$B$4),1),ROW()-7)</f>
        <v>47239</v>
      </c>
      <c r="B40" s="20" t="str">
        <f>IF(ROW()-6&lt;=参数设置!$B$6,ROW()-6,"")</f>
        <v/>
      </c>
      <c r="C40" s="21" t="str">
        <f>IF(B40="","",EDATE(参数设置!$B$4,B40-1))</f>
        <v/>
      </c>
      <c r="D40" s="22">
        <f>IF(B40="",0,参数设置!$B$5)</f>
        <v>0</v>
      </c>
      <c r="E40" s="15">
        <f>参数设置!$B$7</f>
        <v>0.92</v>
      </c>
      <c r="F40" s="23">
        <f>IF(D40=0,0,D40/E40)</f>
        <v>0</v>
      </c>
      <c r="G40" s="24">
        <f>F40*参数设置!$B$21</f>
        <v>0</v>
      </c>
      <c r="H40" s="23">
        <f>F40-G40</f>
        <v>0</v>
      </c>
      <c r="I40" s="23">
        <f>IF(ROW()=7,H40,I39+H40)</f>
        <v>610434.78260869591</v>
      </c>
      <c r="J40" s="24">
        <f>I40*参数设置!$B$17/参数设置!$B$18</f>
        <v>2543.4782608695664</v>
      </c>
      <c r="K40" s="23">
        <f>IF(ROW()=7,0,J39)</f>
        <v>2543.4782608695664</v>
      </c>
      <c r="L40" s="23">
        <f>IF(ROW()=7,K40,L39+K40)</f>
        <v>54684.782608695685</v>
      </c>
      <c r="M40" s="22">
        <f>SUMIFS(贷款明细!$H$4:$H$435,贷款明细!$F$4:$F$435,"&gt;="&amp;A40,贷款明细!$F$4:$F$435,"&lt;"&amp;EDATE(A40,1))</f>
        <v>23400</v>
      </c>
      <c r="N40" s="22">
        <f>SUMIFS(贷款明细!$I$4:$I$435,贷款明细!$F$4:$F$435,"&gt;="&amp;A40,贷款明细!$F$4:$F$435,"&lt;"&amp;EDATE(A40,1))</f>
        <v>203.78</v>
      </c>
      <c r="O40" s="25">
        <f>M40+N40</f>
        <v>23603.78</v>
      </c>
      <c r="P40" s="23">
        <f>O40/E40</f>
        <v>25656.282608695648</v>
      </c>
      <c r="Q40" s="23">
        <f>-H40+K40-P40</f>
        <v>-23112.804347826081</v>
      </c>
      <c r="R40" s="25">
        <f>M40</f>
        <v>23400</v>
      </c>
      <c r="S40" s="25">
        <f>SUM($D$7:D40)-SUM($M$7:M40)</f>
        <v>46800</v>
      </c>
      <c r="T40" s="23">
        <f>S40/E40</f>
        <v>50869.565217391304</v>
      </c>
      <c r="U40" s="23">
        <f>I40+L40</f>
        <v>665119.56521739159</v>
      </c>
      <c r="V40" s="23">
        <f>U40-T40-SUM($N$7:N40)/E40</f>
        <v>594034.75000000023</v>
      </c>
    </row>
    <row r="41" spans="1:22">
      <c r="A41" s="19">
        <f>EDATE(DATE(YEAR(参数设置!$B$4),MONTH(参数设置!$B$4),1),ROW()-7)</f>
        <v>47270</v>
      </c>
      <c r="B41" s="20" t="str">
        <f>IF(ROW()-6&lt;=参数设置!$B$6,ROW()-6,"")</f>
        <v/>
      </c>
      <c r="C41" s="21" t="str">
        <f>IF(B41="","",EDATE(参数设置!$B$4,B41-1))</f>
        <v/>
      </c>
      <c r="D41" s="22">
        <f>IF(B41="",0,参数设置!$B$5)</f>
        <v>0</v>
      </c>
      <c r="E41" s="15">
        <f>参数设置!$B$7</f>
        <v>0.92</v>
      </c>
      <c r="F41" s="23">
        <f>IF(D41=0,0,D41/E41)</f>
        <v>0</v>
      </c>
      <c r="G41" s="24">
        <f>F41*参数设置!$B$21</f>
        <v>0</v>
      </c>
      <c r="H41" s="23">
        <f>F41-G41</f>
        <v>0</v>
      </c>
      <c r="I41" s="23">
        <f>IF(ROW()=7,H41,I40+H41)</f>
        <v>610434.78260869591</v>
      </c>
      <c r="J41" s="24">
        <f>I41*参数设置!$B$17/参数设置!$B$18</f>
        <v>2543.4782608695664</v>
      </c>
      <c r="K41" s="23">
        <f>IF(ROW()=7,0,J40)</f>
        <v>2543.4782608695664</v>
      </c>
      <c r="L41" s="23">
        <f>IF(ROW()=7,K41,L40+K41)</f>
        <v>57228.260869565253</v>
      </c>
      <c r="M41" s="22">
        <f>SUMIFS(贷款明细!$H$4:$H$435,贷款明细!$F$4:$F$435,"&gt;="&amp;A41,贷款明细!$F$4:$F$435,"&lt;"&amp;EDATE(A41,1))</f>
        <v>23400</v>
      </c>
      <c r="N41" s="22">
        <f>SUMIFS(贷款明细!$I$4:$I$435,贷款明细!$F$4:$F$435,"&gt;="&amp;A41,贷款明细!$F$4:$F$435,"&lt;"&amp;EDATE(A41,1))</f>
        <v>143.73000000000002</v>
      </c>
      <c r="O41" s="25">
        <f>M41+N41</f>
        <v>23543.73</v>
      </c>
      <c r="P41" s="23">
        <f>O41/E41</f>
        <v>25591.010869565216</v>
      </c>
      <c r="Q41" s="23">
        <f>-H41+K41-P41</f>
        <v>-23047.532608695648</v>
      </c>
      <c r="R41" s="25">
        <f>M41</f>
        <v>23400</v>
      </c>
      <c r="S41" s="25">
        <f>SUM($D$7:D41)-SUM($M$7:M41)</f>
        <v>23400</v>
      </c>
      <c r="T41" s="23">
        <f>S41/E41</f>
        <v>25434.782608695652</v>
      </c>
      <c r="U41" s="23">
        <f>I41+L41</f>
        <v>667663.04347826121</v>
      </c>
      <c r="V41" s="23">
        <f>U41-T41-SUM($N$7:N41)/E41</f>
        <v>621856.78260869603</v>
      </c>
    </row>
    <row r="42" spans="1:22">
      <c r="A42" s="19">
        <f>EDATE(DATE(YEAR(参数设置!$B$4),MONTH(参数设置!$B$4),1),ROW()-7)</f>
        <v>47300</v>
      </c>
      <c r="B42" s="20" t="str">
        <f>IF(ROW()-6&lt;=参数设置!$B$6,ROW()-6,"")</f>
        <v/>
      </c>
      <c r="C42" s="21" t="str">
        <f>IF(B42="","",EDATE(参数设置!$B$4,B42-1))</f>
        <v/>
      </c>
      <c r="D42" s="22">
        <f>IF(B42="",0,参数设置!$B$5)</f>
        <v>0</v>
      </c>
      <c r="E42" s="15">
        <f>参数设置!$B$7</f>
        <v>0.92</v>
      </c>
      <c r="F42" s="23">
        <f>IF(D42=0,0,D42/E42)</f>
        <v>0</v>
      </c>
      <c r="G42" s="24">
        <f>F42*参数设置!$B$21</f>
        <v>0</v>
      </c>
      <c r="H42" s="23">
        <f>F42-G42</f>
        <v>0</v>
      </c>
      <c r="I42" s="23">
        <f>IF(ROW()=7,H42,I41+H42)</f>
        <v>610434.78260869591</v>
      </c>
      <c r="J42" s="24">
        <f>I42*参数设置!$B$17/参数设置!$B$18</f>
        <v>2543.4782608695664</v>
      </c>
      <c r="K42" s="23">
        <f>IF(ROW()=7,0,J41)</f>
        <v>2543.4782608695664</v>
      </c>
      <c r="L42" s="23">
        <f>IF(ROW()=7,K42,L41+K42)</f>
        <v>59771.73913043482</v>
      </c>
      <c r="M42" s="22">
        <f>SUMIFS(贷款明细!$H$4:$H$435,贷款明细!$F$4:$F$435,"&gt;="&amp;A42,贷款明细!$F$4:$F$435,"&lt;"&amp;EDATE(A42,1))</f>
        <v>23400</v>
      </c>
      <c r="N42" s="22">
        <f>SUMIFS(贷款明细!$I$4:$I$435,贷款明细!$F$4:$F$435,"&gt;="&amp;A42,贷款明细!$F$4:$F$435,"&lt;"&amp;EDATE(A42,1))</f>
        <v>75.08</v>
      </c>
      <c r="O42" s="25">
        <f>M42+N42</f>
        <v>23475.08</v>
      </c>
      <c r="P42" s="23">
        <f>O42/E42</f>
        <v>25516.391304347828</v>
      </c>
      <c r="Q42" s="23">
        <f>-H42+K42-P42</f>
        <v>-22972.91304347826</v>
      </c>
      <c r="R42" s="25">
        <f>M42</f>
        <v>23400</v>
      </c>
      <c r="S42" s="25">
        <f>SUM($D$7:D42)-SUM($M$7:M42)</f>
        <v>0</v>
      </c>
      <c r="T42" s="23">
        <f>S42/E42</f>
        <v>0</v>
      </c>
      <c r="U42" s="23">
        <f>I42+L42</f>
        <v>670206.52173913072</v>
      </c>
      <c r="V42" s="23">
        <f>U42-T42-SUM($N$7:N42)/E42</f>
        <v>649753.43478260899</v>
      </c>
    </row>
    <row r="43" spans="1:22">
      <c r="A43" s="19">
        <f>EDATE(DATE(YEAR(参数设置!$B$4),MONTH(参数设置!$B$4),1),ROW()-7)</f>
        <v>47331</v>
      </c>
      <c r="B43" s="20" t="str">
        <f>IF(ROW()-6&lt;=参数设置!$B$6,ROW()-6,"")</f>
        <v/>
      </c>
      <c r="C43" s="21" t="str">
        <f>IF(B43="","",EDATE(参数设置!$B$4,B43-1))</f>
        <v/>
      </c>
      <c r="D43" s="22">
        <f>IF(B43="",0,参数设置!$B$5)</f>
        <v>0</v>
      </c>
      <c r="E43" s="15">
        <f>参数设置!$B$7</f>
        <v>0.92</v>
      </c>
      <c r="F43" s="23">
        <f>IF(D43=0,0,D43/E43)</f>
        <v>0</v>
      </c>
      <c r="G43" s="24">
        <f>F43*参数设置!$B$21</f>
        <v>0</v>
      </c>
      <c r="H43" s="23">
        <f>F43-G43</f>
        <v>0</v>
      </c>
      <c r="I43" s="23">
        <f>IF(ROW()=7,H43,I42+H43)</f>
        <v>610434.78260869591</v>
      </c>
      <c r="J43" s="24">
        <f>I43*参数设置!$B$17/参数设置!$B$18</f>
        <v>2543.4782608695664</v>
      </c>
      <c r="K43" s="23">
        <f>IF(ROW()=7,0,J42)</f>
        <v>2543.4782608695664</v>
      </c>
      <c r="L43" s="23">
        <f>IF(ROW()=7,K43,L42+K43)</f>
        <v>62315.217391304388</v>
      </c>
      <c r="M43" s="22">
        <f>SUMIFS(贷款明细!$H$4:$H$435,贷款明细!$F$4:$F$435,"&gt;="&amp;A43,贷款明细!$F$4:$F$435,"&lt;"&amp;EDATE(A43,1))</f>
        <v>23400</v>
      </c>
      <c r="N43" s="22">
        <f>SUMIFS(贷款明细!$I$4:$I$435,贷款明细!$F$4:$F$435,"&gt;="&amp;A43,贷款明细!$F$4:$F$435,"&lt;"&amp;EDATE(A43,1))</f>
        <v>0</v>
      </c>
      <c r="O43" s="25">
        <f>M43+N43</f>
        <v>23400</v>
      </c>
      <c r="P43" s="23">
        <f>O43/E43</f>
        <v>25434.782608695652</v>
      </c>
      <c r="Q43" s="23">
        <f>-H43+K43-P43</f>
        <v>-22891.304347826084</v>
      </c>
      <c r="R43" s="25">
        <f>M43</f>
        <v>23400</v>
      </c>
      <c r="S43" s="25">
        <f>SUM($D$7:D43)-SUM($M$7:M43)</f>
        <v>-23400</v>
      </c>
      <c r="T43" s="23">
        <f>S43/E43</f>
        <v>-25434.782608695652</v>
      </c>
      <c r="U43" s="23">
        <f>I43+L43</f>
        <v>672750.00000000035</v>
      </c>
      <c r="V43" s="23">
        <f>U43-T43-SUM($N$7:N43)/E43</f>
        <v>677731.6956521743</v>
      </c>
    </row>
    <row r="44" spans="1:22">
      <c r="A44" s="19">
        <f>EDATE(DATE(YEAR(参数设置!$B$4),MONTH(参数设置!$B$4),1),ROW()-7)</f>
        <v>47362</v>
      </c>
      <c r="B44" s="20" t="str">
        <f>IF(ROW()-6&lt;=参数设置!$B$6,ROW()-6,"")</f>
        <v/>
      </c>
      <c r="C44" s="21" t="str">
        <f>IF(B44="","",EDATE(参数设置!$B$4,B44-1))</f>
        <v/>
      </c>
      <c r="D44" s="22">
        <f>IF(B44="",0,参数设置!$B$5)</f>
        <v>0</v>
      </c>
      <c r="E44" s="15">
        <f>参数设置!$B$7</f>
        <v>0.92</v>
      </c>
      <c r="F44" s="23">
        <f>IF(D44=0,0,D44/E44)</f>
        <v>0</v>
      </c>
      <c r="G44" s="24">
        <f>F44*参数设置!$B$21</f>
        <v>0</v>
      </c>
      <c r="H44" s="23">
        <f>F44-G44</f>
        <v>0</v>
      </c>
      <c r="I44" s="23">
        <f>IF(ROW()=7,H44,I43+H44)</f>
        <v>610434.78260869591</v>
      </c>
      <c r="J44" s="24">
        <f>I44*参数设置!$B$17/参数设置!$B$18</f>
        <v>2543.4782608695664</v>
      </c>
      <c r="K44" s="23">
        <f>IF(ROW()=7,0,J43)</f>
        <v>2543.4782608695664</v>
      </c>
      <c r="L44" s="23">
        <f>IF(ROW()=7,K44,L43+K44)</f>
        <v>64858.695652173956</v>
      </c>
      <c r="M44" s="22">
        <f>SUMIFS(贷款明细!$H$4:$H$435,贷款明细!$F$4:$F$435,"&gt;="&amp;A44,贷款明细!$F$4:$F$435,"&lt;"&amp;EDATE(A44,1))</f>
        <v>23400</v>
      </c>
      <c r="N44" s="22">
        <f>SUMIFS(贷款明细!$I$4:$I$435,贷款明细!$F$4:$F$435,"&gt;="&amp;A44,贷款明细!$F$4:$F$435,"&lt;"&amp;EDATE(A44,1))</f>
        <v>0</v>
      </c>
      <c r="O44" s="25">
        <f>M44+N44</f>
        <v>23400</v>
      </c>
      <c r="P44" s="23">
        <f>O44/E44</f>
        <v>25434.782608695652</v>
      </c>
      <c r="Q44" s="23">
        <f>-H44+K44-P44</f>
        <v>-22891.304347826084</v>
      </c>
      <c r="R44" s="25">
        <f>M44</f>
        <v>23400</v>
      </c>
      <c r="S44" s="25">
        <f>SUM($D$7:D44)-SUM($M$7:M44)</f>
        <v>-46800</v>
      </c>
      <c r="T44" s="23">
        <f>S44/E44</f>
        <v>-50869.565217391304</v>
      </c>
      <c r="U44" s="23">
        <f>I44+L44</f>
        <v>675293.47826086986</v>
      </c>
      <c r="V44" s="23">
        <f>U44-T44-SUM($N$7:N44)/E44</f>
        <v>705709.95652173948</v>
      </c>
    </row>
    <row r="45" spans="1:22">
      <c r="A45" s="19">
        <f>EDATE(DATE(YEAR(参数设置!$B$4),MONTH(参数设置!$B$4),1),ROW()-7)</f>
        <v>47392</v>
      </c>
      <c r="B45" s="20" t="str">
        <f>IF(ROW()-6&lt;=参数设置!$B$6,ROW()-6,"")</f>
        <v/>
      </c>
      <c r="C45" s="21" t="str">
        <f>IF(B45="","",EDATE(参数设置!$B$4,B45-1))</f>
        <v/>
      </c>
      <c r="D45" s="22">
        <f>IF(B45="",0,参数设置!$B$5)</f>
        <v>0</v>
      </c>
      <c r="E45" s="15">
        <f>参数设置!$B$7</f>
        <v>0.92</v>
      </c>
      <c r="F45" s="23">
        <f>IF(D45=0,0,D45/E45)</f>
        <v>0</v>
      </c>
      <c r="G45" s="24">
        <f>F45*参数设置!$B$21</f>
        <v>0</v>
      </c>
      <c r="H45" s="23">
        <f>F45-G45</f>
        <v>0</v>
      </c>
      <c r="I45" s="23">
        <f>IF(ROW()=7,H45,I44+H45)</f>
        <v>610434.78260869591</v>
      </c>
      <c r="J45" s="24">
        <f>I45*参数设置!$B$17/参数设置!$B$18</f>
        <v>2543.4782608695664</v>
      </c>
      <c r="K45" s="23">
        <f>IF(ROW()=7,0,J44)</f>
        <v>2543.4782608695664</v>
      </c>
      <c r="L45" s="23">
        <f>IF(ROW()=7,K45,L44+K45)</f>
        <v>67402.173913043516</v>
      </c>
      <c r="M45" s="22">
        <f>SUMIFS(贷款明细!$H$4:$H$435,贷款明细!$F$4:$F$435,"&gt;="&amp;A45,贷款明细!$F$4:$F$435,"&lt;"&amp;EDATE(A45,1))</f>
        <v>23400</v>
      </c>
      <c r="N45" s="22">
        <f>SUMIFS(贷款明细!$I$4:$I$435,贷款明细!$F$4:$F$435,"&gt;="&amp;A45,贷款明细!$F$4:$F$435,"&lt;"&amp;EDATE(A45,1))</f>
        <v>0</v>
      </c>
      <c r="O45" s="25">
        <f>M45+N45</f>
        <v>23400</v>
      </c>
      <c r="P45" s="23">
        <f>O45/E45</f>
        <v>25434.782608695652</v>
      </c>
      <c r="Q45" s="23">
        <f>-H45+K45-P45</f>
        <v>-22891.304347826084</v>
      </c>
      <c r="R45" s="25">
        <f>M45</f>
        <v>23400</v>
      </c>
      <c r="S45" s="25">
        <f>SUM($D$7:D45)-SUM($M$7:M45)</f>
        <v>-70200</v>
      </c>
      <c r="T45" s="23">
        <f>S45/E45</f>
        <v>-76304.34782608696</v>
      </c>
      <c r="U45" s="23">
        <f>I45+L45</f>
        <v>677836.95652173948</v>
      </c>
      <c r="V45" s="23">
        <f>U45-T45-SUM($N$7:N45)/E45</f>
        <v>733688.21739130467</v>
      </c>
    </row>
    <row r="46" spans="1:22">
      <c r="A46" s="19">
        <f>EDATE(DATE(YEAR(参数设置!$B$4),MONTH(参数设置!$B$4),1),ROW()-7)</f>
        <v>47423</v>
      </c>
      <c r="B46" s="20" t="str">
        <f>IF(ROW()-6&lt;=参数设置!$B$6,ROW()-6,"")</f>
        <v/>
      </c>
      <c r="C46" s="21" t="str">
        <f>IF(B46="","",EDATE(参数设置!$B$4,B46-1))</f>
        <v/>
      </c>
      <c r="D46" s="22">
        <f>IF(B46="",0,参数设置!$B$5)</f>
        <v>0</v>
      </c>
      <c r="E46" s="15">
        <f>参数设置!$B$7</f>
        <v>0.92</v>
      </c>
      <c r="F46" s="23">
        <f>IF(D46=0,0,D46/E46)</f>
        <v>0</v>
      </c>
      <c r="G46" s="24">
        <f>F46*参数设置!$B$21</f>
        <v>0</v>
      </c>
      <c r="H46" s="23">
        <f>F46-G46</f>
        <v>0</v>
      </c>
      <c r="I46" s="23">
        <f>IF(ROW()=7,H46,I45+H46)</f>
        <v>610434.78260869591</v>
      </c>
      <c r="J46" s="24">
        <f>I46*参数设置!$B$17/参数设置!$B$18</f>
        <v>2543.4782608695664</v>
      </c>
      <c r="K46" s="23">
        <f>IF(ROW()=7,0,J45)</f>
        <v>2543.4782608695664</v>
      </c>
      <c r="L46" s="23">
        <f>IF(ROW()=7,K46,L45+K46)</f>
        <v>69945.652173913084</v>
      </c>
      <c r="M46" s="22">
        <f>SUMIFS(贷款明细!$H$4:$H$435,贷款明细!$F$4:$F$435,"&gt;="&amp;A46,贷款明细!$F$4:$F$435,"&lt;"&amp;EDATE(A46,1))</f>
        <v>23400</v>
      </c>
      <c r="N46" s="22">
        <f>SUMIFS(贷款明细!$I$4:$I$435,贷款明细!$F$4:$F$435,"&gt;="&amp;A46,贷款明细!$F$4:$F$435,"&lt;"&amp;EDATE(A46,1))</f>
        <v>0</v>
      </c>
      <c r="O46" s="25">
        <f>M46+N46</f>
        <v>23400</v>
      </c>
      <c r="P46" s="23">
        <f>O46/E46</f>
        <v>25434.782608695652</v>
      </c>
      <c r="Q46" s="23">
        <f>-H46+K46-P46</f>
        <v>-22891.304347826084</v>
      </c>
      <c r="R46" s="25">
        <f>M46</f>
        <v>23400</v>
      </c>
      <c r="S46" s="25">
        <f>SUM($D$7:D46)-SUM($M$7:M46)</f>
        <v>-93600</v>
      </c>
      <c r="T46" s="23">
        <f>S46/E46</f>
        <v>-101739.13043478261</v>
      </c>
      <c r="U46" s="23">
        <f>I46+L46</f>
        <v>680380.43478260899</v>
      </c>
      <c r="V46" s="23">
        <f>U46-T46-SUM($N$7:N46)/E46</f>
        <v>761666.47826086986</v>
      </c>
    </row>
    <row r="47" spans="1:22">
      <c r="A47" s="19">
        <f>EDATE(DATE(YEAR(参数设置!$B$4),MONTH(参数设置!$B$4),1),ROW()-7)</f>
        <v>47453</v>
      </c>
      <c r="B47" s="20" t="str">
        <f>IF(ROW()-6&lt;=参数设置!$B$6,ROW()-6,"")</f>
        <v/>
      </c>
      <c r="C47" s="21" t="str">
        <f>IF(B47="","",EDATE(参数设置!$B$4,B47-1))</f>
        <v/>
      </c>
      <c r="D47" s="22">
        <f>IF(B47="",0,参数设置!$B$5)</f>
        <v>0</v>
      </c>
      <c r="E47" s="15">
        <f>参数设置!$B$7</f>
        <v>0.92</v>
      </c>
      <c r="F47" s="23">
        <f>IF(D47=0,0,D47/E47)</f>
        <v>0</v>
      </c>
      <c r="G47" s="24">
        <f>F47*参数设置!$B$21</f>
        <v>0</v>
      </c>
      <c r="H47" s="23">
        <f>F47-G47</f>
        <v>0</v>
      </c>
      <c r="I47" s="23">
        <f>IF(ROW()=7,H47,I46+H47)</f>
        <v>610434.78260869591</v>
      </c>
      <c r="J47" s="24">
        <f>I47*参数设置!$B$17/参数设置!$B$18</f>
        <v>2543.4782608695664</v>
      </c>
      <c r="K47" s="23">
        <f>IF(ROW()=7,0,J46)</f>
        <v>2543.4782608695664</v>
      </c>
      <c r="L47" s="23">
        <f>IF(ROW()=7,K47,L46+K47)</f>
        <v>72489.130434782652</v>
      </c>
      <c r="M47" s="22">
        <f>SUMIFS(贷款明细!$H$4:$H$435,贷款明细!$F$4:$F$435,"&gt;="&amp;A47,贷款明细!$F$4:$F$435,"&lt;"&amp;EDATE(A47,1))</f>
        <v>23400</v>
      </c>
      <c r="N47" s="22">
        <f>SUMIFS(贷款明细!$I$4:$I$435,贷款明细!$F$4:$F$435,"&gt;="&amp;A47,贷款明细!$F$4:$F$435,"&lt;"&amp;EDATE(A47,1))</f>
        <v>0</v>
      </c>
      <c r="O47" s="25">
        <f>M47+N47</f>
        <v>23400</v>
      </c>
      <c r="P47" s="23">
        <f>O47/E47</f>
        <v>25434.782608695652</v>
      </c>
      <c r="Q47" s="23">
        <f>-H47+K47-P47</f>
        <v>-22891.304347826084</v>
      </c>
      <c r="R47" s="25">
        <f>M47</f>
        <v>23400</v>
      </c>
      <c r="S47" s="25">
        <f>SUM($D$7:D47)-SUM($M$7:M47)</f>
        <v>-117000</v>
      </c>
      <c r="T47" s="23">
        <f>S47/E47</f>
        <v>-127173.91304347826</v>
      </c>
      <c r="U47" s="23">
        <f>I47+L47</f>
        <v>682923.9130434785</v>
      </c>
      <c r="V47" s="23">
        <f>U47-T47-SUM($N$7:N47)/E47</f>
        <v>789644.73913043505</v>
      </c>
    </row>
    <row r="48" spans="1:22">
      <c r="A48" s="19">
        <f>EDATE(DATE(YEAR(参数设置!$B$4),MONTH(参数设置!$B$4),1),ROW()-7)</f>
        <v>47484</v>
      </c>
      <c r="B48" s="20" t="str">
        <f>IF(ROW()-6&lt;=参数设置!$B$6,ROW()-6,"")</f>
        <v/>
      </c>
      <c r="C48" s="21" t="str">
        <f>IF(B48="","",EDATE(参数设置!$B$4,B48-1))</f>
        <v/>
      </c>
      <c r="D48" s="22">
        <f>IF(B48="",0,参数设置!$B$5)</f>
        <v>0</v>
      </c>
      <c r="E48" s="15">
        <f>参数设置!$B$7</f>
        <v>0.92</v>
      </c>
      <c r="F48" s="23">
        <f>IF(D48=0,0,D48/E48)</f>
        <v>0</v>
      </c>
      <c r="G48" s="24">
        <f>F48*参数设置!$B$21</f>
        <v>0</v>
      </c>
      <c r="H48" s="23">
        <f>F48-G48</f>
        <v>0</v>
      </c>
      <c r="I48" s="23">
        <f>IF(ROW()=7,H48,I47+H48)</f>
        <v>610434.78260869591</v>
      </c>
      <c r="J48" s="24">
        <f>I48*参数设置!$B$17/参数设置!$B$18</f>
        <v>2543.4782608695664</v>
      </c>
      <c r="K48" s="23">
        <f>IF(ROW()=7,0,J47)</f>
        <v>2543.4782608695664</v>
      </c>
      <c r="L48" s="23">
        <f>IF(ROW()=7,K48,L47+K48)</f>
        <v>75032.608695652219</v>
      </c>
      <c r="M48" s="22">
        <f>SUMIFS(贷款明细!$H$4:$H$435,贷款明细!$F$4:$F$435,"&gt;="&amp;A48,贷款明细!$F$4:$F$435,"&lt;"&amp;EDATE(A48,1))</f>
        <v>23400</v>
      </c>
      <c r="N48" s="22">
        <f>SUMIFS(贷款明细!$I$4:$I$435,贷款明细!$F$4:$F$435,"&gt;="&amp;A48,贷款明细!$F$4:$F$435,"&lt;"&amp;EDATE(A48,1))</f>
        <v>0</v>
      </c>
      <c r="O48" s="25">
        <f>M48+N48</f>
        <v>23400</v>
      </c>
      <c r="P48" s="23">
        <f>O48/E48</f>
        <v>25434.782608695652</v>
      </c>
      <c r="Q48" s="23">
        <f>-H48+K48-P48</f>
        <v>-22891.304347826084</v>
      </c>
      <c r="R48" s="25">
        <f>M48</f>
        <v>23400</v>
      </c>
      <c r="S48" s="25">
        <f>SUM($D$7:D48)-SUM($M$7:M48)</f>
        <v>-140400</v>
      </c>
      <c r="T48" s="23">
        <f>S48/E48</f>
        <v>-152608.69565217392</v>
      </c>
      <c r="U48" s="23">
        <f>I48+L48</f>
        <v>685467.39130434813</v>
      </c>
      <c r="V48" s="23">
        <f>U48-T48-SUM($N$7:N48)/E48</f>
        <v>817623.00000000035</v>
      </c>
    </row>
    <row r="49" spans="1:22">
      <c r="A49" s="19">
        <f>EDATE(DATE(YEAR(参数设置!$B$4),MONTH(参数设置!$B$4),1),ROW()-7)</f>
        <v>47515</v>
      </c>
      <c r="B49" s="20" t="str">
        <f>IF(ROW()-6&lt;=参数设置!$B$6,ROW()-6,"")</f>
        <v/>
      </c>
      <c r="C49" s="21" t="str">
        <f>IF(B49="","",EDATE(参数设置!$B$4,B49-1))</f>
        <v/>
      </c>
      <c r="D49" s="22">
        <f>IF(B49="",0,参数设置!$B$5)</f>
        <v>0</v>
      </c>
      <c r="E49" s="15">
        <f>参数设置!$B$7</f>
        <v>0.92</v>
      </c>
      <c r="F49" s="23">
        <f>IF(D49=0,0,D49/E49)</f>
        <v>0</v>
      </c>
      <c r="G49" s="24">
        <f>F49*参数设置!$B$21</f>
        <v>0</v>
      </c>
      <c r="H49" s="23">
        <f>F49-G49</f>
        <v>0</v>
      </c>
      <c r="I49" s="23">
        <f>IF(ROW()=7,H49,I48+H49)</f>
        <v>610434.78260869591</v>
      </c>
      <c r="J49" s="24">
        <f>I49*参数设置!$B$17/参数设置!$B$18</f>
        <v>2543.4782608695664</v>
      </c>
      <c r="K49" s="23">
        <f>IF(ROW()=7,0,J48)</f>
        <v>2543.4782608695664</v>
      </c>
      <c r="L49" s="23">
        <f>IF(ROW()=7,K49,L48+K49)</f>
        <v>77576.086956521787</v>
      </c>
      <c r="M49" s="22">
        <f>SUMIFS(贷款明细!$H$4:$H$435,贷款明细!$F$4:$F$435,"&gt;="&amp;A49,贷款明细!$F$4:$F$435,"&lt;"&amp;EDATE(A49,1))</f>
        <v>23400</v>
      </c>
      <c r="N49" s="22">
        <f>SUMIFS(贷款明细!$I$4:$I$435,贷款明细!$F$4:$F$435,"&gt;="&amp;A49,贷款明细!$F$4:$F$435,"&lt;"&amp;EDATE(A49,1))</f>
        <v>0</v>
      </c>
      <c r="O49" s="25">
        <f>M49+N49</f>
        <v>23400</v>
      </c>
      <c r="P49" s="23">
        <f>O49/E49</f>
        <v>25434.782608695652</v>
      </c>
      <c r="Q49" s="23">
        <f>-H49+K49-P49</f>
        <v>-22891.304347826084</v>
      </c>
      <c r="R49" s="25">
        <f>M49</f>
        <v>23400</v>
      </c>
      <c r="S49" s="25">
        <f>SUM($D$7:D49)-SUM($M$7:M49)</f>
        <v>-163800</v>
      </c>
      <c r="T49" s="23">
        <f>S49/E49</f>
        <v>-178043.47826086957</v>
      </c>
      <c r="U49" s="23">
        <f>I49+L49</f>
        <v>688010.86956521776</v>
      </c>
      <c r="V49" s="23">
        <f>U49-T49-SUM($N$7:N49)/E49</f>
        <v>845601.26086956565</v>
      </c>
    </row>
    <row r="50" spans="1:22">
      <c r="A50" s="19">
        <f>EDATE(DATE(YEAR(参数设置!$B$4),MONTH(参数设置!$B$4),1),ROW()-7)</f>
        <v>47543</v>
      </c>
      <c r="B50" s="20" t="str">
        <f>IF(ROW()-6&lt;=参数设置!$B$6,ROW()-6,"")</f>
        <v/>
      </c>
      <c r="C50" s="21" t="str">
        <f>IF(B50="","",EDATE(参数设置!$B$4,B50-1))</f>
        <v/>
      </c>
      <c r="D50" s="22">
        <f>IF(B50="",0,参数设置!$B$5)</f>
        <v>0</v>
      </c>
      <c r="E50" s="15">
        <f>参数设置!$B$7</f>
        <v>0.92</v>
      </c>
      <c r="F50" s="23">
        <f>IF(D50=0,0,D50/E50)</f>
        <v>0</v>
      </c>
      <c r="G50" s="24">
        <f>F50*参数设置!$B$21</f>
        <v>0</v>
      </c>
      <c r="H50" s="23">
        <f>F50-G50</f>
        <v>0</v>
      </c>
      <c r="I50" s="23">
        <f>IF(ROW()=7,H50,I49+H50)</f>
        <v>610434.78260869591</v>
      </c>
      <c r="J50" s="24">
        <f>I50*参数设置!$B$17/参数设置!$B$18</f>
        <v>2543.4782608695664</v>
      </c>
      <c r="K50" s="23">
        <f>IF(ROW()=7,0,J49)</f>
        <v>2543.4782608695664</v>
      </c>
      <c r="L50" s="23">
        <f>IF(ROW()=7,K50,L49+K50)</f>
        <v>80119.565217391355</v>
      </c>
      <c r="M50" s="22">
        <f>SUMIFS(贷款明细!$H$4:$H$435,贷款明细!$F$4:$F$435,"&gt;="&amp;A50,贷款明细!$F$4:$F$435,"&lt;"&amp;EDATE(A50,1))</f>
        <v>23400</v>
      </c>
      <c r="N50" s="22">
        <f>SUMIFS(贷款明细!$I$4:$I$435,贷款明细!$F$4:$F$435,"&gt;="&amp;A50,贷款明细!$F$4:$F$435,"&lt;"&amp;EDATE(A50,1))</f>
        <v>0</v>
      </c>
      <c r="O50" s="25">
        <f>M50+N50</f>
        <v>23400</v>
      </c>
      <c r="P50" s="23">
        <f>O50/E50</f>
        <v>25434.782608695652</v>
      </c>
      <c r="Q50" s="23">
        <f>-H50+K50-P50</f>
        <v>-22891.304347826084</v>
      </c>
      <c r="R50" s="25">
        <f>M50</f>
        <v>23400</v>
      </c>
      <c r="S50" s="25">
        <f>SUM($D$7:D50)-SUM($M$7:M50)</f>
        <v>-187200</v>
      </c>
      <c r="T50" s="23">
        <f>S50/E50</f>
        <v>-203478.26086956522</v>
      </c>
      <c r="U50" s="23">
        <f>I50+L50</f>
        <v>690554.34782608727</v>
      </c>
      <c r="V50" s="23">
        <f>U50-T50-SUM($N$7:N50)/E50</f>
        <v>873579.52173913072</v>
      </c>
    </row>
    <row r="51" spans="1:22">
      <c r="A51" s="19">
        <f>EDATE(DATE(YEAR(参数设置!$B$4),MONTH(参数设置!$B$4),1),ROW()-7)</f>
        <v>47574</v>
      </c>
      <c r="B51" s="20" t="str">
        <f>IF(ROW()-6&lt;=参数设置!$B$6,ROW()-6,"")</f>
        <v/>
      </c>
      <c r="C51" s="21" t="str">
        <f>IF(B51="","",EDATE(参数设置!$B$4,B51-1))</f>
        <v/>
      </c>
      <c r="D51" s="22">
        <f>IF(B51="",0,参数设置!$B$5)</f>
        <v>0</v>
      </c>
      <c r="E51" s="15">
        <f>参数设置!$B$7</f>
        <v>0.92</v>
      </c>
      <c r="F51" s="23">
        <f>IF(D51=0,0,D51/E51)</f>
        <v>0</v>
      </c>
      <c r="G51" s="24">
        <f>F51*参数设置!$B$21</f>
        <v>0</v>
      </c>
      <c r="H51" s="23">
        <f>F51-G51</f>
        <v>0</v>
      </c>
      <c r="I51" s="23">
        <f>IF(ROW()=7,H51,I50+H51)</f>
        <v>610434.78260869591</v>
      </c>
      <c r="J51" s="24">
        <f>I51*参数设置!$B$17/参数设置!$B$18</f>
        <v>2543.4782608695664</v>
      </c>
      <c r="K51" s="23">
        <f>IF(ROW()=7,0,J50)</f>
        <v>2543.4782608695664</v>
      </c>
      <c r="L51" s="23">
        <f>IF(ROW()=7,K51,L50+K51)</f>
        <v>82663.043478260923</v>
      </c>
      <c r="M51" s="22">
        <f>SUMIFS(贷款明细!$H$4:$H$435,贷款明细!$F$4:$F$435,"&gt;="&amp;A51,贷款明细!$F$4:$F$435,"&lt;"&amp;EDATE(A51,1))</f>
        <v>23400</v>
      </c>
      <c r="N51" s="22">
        <f>SUMIFS(贷款明细!$I$4:$I$435,贷款明细!$F$4:$F$435,"&gt;="&amp;A51,贷款明细!$F$4:$F$435,"&lt;"&amp;EDATE(A51,1))</f>
        <v>0</v>
      </c>
      <c r="O51" s="25">
        <f>M51+N51</f>
        <v>23400</v>
      </c>
      <c r="P51" s="23">
        <f>O51/E51</f>
        <v>25434.782608695652</v>
      </c>
      <c r="Q51" s="23">
        <f>-H51+K51-P51</f>
        <v>-22891.304347826084</v>
      </c>
      <c r="R51" s="25">
        <f>M51</f>
        <v>23400</v>
      </c>
      <c r="S51" s="25">
        <f>SUM($D$7:D51)-SUM($M$7:M51)</f>
        <v>-210600</v>
      </c>
      <c r="T51" s="23">
        <f>S51/E51</f>
        <v>-228913.04347826086</v>
      </c>
      <c r="U51" s="23">
        <f>I51+L51</f>
        <v>693097.82608695677</v>
      </c>
      <c r="V51" s="23">
        <f>U51-T51-SUM($N$7:N51)/E51</f>
        <v>901557.78260869591</v>
      </c>
    </row>
    <row r="52" spans="1:22">
      <c r="A52" s="19">
        <f>EDATE(DATE(YEAR(参数设置!$B$4),MONTH(参数设置!$B$4),1),ROW()-7)</f>
        <v>47604</v>
      </c>
      <c r="B52" s="20" t="str">
        <f>IF(ROW()-6&lt;=参数设置!$B$6,ROW()-6,"")</f>
        <v/>
      </c>
      <c r="C52" s="21" t="str">
        <f>IF(B52="","",EDATE(参数设置!$B$4,B52-1))</f>
        <v/>
      </c>
      <c r="D52" s="22">
        <f>IF(B52="",0,参数设置!$B$5)</f>
        <v>0</v>
      </c>
      <c r="E52" s="15">
        <f>参数设置!$B$7</f>
        <v>0.92</v>
      </c>
      <c r="F52" s="23">
        <f>IF(D52=0,0,D52/E52)</f>
        <v>0</v>
      </c>
      <c r="G52" s="24">
        <f>F52*参数设置!$B$21</f>
        <v>0</v>
      </c>
      <c r="H52" s="23">
        <f>F52-G52</f>
        <v>0</v>
      </c>
      <c r="I52" s="23">
        <f>IF(ROW()=7,H52,I51+H52)</f>
        <v>610434.78260869591</v>
      </c>
      <c r="J52" s="24">
        <f>I52*参数设置!$B$17/参数设置!$B$18</f>
        <v>2543.4782608695664</v>
      </c>
      <c r="K52" s="23">
        <f>IF(ROW()=7,0,J51)</f>
        <v>2543.4782608695664</v>
      </c>
      <c r="L52" s="23">
        <f>IF(ROW()=7,K52,L51+K52)</f>
        <v>85206.52173913049</v>
      </c>
      <c r="M52" s="22">
        <f>SUMIFS(贷款明细!$H$4:$H$435,贷款明细!$F$4:$F$435,"&gt;="&amp;A52,贷款明细!$F$4:$F$435,"&lt;"&amp;EDATE(A52,1))</f>
        <v>23400</v>
      </c>
      <c r="N52" s="22">
        <f>SUMIFS(贷款明细!$I$4:$I$435,贷款明细!$F$4:$F$435,"&gt;="&amp;A52,贷款明细!$F$4:$F$435,"&lt;"&amp;EDATE(A52,1))</f>
        <v>0</v>
      </c>
      <c r="O52" s="25">
        <f>M52+N52</f>
        <v>23400</v>
      </c>
      <c r="P52" s="23">
        <f>O52/E52</f>
        <v>25434.782608695652</v>
      </c>
      <c r="Q52" s="23">
        <f>-H52+K52-P52</f>
        <v>-22891.304347826084</v>
      </c>
      <c r="R52" s="25">
        <f>M52</f>
        <v>23400</v>
      </c>
      <c r="S52" s="25">
        <f>SUM($D$7:D52)-SUM($M$7:M52)</f>
        <v>-234000</v>
      </c>
      <c r="T52" s="23">
        <f>S52/E52</f>
        <v>-254347.82608695651</v>
      </c>
      <c r="U52" s="23">
        <f>I52+L52</f>
        <v>695641.3043478264</v>
      </c>
      <c r="V52" s="23">
        <f>U52-T52-SUM($N$7:N52)/E52</f>
        <v>929536.04347826121</v>
      </c>
    </row>
    <row r="53" spans="1:22">
      <c r="A53" s="19">
        <f>EDATE(DATE(YEAR(参数设置!$B$4),MONTH(参数设置!$B$4),1),ROW()-7)</f>
        <v>47635</v>
      </c>
      <c r="B53" s="20" t="str">
        <f>IF(ROW()-6&lt;=参数设置!$B$6,ROW()-6,"")</f>
        <v/>
      </c>
      <c r="C53" s="21" t="str">
        <f>IF(B53="","",EDATE(参数设置!$B$4,B53-1))</f>
        <v/>
      </c>
      <c r="D53" s="22">
        <f>IF(B53="",0,参数设置!$B$5)</f>
        <v>0</v>
      </c>
      <c r="E53" s="15">
        <f>参数设置!$B$7</f>
        <v>0.92</v>
      </c>
      <c r="F53" s="23">
        <f>IF(D53=0,0,D53/E53)</f>
        <v>0</v>
      </c>
      <c r="G53" s="24">
        <f>F53*参数设置!$B$21</f>
        <v>0</v>
      </c>
      <c r="H53" s="23">
        <f>F53-G53</f>
        <v>0</v>
      </c>
      <c r="I53" s="23">
        <f>IF(ROW()=7,H53,I52+H53)</f>
        <v>610434.78260869591</v>
      </c>
      <c r="J53" s="24">
        <f>I53*参数设置!$B$17/参数设置!$B$18</f>
        <v>2543.4782608695664</v>
      </c>
      <c r="K53" s="23">
        <f>IF(ROW()=7,0,J52)</f>
        <v>2543.4782608695664</v>
      </c>
      <c r="L53" s="23">
        <f>IF(ROW()=7,K53,L52+K53)</f>
        <v>87750.000000000058</v>
      </c>
      <c r="M53" s="22">
        <f>SUMIFS(贷款明细!$H$4:$H$435,贷款明细!$F$4:$F$435,"&gt;="&amp;A53,贷款明细!$F$4:$F$435,"&lt;"&amp;EDATE(A53,1))</f>
        <v>23400</v>
      </c>
      <c r="N53" s="22">
        <f>SUMIFS(贷款明细!$I$4:$I$435,贷款明细!$F$4:$F$435,"&gt;="&amp;A53,贷款明细!$F$4:$F$435,"&lt;"&amp;EDATE(A53,1))</f>
        <v>0</v>
      </c>
      <c r="O53" s="25">
        <f>M53+N53</f>
        <v>23400</v>
      </c>
      <c r="P53" s="23">
        <f>O53/E53</f>
        <v>25434.782608695652</v>
      </c>
      <c r="Q53" s="23">
        <f>-H53+K53-P53</f>
        <v>-22891.304347826084</v>
      </c>
      <c r="R53" s="25">
        <f>M53</f>
        <v>23400</v>
      </c>
      <c r="S53" s="25">
        <f>SUM($D$7:D53)-SUM($M$7:M53)</f>
        <v>-257400</v>
      </c>
      <c r="T53" s="23">
        <f>S53/E53</f>
        <v>-279782.60869565216</v>
      </c>
      <c r="U53" s="23">
        <f>I53+L53</f>
        <v>698184.78260869603</v>
      </c>
      <c r="V53" s="23">
        <f>U53-T53-SUM($N$7:N53)/E53</f>
        <v>957514.3043478264</v>
      </c>
    </row>
    <row r="54" spans="1:22">
      <c r="A54" s="19">
        <f>EDATE(DATE(YEAR(参数设置!$B$4),MONTH(参数设置!$B$4),1),ROW()-7)</f>
        <v>47665</v>
      </c>
      <c r="B54" s="20" t="str">
        <f>IF(ROW()-6&lt;=参数设置!$B$6,ROW()-6,"")</f>
        <v/>
      </c>
      <c r="C54" s="21" t="str">
        <f>IF(B54="","",EDATE(参数设置!$B$4,B54-1))</f>
        <v/>
      </c>
      <c r="D54" s="22">
        <f>IF(B54="",0,参数设置!$B$5)</f>
        <v>0</v>
      </c>
      <c r="E54" s="15">
        <f>参数设置!$B$7</f>
        <v>0.92</v>
      </c>
      <c r="F54" s="23">
        <f>IF(D54=0,0,D54/E54)</f>
        <v>0</v>
      </c>
      <c r="G54" s="24">
        <f>F54*参数设置!$B$21</f>
        <v>0</v>
      </c>
      <c r="H54" s="23">
        <f>F54-G54</f>
        <v>0</v>
      </c>
      <c r="I54" s="23">
        <f>IF(ROW()=7,H54,I53+H54)</f>
        <v>610434.78260869591</v>
      </c>
      <c r="J54" s="24">
        <f>I54*参数设置!$B$17/参数设置!$B$18</f>
        <v>2543.4782608695664</v>
      </c>
      <c r="K54" s="23">
        <f>IF(ROW()=7,0,J53)</f>
        <v>2543.4782608695664</v>
      </c>
      <c r="L54" s="23">
        <f>IF(ROW()=7,K54,L53+K54)</f>
        <v>90293.478260869626</v>
      </c>
      <c r="M54" s="22">
        <f>SUMIFS(贷款明细!$H$4:$H$435,贷款明细!$F$4:$F$435,"&gt;="&amp;A54,贷款明细!$F$4:$F$435,"&lt;"&amp;EDATE(A54,1))</f>
        <v>23400</v>
      </c>
      <c r="N54" s="22">
        <f>SUMIFS(贷款明细!$I$4:$I$435,贷款明细!$F$4:$F$435,"&gt;="&amp;A54,贷款明细!$F$4:$F$435,"&lt;"&amp;EDATE(A54,1))</f>
        <v>0</v>
      </c>
      <c r="O54" s="25">
        <f>M54+N54</f>
        <v>23400</v>
      </c>
      <c r="P54" s="23">
        <f>O54/E54</f>
        <v>25434.782608695652</v>
      </c>
      <c r="Q54" s="23">
        <f>-H54+K54-P54</f>
        <v>-22891.304347826084</v>
      </c>
      <c r="R54" s="25">
        <f>M54</f>
        <v>23400</v>
      </c>
      <c r="S54" s="25">
        <f>SUM($D$7:D54)-SUM($M$7:M54)</f>
        <v>-280800</v>
      </c>
      <c r="T54" s="23">
        <f>S54/E54</f>
        <v>-305217.39130434784</v>
      </c>
      <c r="U54" s="23">
        <f>I54+L54</f>
        <v>700728.26086956554</v>
      </c>
      <c r="V54" s="23">
        <f>U54-T54-SUM($N$7:N54)/E54</f>
        <v>985492.56521739159</v>
      </c>
    </row>
    <row r="55" spans="1:22">
      <c r="A55" s="6" t="s">
        <v>74</v>
      </c>
      <c r="D55" s="26">
        <f>SUM(D7:D54)</f>
        <v>561600</v>
      </c>
      <c r="F55" s="27">
        <f>SUM(F7:F54)</f>
        <v>610434.78260869591</v>
      </c>
      <c r="G55" s="27">
        <f>SUM(G7:G54)</f>
        <v>0</v>
      </c>
      <c r="H55" s="27">
        <f>SUM(H7:H54)</f>
        <v>610434.78260869591</v>
      </c>
      <c r="I55" s="27">
        <f>I54</f>
        <v>610434.78260869591</v>
      </c>
      <c r="J55" s="27">
        <f>SUM(J7:J54)</f>
        <v>92836.956521739194</v>
      </c>
      <c r="K55" s="27">
        <f>SUM(K7:K54)</f>
        <v>90293.478260869626</v>
      </c>
      <c r="L55" s="27">
        <f>L54</f>
        <v>90293.478260869626</v>
      </c>
      <c r="M55" s="26">
        <f>SUM(M7:M54)</f>
        <v>842400</v>
      </c>
      <c r="N55" s="26">
        <f>SUM(N7:N54)</f>
        <v>18816.839999999997</v>
      </c>
      <c r="O55" s="26">
        <f>SUM(O7:O54)</f>
        <v>861216.83999999985</v>
      </c>
      <c r="P55" s="27">
        <f>SUM(P7:P54)</f>
        <v>936105.2608695653</v>
      </c>
      <c r="Q55" s="27">
        <f>SUM(Q7:Q54)</f>
        <v>-1456246.5652173923</v>
      </c>
      <c r="R55" s="26">
        <f>R54</f>
        <v>23400</v>
      </c>
      <c r="S55" s="26">
        <f>S54</f>
        <v>-280800</v>
      </c>
      <c r="T55" s="27">
        <f>T54</f>
        <v>-305217.39130434784</v>
      </c>
      <c r="U55" s="27">
        <f>U54</f>
        <v>700728.26086956554</v>
      </c>
      <c r="V55" s="27">
        <f>V54</f>
        <v>985492.56521739159</v>
      </c>
    </row>
  </sheetData>
  <autoFilter ref="A6:V54" xr:uid="{00000000-0009-0000-0000-000002000000}"/>
  <mergeCells count="11">
    <mergeCell ref="A4:C4"/>
    <mergeCell ref="E4:G4"/>
    <mergeCell ref="I4:K4"/>
    <mergeCell ref="M4:O4"/>
    <mergeCell ref="Q4:S4"/>
    <mergeCell ref="A1:V1"/>
    <mergeCell ref="A3:C3"/>
    <mergeCell ref="E3:G3"/>
    <mergeCell ref="I3:K3"/>
    <mergeCell ref="M3:O3"/>
    <mergeCell ref="Q3:S3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0" customWidth="1"/>
    <col min="2" max="2" width="13" customWidth="1"/>
    <col min="3" max="3" width="18" customWidth="1"/>
    <col min="4" max="4" width="8" customWidth="1"/>
    <col min="5" max="6" width="13" customWidth="1"/>
    <col min="7" max="7" width="10" customWidth="1"/>
    <col min="8" max="10" width="18" customWidth="1"/>
    <col min="11" max="11" width="13" customWidth="1"/>
    <col min="12" max="12" width="10" customWidth="1"/>
  </cols>
  <sheetData>
    <row r="1" spans="1:12" ht="24.75" customHeight="1">
      <c r="A1" s="5" t="s">
        <v>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ht="28.35">
      <c r="A3" s="18" t="s">
        <v>54</v>
      </c>
      <c r="B3" s="18" t="s">
        <v>76</v>
      </c>
      <c r="C3" s="18" t="s">
        <v>77</v>
      </c>
      <c r="D3" s="18" t="s">
        <v>78</v>
      </c>
      <c r="E3" s="18" t="s">
        <v>79</v>
      </c>
      <c r="F3" s="18" t="s">
        <v>80</v>
      </c>
      <c r="G3" s="18" t="s">
        <v>81</v>
      </c>
      <c r="H3" s="18" t="s">
        <v>82</v>
      </c>
      <c r="I3" s="18" t="s">
        <v>83</v>
      </c>
      <c r="J3" s="18" t="s">
        <v>84</v>
      </c>
      <c r="K3" s="18" t="s">
        <v>85</v>
      </c>
      <c r="L3" s="18" t="s">
        <v>86</v>
      </c>
    </row>
    <row r="4" spans="1:12">
      <c r="A4" s="12">
        <v>1</v>
      </c>
      <c r="B4" s="21">
        <f>EDATE(参数设置!$B$4,A4-1)</f>
        <v>46244</v>
      </c>
      <c r="C4" s="22">
        <f>参数设置!$B$5</f>
        <v>23400</v>
      </c>
      <c r="D4" s="12">
        <v>1</v>
      </c>
      <c r="E4" s="28">
        <f>IF(D4=1,B4,F3)</f>
        <v>46244</v>
      </c>
      <c r="F4" s="28">
        <f>IF(D4&lt;参数设置!$B$12,DATE(YEAR(EDATE(B4,D4+1)),MONTH(EDATE(B4,D4+1)),参数设置!$B$13),EDATE(B4,参数设置!$B$12))</f>
        <v>46300</v>
      </c>
      <c r="G4" s="20">
        <f>F4-E4</f>
        <v>56</v>
      </c>
      <c r="H4" s="25">
        <f>IF(D4=参数设置!$B$12,C4,0)</f>
        <v>0</v>
      </c>
      <c r="I4" s="25">
        <f>IF(L4=1,ROUND(C4*参数设置!$B$10*G4/参数设置!$B$11,参数设置!$B$14),0)</f>
        <v>120.12</v>
      </c>
      <c r="J4" s="25">
        <f>H4+I4</f>
        <v>120.12</v>
      </c>
      <c r="K4" s="28">
        <f>EDATE(B4,参数设置!$B$12)</f>
        <v>46609</v>
      </c>
      <c r="L4" s="20">
        <f>--(A4&lt;=参数设置!$B$6)</f>
        <v>1</v>
      </c>
    </row>
    <row r="5" spans="1:12">
      <c r="A5" s="12">
        <v>1</v>
      </c>
      <c r="B5" s="21">
        <f>EDATE(参数设置!$B$4,A5-1)</f>
        <v>46244</v>
      </c>
      <c r="C5" s="22">
        <f>参数设置!$B$5</f>
        <v>23400</v>
      </c>
      <c r="D5" s="12">
        <v>2</v>
      </c>
      <c r="E5" s="28">
        <f>IF(D5=1,B5,F4)</f>
        <v>46300</v>
      </c>
      <c r="F5" s="28">
        <f>IF(D5&lt;参数设置!$B$12,DATE(YEAR(EDATE(B5,D5+1)),MONTH(EDATE(B5,D5+1)),参数设置!$B$13),EDATE(B5,参数设置!$B$12))</f>
        <v>46331</v>
      </c>
      <c r="G5" s="20">
        <f>F5-E5</f>
        <v>31</v>
      </c>
      <c r="H5" s="25">
        <f>IF(D5=参数设置!$B$12,C5,0)</f>
        <v>0</v>
      </c>
      <c r="I5" s="25">
        <f>IF(L5=1,ROUND(C5*参数设置!$B$10*G5/参数设置!$B$11,参数设置!$B$14),0)</f>
        <v>66.5</v>
      </c>
      <c r="J5" s="25">
        <f>H5+I5</f>
        <v>66.5</v>
      </c>
      <c r="K5" s="28">
        <f>EDATE(B5,参数设置!$B$12)</f>
        <v>46609</v>
      </c>
      <c r="L5" s="20">
        <f>--(A5&lt;=参数设置!$B$6)</f>
        <v>1</v>
      </c>
    </row>
    <row r="6" spans="1:12">
      <c r="A6" s="12">
        <v>1</v>
      </c>
      <c r="B6" s="21">
        <f>EDATE(参数设置!$B$4,A6-1)</f>
        <v>46244</v>
      </c>
      <c r="C6" s="22">
        <f>参数设置!$B$5</f>
        <v>23400</v>
      </c>
      <c r="D6" s="12">
        <v>3</v>
      </c>
      <c r="E6" s="28">
        <f>IF(D6=1,B6,F5)</f>
        <v>46331</v>
      </c>
      <c r="F6" s="28">
        <f>IF(D6&lt;参数设置!$B$12,DATE(YEAR(EDATE(B6,D6+1)),MONTH(EDATE(B6,D6+1)),参数设置!$B$13),EDATE(B6,参数设置!$B$12))</f>
        <v>46361</v>
      </c>
      <c r="G6" s="20">
        <f>F6-E6</f>
        <v>30</v>
      </c>
      <c r="H6" s="25">
        <f>IF(D6=参数设置!$B$12,C6,0)</f>
        <v>0</v>
      </c>
      <c r="I6" s="25">
        <f>IF(L6=1,ROUND(C6*参数设置!$B$10*G6/参数设置!$B$11,参数设置!$B$14),0)</f>
        <v>64.349999999999994</v>
      </c>
      <c r="J6" s="25">
        <f>H6+I6</f>
        <v>64.349999999999994</v>
      </c>
      <c r="K6" s="28">
        <f>EDATE(B6,参数设置!$B$12)</f>
        <v>46609</v>
      </c>
      <c r="L6" s="20">
        <f>--(A6&lt;=参数设置!$B$6)</f>
        <v>1</v>
      </c>
    </row>
    <row r="7" spans="1:12">
      <c r="A7" s="12">
        <v>1</v>
      </c>
      <c r="B7" s="21">
        <f>EDATE(参数设置!$B$4,A7-1)</f>
        <v>46244</v>
      </c>
      <c r="C7" s="22">
        <f>参数设置!$B$5</f>
        <v>23400</v>
      </c>
      <c r="D7" s="12">
        <v>4</v>
      </c>
      <c r="E7" s="28">
        <f>IF(D7=1,B7,F6)</f>
        <v>46361</v>
      </c>
      <c r="F7" s="28">
        <f>IF(D7&lt;参数设置!$B$12,DATE(YEAR(EDATE(B7,D7+1)),MONTH(EDATE(B7,D7+1)),参数设置!$B$13),EDATE(B7,参数设置!$B$12))</f>
        <v>46392</v>
      </c>
      <c r="G7" s="20">
        <f>F7-E7</f>
        <v>31</v>
      </c>
      <c r="H7" s="25">
        <f>IF(D7=参数设置!$B$12,C7,0)</f>
        <v>0</v>
      </c>
      <c r="I7" s="25">
        <f>IF(L7=1,ROUND(C7*参数设置!$B$10*G7/参数设置!$B$11,参数设置!$B$14),0)</f>
        <v>66.5</v>
      </c>
      <c r="J7" s="25">
        <f>H7+I7</f>
        <v>66.5</v>
      </c>
      <c r="K7" s="28">
        <f>EDATE(B7,参数设置!$B$12)</f>
        <v>46609</v>
      </c>
      <c r="L7" s="20">
        <f>--(A7&lt;=参数设置!$B$6)</f>
        <v>1</v>
      </c>
    </row>
    <row r="8" spans="1:12">
      <c r="A8" s="12">
        <v>1</v>
      </c>
      <c r="B8" s="21">
        <f>EDATE(参数设置!$B$4,A8-1)</f>
        <v>46244</v>
      </c>
      <c r="C8" s="22">
        <f>参数设置!$B$5</f>
        <v>23400</v>
      </c>
      <c r="D8" s="12">
        <v>5</v>
      </c>
      <c r="E8" s="28">
        <f>IF(D8=1,B8,F7)</f>
        <v>46392</v>
      </c>
      <c r="F8" s="28">
        <f>IF(D8&lt;参数设置!$B$12,DATE(YEAR(EDATE(B8,D8+1)),MONTH(EDATE(B8,D8+1)),参数设置!$B$13),EDATE(B8,参数设置!$B$12))</f>
        <v>46423</v>
      </c>
      <c r="G8" s="20">
        <f>F8-E8</f>
        <v>31</v>
      </c>
      <c r="H8" s="25">
        <f>IF(D8=参数设置!$B$12,C8,0)</f>
        <v>0</v>
      </c>
      <c r="I8" s="25">
        <f>IF(L8=1,ROUND(C8*参数设置!$B$10*G8/参数设置!$B$11,参数设置!$B$14),0)</f>
        <v>66.5</v>
      </c>
      <c r="J8" s="25">
        <f>H8+I8</f>
        <v>66.5</v>
      </c>
      <c r="K8" s="28">
        <f>EDATE(B8,参数设置!$B$12)</f>
        <v>46609</v>
      </c>
      <c r="L8" s="20">
        <f>--(A8&lt;=参数设置!$B$6)</f>
        <v>1</v>
      </c>
    </row>
    <row r="9" spans="1:12">
      <c r="A9" s="12">
        <v>1</v>
      </c>
      <c r="B9" s="21">
        <f>EDATE(参数设置!$B$4,A9-1)</f>
        <v>46244</v>
      </c>
      <c r="C9" s="22">
        <f>参数设置!$B$5</f>
        <v>23400</v>
      </c>
      <c r="D9" s="12">
        <v>6</v>
      </c>
      <c r="E9" s="28">
        <f>IF(D9=1,B9,F8)</f>
        <v>46423</v>
      </c>
      <c r="F9" s="28">
        <f>IF(D9&lt;参数设置!$B$12,DATE(YEAR(EDATE(B9,D9+1)),MONTH(EDATE(B9,D9+1)),参数设置!$B$13),EDATE(B9,参数设置!$B$12))</f>
        <v>46451</v>
      </c>
      <c r="G9" s="20">
        <f>F9-E9</f>
        <v>28</v>
      </c>
      <c r="H9" s="25">
        <f>IF(D9=参数设置!$B$12,C9,0)</f>
        <v>0</v>
      </c>
      <c r="I9" s="25">
        <f>IF(L9=1,ROUND(C9*参数设置!$B$10*G9/参数设置!$B$11,参数设置!$B$14),0)</f>
        <v>60.06</v>
      </c>
      <c r="J9" s="25">
        <f>H9+I9</f>
        <v>60.06</v>
      </c>
      <c r="K9" s="28">
        <f>EDATE(B9,参数设置!$B$12)</f>
        <v>46609</v>
      </c>
      <c r="L9" s="20">
        <f>--(A9&lt;=参数设置!$B$6)</f>
        <v>1</v>
      </c>
    </row>
    <row r="10" spans="1:12">
      <c r="A10" s="12">
        <v>1</v>
      </c>
      <c r="B10" s="21">
        <f>EDATE(参数设置!$B$4,A10-1)</f>
        <v>46244</v>
      </c>
      <c r="C10" s="22">
        <f>参数设置!$B$5</f>
        <v>23400</v>
      </c>
      <c r="D10" s="12">
        <v>7</v>
      </c>
      <c r="E10" s="28">
        <f>IF(D10=1,B10,F9)</f>
        <v>46451</v>
      </c>
      <c r="F10" s="28">
        <f>IF(D10&lt;参数设置!$B$12,DATE(YEAR(EDATE(B10,D10+1)),MONTH(EDATE(B10,D10+1)),参数设置!$B$13),EDATE(B10,参数设置!$B$12))</f>
        <v>46482</v>
      </c>
      <c r="G10" s="20">
        <f>F10-E10</f>
        <v>31</v>
      </c>
      <c r="H10" s="25">
        <f>IF(D10=参数设置!$B$12,C10,0)</f>
        <v>0</v>
      </c>
      <c r="I10" s="25">
        <f>IF(L10=1,ROUND(C10*参数设置!$B$10*G10/参数设置!$B$11,参数设置!$B$14),0)</f>
        <v>66.5</v>
      </c>
      <c r="J10" s="25">
        <f>H10+I10</f>
        <v>66.5</v>
      </c>
      <c r="K10" s="28">
        <f>EDATE(B10,参数设置!$B$12)</f>
        <v>46609</v>
      </c>
      <c r="L10" s="20">
        <f>--(A10&lt;=参数设置!$B$6)</f>
        <v>1</v>
      </c>
    </row>
    <row r="11" spans="1:12">
      <c r="A11" s="12">
        <v>1</v>
      </c>
      <c r="B11" s="21">
        <f>EDATE(参数设置!$B$4,A11-1)</f>
        <v>46244</v>
      </c>
      <c r="C11" s="22">
        <f>参数设置!$B$5</f>
        <v>23400</v>
      </c>
      <c r="D11" s="12">
        <v>8</v>
      </c>
      <c r="E11" s="28">
        <f>IF(D11=1,B11,F10)</f>
        <v>46482</v>
      </c>
      <c r="F11" s="28">
        <f>IF(D11&lt;参数设置!$B$12,DATE(YEAR(EDATE(B11,D11+1)),MONTH(EDATE(B11,D11+1)),参数设置!$B$13),EDATE(B11,参数设置!$B$12))</f>
        <v>46512</v>
      </c>
      <c r="G11" s="20">
        <f>F11-E11</f>
        <v>30</v>
      </c>
      <c r="H11" s="25">
        <f>IF(D11=参数设置!$B$12,C11,0)</f>
        <v>0</v>
      </c>
      <c r="I11" s="25">
        <f>IF(L11=1,ROUND(C11*参数设置!$B$10*G11/参数设置!$B$11,参数设置!$B$14),0)</f>
        <v>64.349999999999994</v>
      </c>
      <c r="J11" s="25">
        <f>H11+I11</f>
        <v>64.349999999999994</v>
      </c>
      <c r="K11" s="28">
        <f>EDATE(B11,参数设置!$B$12)</f>
        <v>46609</v>
      </c>
      <c r="L11" s="20">
        <f>--(A11&lt;=参数设置!$B$6)</f>
        <v>1</v>
      </c>
    </row>
    <row r="12" spans="1:12">
      <c r="A12" s="12">
        <v>1</v>
      </c>
      <c r="B12" s="21">
        <f>EDATE(参数设置!$B$4,A12-1)</f>
        <v>46244</v>
      </c>
      <c r="C12" s="22">
        <f>参数设置!$B$5</f>
        <v>23400</v>
      </c>
      <c r="D12" s="12">
        <v>9</v>
      </c>
      <c r="E12" s="28">
        <f>IF(D12=1,B12,F11)</f>
        <v>46512</v>
      </c>
      <c r="F12" s="28">
        <f>IF(D12&lt;参数设置!$B$12,DATE(YEAR(EDATE(B12,D12+1)),MONTH(EDATE(B12,D12+1)),参数设置!$B$13),EDATE(B12,参数设置!$B$12))</f>
        <v>46543</v>
      </c>
      <c r="G12" s="20">
        <f>F12-E12</f>
        <v>31</v>
      </c>
      <c r="H12" s="25">
        <f>IF(D12=参数设置!$B$12,C12,0)</f>
        <v>0</v>
      </c>
      <c r="I12" s="25">
        <f>IF(L12=1,ROUND(C12*参数设置!$B$10*G12/参数设置!$B$11,参数设置!$B$14),0)</f>
        <v>66.5</v>
      </c>
      <c r="J12" s="25">
        <f>H12+I12</f>
        <v>66.5</v>
      </c>
      <c r="K12" s="28">
        <f>EDATE(B12,参数设置!$B$12)</f>
        <v>46609</v>
      </c>
      <c r="L12" s="20">
        <f>--(A12&lt;=参数设置!$B$6)</f>
        <v>1</v>
      </c>
    </row>
    <row r="13" spans="1:12">
      <c r="A13" s="12">
        <v>1</v>
      </c>
      <c r="B13" s="21">
        <f>EDATE(参数设置!$B$4,A13-1)</f>
        <v>46244</v>
      </c>
      <c r="C13" s="22">
        <f>参数设置!$B$5</f>
        <v>23400</v>
      </c>
      <c r="D13" s="12">
        <v>10</v>
      </c>
      <c r="E13" s="28">
        <f>IF(D13=1,B13,F12)</f>
        <v>46543</v>
      </c>
      <c r="F13" s="28">
        <f>IF(D13&lt;参数设置!$B$12,DATE(YEAR(EDATE(B13,D13+1)),MONTH(EDATE(B13,D13+1)),参数设置!$B$13),EDATE(B13,参数设置!$B$12))</f>
        <v>46573</v>
      </c>
      <c r="G13" s="20">
        <f>F13-E13</f>
        <v>30</v>
      </c>
      <c r="H13" s="25">
        <f>IF(D13=参数设置!$B$12,C13,0)</f>
        <v>0</v>
      </c>
      <c r="I13" s="25">
        <f>IF(L13=1,ROUND(C13*参数设置!$B$10*G13/参数设置!$B$11,参数设置!$B$14),0)</f>
        <v>64.349999999999994</v>
      </c>
      <c r="J13" s="25">
        <f>H13+I13</f>
        <v>64.349999999999994</v>
      </c>
      <c r="K13" s="28">
        <f>EDATE(B13,参数设置!$B$12)</f>
        <v>46609</v>
      </c>
      <c r="L13" s="20">
        <f>--(A13&lt;=参数设置!$B$6)</f>
        <v>1</v>
      </c>
    </row>
    <row r="14" spans="1:12">
      <c r="A14" s="12">
        <v>1</v>
      </c>
      <c r="B14" s="21">
        <f>EDATE(参数设置!$B$4,A14-1)</f>
        <v>46244</v>
      </c>
      <c r="C14" s="22">
        <f>参数设置!$B$5</f>
        <v>23400</v>
      </c>
      <c r="D14" s="12">
        <v>11</v>
      </c>
      <c r="E14" s="28">
        <f>IF(D14=1,B14,F13)</f>
        <v>46573</v>
      </c>
      <c r="F14" s="28">
        <f>IF(D14&lt;参数设置!$B$12,DATE(YEAR(EDATE(B14,D14+1)),MONTH(EDATE(B14,D14+1)),参数设置!$B$13),EDATE(B14,参数设置!$B$12))</f>
        <v>46604</v>
      </c>
      <c r="G14" s="20">
        <f>F14-E14</f>
        <v>31</v>
      </c>
      <c r="H14" s="25">
        <f>IF(D14=参数设置!$B$12,C14,0)</f>
        <v>0</v>
      </c>
      <c r="I14" s="25">
        <f>IF(L14=1,ROUND(C14*参数设置!$B$10*G14/参数设置!$B$11,参数设置!$B$14),0)</f>
        <v>66.5</v>
      </c>
      <c r="J14" s="25">
        <f>H14+I14</f>
        <v>66.5</v>
      </c>
      <c r="K14" s="28">
        <f>EDATE(B14,参数设置!$B$12)</f>
        <v>46609</v>
      </c>
      <c r="L14" s="20">
        <f>--(A14&lt;=参数设置!$B$6)</f>
        <v>1</v>
      </c>
    </row>
    <row r="15" spans="1:12">
      <c r="A15" s="12">
        <v>1</v>
      </c>
      <c r="B15" s="21">
        <f>EDATE(参数设置!$B$4,A15-1)</f>
        <v>46244</v>
      </c>
      <c r="C15" s="22">
        <f>参数设置!$B$5</f>
        <v>23400</v>
      </c>
      <c r="D15" s="12">
        <v>12</v>
      </c>
      <c r="E15" s="28">
        <f>IF(D15=1,B15,F14)</f>
        <v>46604</v>
      </c>
      <c r="F15" s="28">
        <f>IF(D15&lt;参数设置!$B$12,DATE(YEAR(EDATE(B15,D15+1)),MONTH(EDATE(B15,D15+1)),参数设置!$B$13),EDATE(B15,参数设置!$B$12))</f>
        <v>46609</v>
      </c>
      <c r="G15" s="20">
        <f>F15-E15</f>
        <v>5</v>
      </c>
      <c r="H15" s="25">
        <f>IF(D15=参数设置!$B$12,C15,0)</f>
        <v>23400</v>
      </c>
      <c r="I15" s="25">
        <f>IF(L15=1,ROUND(C15*参数设置!$B$10*G15/参数设置!$B$11,参数设置!$B$14),0)</f>
        <v>10.73</v>
      </c>
      <c r="J15" s="25">
        <f>H15+I15</f>
        <v>23410.73</v>
      </c>
      <c r="K15" s="28">
        <f>EDATE(B15,参数设置!$B$12)</f>
        <v>46609</v>
      </c>
      <c r="L15" s="20">
        <f>--(A15&lt;=参数设置!$B$6)</f>
        <v>1</v>
      </c>
    </row>
    <row r="16" spans="1:12">
      <c r="A16" s="12">
        <v>2</v>
      </c>
      <c r="B16" s="21">
        <f>EDATE(参数设置!$B$4,A16-1)</f>
        <v>46275</v>
      </c>
      <c r="C16" s="22">
        <f>参数设置!$B$5</f>
        <v>23400</v>
      </c>
      <c r="D16" s="12">
        <v>1</v>
      </c>
      <c r="E16" s="28">
        <f>IF(D16=1,B16,F15)</f>
        <v>46275</v>
      </c>
      <c r="F16" s="28">
        <f>IF(D16&lt;参数设置!$B$12,DATE(YEAR(EDATE(B16,D16+1)),MONTH(EDATE(B16,D16+1)),参数设置!$B$13),EDATE(B16,参数设置!$B$12))</f>
        <v>46331</v>
      </c>
      <c r="G16" s="20">
        <f>F16-E16</f>
        <v>56</v>
      </c>
      <c r="H16" s="25">
        <f>IF(D16=参数设置!$B$12,C16,0)</f>
        <v>0</v>
      </c>
      <c r="I16" s="25">
        <f>IF(L16=1,ROUND(C16*参数设置!$B$10*G16/参数设置!$B$11,参数设置!$B$14),0)</f>
        <v>120.12</v>
      </c>
      <c r="J16" s="25">
        <f>H16+I16</f>
        <v>120.12</v>
      </c>
      <c r="K16" s="28">
        <f>EDATE(B16,参数设置!$B$12)</f>
        <v>46640</v>
      </c>
      <c r="L16" s="20">
        <f>--(A16&lt;=参数设置!$B$6)</f>
        <v>1</v>
      </c>
    </row>
    <row r="17" spans="1:12">
      <c r="A17" s="12">
        <v>2</v>
      </c>
      <c r="B17" s="21">
        <f>EDATE(参数设置!$B$4,A17-1)</f>
        <v>46275</v>
      </c>
      <c r="C17" s="22">
        <f>参数设置!$B$5</f>
        <v>23400</v>
      </c>
      <c r="D17" s="12">
        <v>2</v>
      </c>
      <c r="E17" s="28">
        <f>IF(D17=1,B17,F16)</f>
        <v>46331</v>
      </c>
      <c r="F17" s="28">
        <f>IF(D17&lt;参数设置!$B$12,DATE(YEAR(EDATE(B17,D17+1)),MONTH(EDATE(B17,D17+1)),参数设置!$B$13),EDATE(B17,参数设置!$B$12))</f>
        <v>46361</v>
      </c>
      <c r="G17" s="20">
        <f>F17-E17</f>
        <v>30</v>
      </c>
      <c r="H17" s="25">
        <f>IF(D17=参数设置!$B$12,C17,0)</f>
        <v>0</v>
      </c>
      <c r="I17" s="25">
        <f>IF(L17=1,ROUND(C17*参数设置!$B$10*G17/参数设置!$B$11,参数设置!$B$14),0)</f>
        <v>64.349999999999994</v>
      </c>
      <c r="J17" s="25">
        <f>H17+I17</f>
        <v>64.349999999999994</v>
      </c>
      <c r="K17" s="28">
        <f>EDATE(B17,参数设置!$B$12)</f>
        <v>46640</v>
      </c>
      <c r="L17" s="20">
        <f>--(A17&lt;=参数设置!$B$6)</f>
        <v>1</v>
      </c>
    </row>
    <row r="18" spans="1:12">
      <c r="A18" s="12">
        <v>2</v>
      </c>
      <c r="B18" s="21">
        <f>EDATE(参数设置!$B$4,A18-1)</f>
        <v>46275</v>
      </c>
      <c r="C18" s="22">
        <f>参数设置!$B$5</f>
        <v>23400</v>
      </c>
      <c r="D18" s="12">
        <v>3</v>
      </c>
      <c r="E18" s="28">
        <f>IF(D18=1,B18,F17)</f>
        <v>46361</v>
      </c>
      <c r="F18" s="28">
        <f>IF(D18&lt;参数设置!$B$12,DATE(YEAR(EDATE(B18,D18+1)),MONTH(EDATE(B18,D18+1)),参数设置!$B$13),EDATE(B18,参数设置!$B$12))</f>
        <v>46392</v>
      </c>
      <c r="G18" s="20">
        <f>F18-E18</f>
        <v>31</v>
      </c>
      <c r="H18" s="25">
        <f>IF(D18=参数设置!$B$12,C18,0)</f>
        <v>0</v>
      </c>
      <c r="I18" s="25">
        <f>IF(L18=1,ROUND(C18*参数设置!$B$10*G18/参数设置!$B$11,参数设置!$B$14),0)</f>
        <v>66.5</v>
      </c>
      <c r="J18" s="25">
        <f>H18+I18</f>
        <v>66.5</v>
      </c>
      <c r="K18" s="28">
        <f>EDATE(B18,参数设置!$B$12)</f>
        <v>46640</v>
      </c>
      <c r="L18" s="20">
        <f>--(A18&lt;=参数设置!$B$6)</f>
        <v>1</v>
      </c>
    </row>
    <row r="19" spans="1:12">
      <c r="A19" s="12">
        <v>2</v>
      </c>
      <c r="B19" s="21">
        <f>EDATE(参数设置!$B$4,A19-1)</f>
        <v>46275</v>
      </c>
      <c r="C19" s="22">
        <f>参数设置!$B$5</f>
        <v>23400</v>
      </c>
      <c r="D19" s="12">
        <v>4</v>
      </c>
      <c r="E19" s="28">
        <f>IF(D19=1,B19,F18)</f>
        <v>46392</v>
      </c>
      <c r="F19" s="28">
        <f>IF(D19&lt;参数设置!$B$12,DATE(YEAR(EDATE(B19,D19+1)),MONTH(EDATE(B19,D19+1)),参数设置!$B$13),EDATE(B19,参数设置!$B$12))</f>
        <v>46423</v>
      </c>
      <c r="G19" s="20">
        <f>F19-E19</f>
        <v>31</v>
      </c>
      <c r="H19" s="25">
        <f>IF(D19=参数设置!$B$12,C19,0)</f>
        <v>0</v>
      </c>
      <c r="I19" s="25">
        <f>IF(L19=1,ROUND(C19*参数设置!$B$10*G19/参数设置!$B$11,参数设置!$B$14),0)</f>
        <v>66.5</v>
      </c>
      <c r="J19" s="25">
        <f>H19+I19</f>
        <v>66.5</v>
      </c>
      <c r="K19" s="28">
        <f>EDATE(B19,参数设置!$B$12)</f>
        <v>46640</v>
      </c>
      <c r="L19" s="20">
        <f>--(A19&lt;=参数设置!$B$6)</f>
        <v>1</v>
      </c>
    </row>
    <row r="20" spans="1:12">
      <c r="A20" s="12">
        <v>2</v>
      </c>
      <c r="B20" s="21">
        <f>EDATE(参数设置!$B$4,A20-1)</f>
        <v>46275</v>
      </c>
      <c r="C20" s="22">
        <f>参数设置!$B$5</f>
        <v>23400</v>
      </c>
      <c r="D20" s="12">
        <v>5</v>
      </c>
      <c r="E20" s="28">
        <f>IF(D20=1,B20,F19)</f>
        <v>46423</v>
      </c>
      <c r="F20" s="28">
        <f>IF(D20&lt;参数设置!$B$12,DATE(YEAR(EDATE(B20,D20+1)),MONTH(EDATE(B20,D20+1)),参数设置!$B$13),EDATE(B20,参数设置!$B$12))</f>
        <v>46451</v>
      </c>
      <c r="G20" s="20">
        <f>F20-E20</f>
        <v>28</v>
      </c>
      <c r="H20" s="25">
        <f>IF(D20=参数设置!$B$12,C20,0)</f>
        <v>0</v>
      </c>
      <c r="I20" s="25">
        <f>IF(L20=1,ROUND(C20*参数设置!$B$10*G20/参数设置!$B$11,参数设置!$B$14),0)</f>
        <v>60.06</v>
      </c>
      <c r="J20" s="25">
        <f>H20+I20</f>
        <v>60.06</v>
      </c>
      <c r="K20" s="28">
        <f>EDATE(B20,参数设置!$B$12)</f>
        <v>46640</v>
      </c>
      <c r="L20" s="20">
        <f>--(A20&lt;=参数设置!$B$6)</f>
        <v>1</v>
      </c>
    </row>
    <row r="21" spans="1:12">
      <c r="A21" s="12">
        <v>2</v>
      </c>
      <c r="B21" s="21">
        <f>EDATE(参数设置!$B$4,A21-1)</f>
        <v>46275</v>
      </c>
      <c r="C21" s="22">
        <f>参数设置!$B$5</f>
        <v>23400</v>
      </c>
      <c r="D21" s="12">
        <v>6</v>
      </c>
      <c r="E21" s="28">
        <f>IF(D21=1,B21,F20)</f>
        <v>46451</v>
      </c>
      <c r="F21" s="28">
        <f>IF(D21&lt;参数设置!$B$12,DATE(YEAR(EDATE(B21,D21+1)),MONTH(EDATE(B21,D21+1)),参数设置!$B$13),EDATE(B21,参数设置!$B$12))</f>
        <v>46482</v>
      </c>
      <c r="G21" s="20">
        <f>F21-E21</f>
        <v>31</v>
      </c>
      <c r="H21" s="25">
        <f>IF(D21=参数设置!$B$12,C21,0)</f>
        <v>0</v>
      </c>
      <c r="I21" s="25">
        <f>IF(L21=1,ROUND(C21*参数设置!$B$10*G21/参数设置!$B$11,参数设置!$B$14),0)</f>
        <v>66.5</v>
      </c>
      <c r="J21" s="25">
        <f>H21+I21</f>
        <v>66.5</v>
      </c>
      <c r="K21" s="28">
        <f>EDATE(B21,参数设置!$B$12)</f>
        <v>46640</v>
      </c>
      <c r="L21" s="20">
        <f>--(A21&lt;=参数设置!$B$6)</f>
        <v>1</v>
      </c>
    </row>
    <row r="22" spans="1:12">
      <c r="A22" s="12">
        <v>2</v>
      </c>
      <c r="B22" s="21">
        <f>EDATE(参数设置!$B$4,A22-1)</f>
        <v>46275</v>
      </c>
      <c r="C22" s="22">
        <f>参数设置!$B$5</f>
        <v>23400</v>
      </c>
      <c r="D22" s="12">
        <v>7</v>
      </c>
      <c r="E22" s="28">
        <f>IF(D22=1,B22,F21)</f>
        <v>46482</v>
      </c>
      <c r="F22" s="28">
        <f>IF(D22&lt;参数设置!$B$12,DATE(YEAR(EDATE(B22,D22+1)),MONTH(EDATE(B22,D22+1)),参数设置!$B$13),EDATE(B22,参数设置!$B$12))</f>
        <v>46512</v>
      </c>
      <c r="G22" s="20">
        <f>F22-E22</f>
        <v>30</v>
      </c>
      <c r="H22" s="25">
        <f>IF(D22=参数设置!$B$12,C22,0)</f>
        <v>0</v>
      </c>
      <c r="I22" s="25">
        <f>IF(L22=1,ROUND(C22*参数设置!$B$10*G22/参数设置!$B$11,参数设置!$B$14),0)</f>
        <v>64.349999999999994</v>
      </c>
      <c r="J22" s="25">
        <f>H22+I22</f>
        <v>64.349999999999994</v>
      </c>
      <c r="K22" s="28">
        <f>EDATE(B22,参数设置!$B$12)</f>
        <v>46640</v>
      </c>
      <c r="L22" s="20">
        <f>--(A22&lt;=参数设置!$B$6)</f>
        <v>1</v>
      </c>
    </row>
    <row r="23" spans="1:12">
      <c r="A23" s="12">
        <v>2</v>
      </c>
      <c r="B23" s="21">
        <f>EDATE(参数设置!$B$4,A23-1)</f>
        <v>46275</v>
      </c>
      <c r="C23" s="22">
        <f>参数设置!$B$5</f>
        <v>23400</v>
      </c>
      <c r="D23" s="12">
        <v>8</v>
      </c>
      <c r="E23" s="28">
        <f>IF(D23=1,B23,F22)</f>
        <v>46512</v>
      </c>
      <c r="F23" s="28">
        <f>IF(D23&lt;参数设置!$B$12,DATE(YEAR(EDATE(B23,D23+1)),MONTH(EDATE(B23,D23+1)),参数设置!$B$13),EDATE(B23,参数设置!$B$12))</f>
        <v>46543</v>
      </c>
      <c r="G23" s="20">
        <f>F23-E23</f>
        <v>31</v>
      </c>
      <c r="H23" s="25">
        <f>IF(D23=参数设置!$B$12,C23,0)</f>
        <v>0</v>
      </c>
      <c r="I23" s="25">
        <f>IF(L23=1,ROUND(C23*参数设置!$B$10*G23/参数设置!$B$11,参数设置!$B$14),0)</f>
        <v>66.5</v>
      </c>
      <c r="J23" s="25">
        <f>H23+I23</f>
        <v>66.5</v>
      </c>
      <c r="K23" s="28">
        <f>EDATE(B23,参数设置!$B$12)</f>
        <v>46640</v>
      </c>
      <c r="L23" s="20">
        <f>--(A23&lt;=参数设置!$B$6)</f>
        <v>1</v>
      </c>
    </row>
    <row r="24" spans="1:12">
      <c r="A24" s="12">
        <v>2</v>
      </c>
      <c r="B24" s="21">
        <f>EDATE(参数设置!$B$4,A24-1)</f>
        <v>46275</v>
      </c>
      <c r="C24" s="22">
        <f>参数设置!$B$5</f>
        <v>23400</v>
      </c>
      <c r="D24" s="12">
        <v>9</v>
      </c>
      <c r="E24" s="28">
        <f>IF(D24=1,B24,F23)</f>
        <v>46543</v>
      </c>
      <c r="F24" s="28">
        <f>IF(D24&lt;参数设置!$B$12,DATE(YEAR(EDATE(B24,D24+1)),MONTH(EDATE(B24,D24+1)),参数设置!$B$13),EDATE(B24,参数设置!$B$12))</f>
        <v>46573</v>
      </c>
      <c r="G24" s="20">
        <f>F24-E24</f>
        <v>30</v>
      </c>
      <c r="H24" s="25">
        <f>IF(D24=参数设置!$B$12,C24,0)</f>
        <v>0</v>
      </c>
      <c r="I24" s="25">
        <f>IF(L24=1,ROUND(C24*参数设置!$B$10*G24/参数设置!$B$11,参数设置!$B$14),0)</f>
        <v>64.349999999999994</v>
      </c>
      <c r="J24" s="25">
        <f>H24+I24</f>
        <v>64.349999999999994</v>
      </c>
      <c r="K24" s="28">
        <f>EDATE(B24,参数设置!$B$12)</f>
        <v>46640</v>
      </c>
      <c r="L24" s="20">
        <f>--(A24&lt;=参数设置!$B$6)</f>
        <v>1</v>
      </c>
    </row>
    <row r="25" spans="1:12">
      <c r="A25" s="12">
        <v>2</v>
      </c>
      <c r="B25" s="21">
        <f>EDATE(参数设置!$B$4,A25-1)</f>
        <v>46275</v>
      </c>
      <c r="C25" s="22">
        <f>参数设置!$B$5</f>
        <v>23400</v>
      </c>
      <c r="D25" s="12">
        <v>10</v>
      </c>
      <c r="E25" s="28">
        <f>IF(D25=1,B25,F24)</f>
        <v>46573</v>
      </c>
      <c r="F25" s="28">
        <f>IF(D25&lt;参数设置!$B$12,DATE(YEAR(EDATE(B25,D25+1)),MONTH(EDATE(B25,D25+1)),参数设置!$B$13),EDATE(B25,参数设置!$B$12))</f>
        <v>46604</v>
      </c>
      <c r="G25" s="20">
        <f>F25-E25</f>
        <v>31</v>
      </c>
      <c r="H25" s="25">
        <f>IF(D25=参数设置!$B$12,C25,0)</f>
        <v>0</v>
      </c>
      <c r="I25" s="25">
        <f>IF(L25=1,ROUND(C25*参数设置!$B$10*G25/参数设置!$B$11,参数设置!$B$14),0)</f>
        <v>66.5</v>
      </c>
      <c r="J25" s="25">
        <f>H25+I25</f>
        <v>66.5</v>
      </c>
      <c r="K25" s="28">
        <f>EDATE(B25,参数设置!$B$12)</f>
        <v>46640</v>
      </c>
      <c r="L25" s="20">
        <f>--(A25&lt;=参数设置!$B$6)</f>
        <v>1</v>
      </c>
    </row>
    <row r="26" spans="1:12">
      <c r="A26" s="12">
        <v>2</v>
      </c>
      <c r="B26" s="21">
        <f>EDATE(参数设置!$B$4,A26-1)</f>
        <v>46275</v>
      </c>
      <c r="C26" s="22">
        <f>参数设置!$B$5</f>
        <v>23400</v>
      </c>
      <c r="D26" s="12">
        <v>11</v>
      </c>
      <c r="E26" s="28">
        <f>IF(D26=1,B26,F25)</f>
        <v>46604</v>
      </c>
      <c r="F26" s="28">
        <f>IF(D26&lt;参数设置!$B$12,DATE(YEAR(EDATE(B26,D26+1)),MONTH(EDATE(B26,D26+1)),参数设置!$B$13),EDATE(B26,参数设置!$B$12))</f>
        <v>46635</v>
      </c>
      <c r="G26" s="20">
        <f>F26-E26</f>
        <v>31</v>
      </c>
      <c r="H26" s="25">
        <f>IF(D26=参数设置!$B$12,C26,0)</f>
        <v>0</v>
      </c>
      <c r="I26" s="25">
        <f>IF(L26=1,ROUND(C26*参数设置!$B$10*G26/参数设置!$B$11,参数设置!$B$14),0)</f>
        <v>66.5</v>
      </c>
      <c r="J26" s="25">
        <f>H26+I26</f>
        <v>66.5</v>
      </c>
      <c r="K26" s="28">
        <f>EDATE(B26,参数设置!$B$12)</f>
        <v>46640</v>
      </c>
      <c r="L26" s="20">
        <f>--(A26&lt;=参数设置!$B$6)</f>
        <v>1</v>
      </c>
    </row>
    <row r="27" spans="1:12">
      <c r="A27" s="12">
        <v>2</v>
      </c>
      <c r="B27" s="21">
        <f>EDATE(参数设置!$B$4,A27-1)</f>
        <v>46275</v>
      </c>
      <c r="C27" s="22">
        <f>参数设置!$B$5</f>
        <v>23400</v>
      </c>
      <c r="D27" s="12">
        <v>12</v>
      </c>
      <c r="E27" s="28">
        <f>IF(D27=1,B27,F26)</f>
        <v>46635</v>
      </c>
      <c r="F27" s="28">
        <f>IF(D27&lt;参数设置!$B$12,DATE(YEAR(EDATE(B27,D27+1)),MONTH(EDATE(B27,D27+1)),参数设置!$B$13),EDATE(B27,参数设置!$B$12))</f>
        <v>46640</v>
      </c>
      <c r="G27" s="20">
        <f>F27-E27</f>
        <v>5</v>
      </c>
      <c r="H27" s="25">
        <f>IF(D27=参数设置!$B$12,C27,0)</f>
        <v>23400</v>
      </c>
      <c r="I27" s="25">
        <f>IF(L27=1,ROUND(C27*参数设置!$B$10*G27/参数设置!$B$11,参数设置!$B$14),0)</f>
        <v>10.73</v>
      </c>
      <c r="J27" s="25">
        <f>H27+I27</f>
        <v>23410.73</v>
      </c>
      <c r="K27" s="28">
        <f>EDATE(B27,参数设置!$B$12)</f>
        <v>46640</v>
      </c>
      <c r="L27" s="20">
        <f>--(A27&lt;=参数设置!$B$6)</f>
        <v>1</v>
      </c>
    </row>
    <row r="28" spans="1:12">
      <c r="A28" s="12">
        <v>3</v>
      </c>
      <c r="B28" s="21">
        <f>EDATE(参数设置!$B$4,A28-1)</f>
        <v>46305</v>
      </c>
      <c r="C28" s="22">
        <f>参数设置!$B$5</f>
        <v>23400</v>
      </c>
      <c r="D28" s="12">
        <v>1</v>
      </c>
      <c r="E28" s="28">
        <f>IF(D28=1,B28,F27)</f>
        <v>46305</v>
      </c>
      <c r="F28" s="28">
        <f>IF(D28&lt;参数设置!$B$12,DATE(YEAR(EDATE(B28,D28+1)),MONTH(EDATE(B28,D28+1)),参数设置!$B$13),EDATE(B28,参数设置!$B$12))</f>
        <v>46361</v>
      </c>
      <c r="G28" s="20">
        <f>F28-E28</f>
        <v>56</v>
      </c>
      <c r="H28" s="25">
        <f>IF(D28=参数设置!$B$12,C28,0)</f>
        <v>0</v>
      </c>
      <c r="I28" s="25">
        <f>IF(L28=1,ROUND(C28*参数设置!$B$10*G28/参数设置!$B$11,参数设置!$B$14),0)</f>
        <v>120.12</v>
      </c>
      <c r="J28" s="25">
        <f>H28+I28</f>
        <v>120.12</v>
      </c>
      <c r="K28" s="28">
        <f>EDATE(B28,参数设置!$B$12)</f>
        <v>46670</v>
      </c>
      <c r="L28" s="20">
        <f>--(A28&lt;=参数设置!$B$6)</f>
        <v>1</v>
      </c>
    </row>
    <row r="29" spans="1:12">
      <c r="A29" s="12">
        <v>3</v>
      </c>
      <c r="B29" s="21">
        <f>EDATE(参数设置!$B$4,A29-1)</f>
        <v>46305</v>
      </c>
      <c r="C29" s="22">
        <f>参数设置!$B$5</f>
        <v>23400</v>
      </c>
      <c r="D29" s="12">
        <v>2</v>
      </c>
      <c r="E29" s="28">
        <f>IF(D29=1,B29,F28)</f>
        <v>46361</v>
      </c>
      <c r="F29" s="28">
        <f>IF(D29&lt;参数设置!$B$12,DATE(YEAR(EDATE(B29,D29+1)),MONTH(EDATE(B29,D29+1)),参数设置!$B$13),EDATE(B29,参数设置!$B$12))</f>
        <v>46392</v>
      </c>
      <c r="G29" s="20">
        <f>F29-E29</f>
        <v>31</v>
      </c>
      <c r="H29" s="25">
        <f>IF(D29=参数设置!$B$12,C29,0)</f>
        <v>0</v>
      </c>
      <c r="I29" s="25">
        <f>IF(L29=1,ROUND(C29*参数设置!$B$10*G29/参数设置!$B$11,参数设置!$B$14),0)</f>
        <v>66.5</v>
      </c>
      <c r="J29" s="25">
        <f>H29+I29</f>
        <v>66.5</v>
      </c>
      <c r="K29" s="28">
        <f>EDATE(B29,参数设置!$B$12)</f>
        <v>46670</v>
      </c>
      <c r="L29" s="20">
        <f>--(A29&lt;=参数设置!$B$6)</f>
        <v>1</v>
      </c>
    </row>
    <row r="30" spans="1:12">
      <c r="A30" s="12">
        <v>3</v>
      </c>
      <c r="B30" s="21">
        <f>EDATE(参数设置!$B$4,A30-1)</f>
        <v>46305</v>
      </c>
      <c r="C30" s="22">
        <f>参数设置!$B$5</f>
        <v>23400</v>
      </c>
      <c r="D30" s="12">
        <v>3</v>
      </c>
      <c r="E30" s="28">
        <f>IF(D30=1,B30,F29)</f>
        <v>46392</v>
      </c>
      <c r="F30" s="28">
        <f>IF(D30&lt;参数设置!$B$12,DATE(YEAR(EDATE(B30,D30+1)),MONTH(EDATE(B30,D30+1)),参数设置!$B$13),EDATE(B30,参数设置!$B$12))</f>
        <v>46423</v>
      </c>
      <c r="G30" s="20">
        <f>F30-E30</f>
        <v>31</v>
      </c>
      <c r="H30" s="25">
        <f>IF(D30=参数设置!$B$12,C30,0)</f>
        <v>0</v>
      </c>
      <c r="I30" s="25">
        <f>IF(L30=1,ROUND(C30*参数设置!$B$10*G30/参数设置!$B$11,参数设置!$B$14),0)</f>
        <v>66.5</v>
      </c>
      <c r="J30" s="25">
        <f>H30+I30</f>
        <v>66.5</v>
      </c>
      <c r="K30" s="28">
        <f>EDATE(B30,参数设置!$B$12)</f>
        <v>46670</v>
      </c>
      <c r="L30" s="20">
        <f>--(A30&lt;=参数设置!$B$6)</f>
        <v>1</v>
      </c>
    </row>
    <row r="31" spans="1:12">
      <c r="A31" s="12">
        <v>3</v>
      </c>
      <c r="B31" s="21">
        <f>EDATE(参数设置!$B$4,A31-1)</f>
        <v>46305</v>
      </c>
      <c r="C31" s="22">
        <f>参数设置!$B$5</f>
        <v>23400</v>
      </c>
      <c r="D31" s="12">
        <v>4</v>
      </c>
      <c r="E31" s="28">
        <f>IF(D31=1,B31,F30)</f>
        <v>46423</v>
      </c>
      <c r="F31" s="28">
        <f>IF(D31&lt;参数设置!$B$12,DATE(YEAR(EDATE(B31,D31+1)),MONTH(EDATE(B31,D31+1)),参数设置!$B$13),EDATE(B31,参数设置!$B$12))</f>
        <v>46451</v>
      </c>
      <c r="G31" s="20">
        <f>F31-E31</f>
        <v>28</v>
      </c>
      <c r="H31" s="25">
        <f>IF(D31=参数设置!$B$12,C31,0)</f>
        <v>0</v>
      </c>
      <c r="I31" s="25">
        <f>IF(L31=1,ROUND(C31*参数设置!$B$10*G31/参数设置!$B$11,参数设置!$B$14),0)</f>
        <v>60.06</v>
      </c>
      <c r="J31" s="25">
        <f>H31+I31</f>
        <v>60.06</v>
      </c>
      <c r="K31" s="28">
        <f>EDATE(B31,参数设置!$B$12)</f>
        <v>46670</v>
      </c>
      <c r="L31" s="20">
        <f>--(A31&lt;=参数设置!$B$6)</f>
        <v>1</v>
      </c>
    </row>
    <row r="32" spans="1:12">
      <c r="A32" s="12">
        <v>3</v>
      </c>
      <c r="B32" s="21">
        <f>EDATE(参数设置!$B$4,A32-1)</f>
        <v>46305</v>
      </c>
      <c r="C32" s="22">
        <f>参数设置!$B$5</f>
        <v>23400</v>
      </c>
      <c r="D32" s="12">
        <v>5</v>
      </c>
      <c r="E32" s="28">
        <f>IF(D32=1,B32,F31)</f>
        <v>46451</v>
      </c>
      <c r="F32" s="28">
        <f>IF(D32&lt;参数设置!$B$12,DATE(YEAR(EDATE(B32,D32+1)),MONTH(EDATE(B32,D32+1)),参数设置!$B$13),EDATE(B32,参数设置!$B$12))</f>
        <v>46482</v>
      </c>
      <c r="G32" s="20">
        <f>F32-E32</f>
        <v>31</v>
      </c>
      <c r="H32" s="25">
        <f>IF(D32=参数设置!$B$12,C32,0)</f>
        <v>0</v>
      </c>
      <c r="I32" s="25">
        <f>IF(L32=1,ROUND(C32*参数设置!$B$10*G32/参数设置!$B$11,参数设置!$B$14),0)</f>
        <v>66.5</v>
      </c>
      <c r="J32" s="25">
        <f>H32+I32</f>
        <v>66.5</v>
      </c>
      <c r="K32" s="28">
        <f>EDATE(B32,参数设置!$B$12)</f>
        <v>46670</v>
      </c>
      <c r="L32" s="20">
        <f>--(A32&lt;=参数设置!$B$6)</f>
        <v>1</v>
      </c>
    </row>
    <row r="33" spans="1:12">
      <c r="A33" s="12">
        <v>3</v>
      </c>
      <c r="B33" s="21">
        <f>EDATE(参数设置!$B$4,A33-1)</f>
        <v>46305</v>
      </c>
      <c r="C33" s="22">
        <f>参数设置!$B$5</f>
        <v>23400</v>
      </c>
      <c r="D33" s="12">
        <v>6</v>
      </c>
      <c r="E33" s="28">
        <f>IF(D33=1,B33,F32)</f>
        <v>46482</v>
      </c>
      <c r="F33" s="28">
        <f>IF(D33&lt;参数设置!$B$12,DATE(YEAR(EDATE(B33,D33+1)),MONTH(EDATE(B33,D33+1)),参数设置!$B$13),EDATE(B33,参数设置!$B$12))</f>
        <v>46512</v>
      </c>
      <c r="G33" s="20">
        <f>F33-E33</f>
        <v>30</v>
      </c>
      <c r="H33" s="25">
        <f>IF(D33=参数设置!$B$12,C33,0)</f>
        <v>0</v>
      </c>
      <c r="I33" s="25">
        <f>IF(L33=1,ROUND(C33*参数设置!$B$10*G33/参数设置!$B$11,参数设置!$B$14),0)</f>
        <v>64.349999999999994</v>
      </c>
      <c r="J33" s="25">
        <f>H33+I33</f>
        <v>64.349999999999994</v>
      </c>
      <c r="K33" s="28">
        <f>EDATE(B33,参数设置!$B$12)</f>
        <v>46670</v>
      </c>
      <c r="L33" s="20">
        <f>--(A33&lt;=参数设置!$B$6)</f>
        <v>1</v>
      </c>
    </row>
    <row r="34" spans="1:12">
      <c r="A34" s="12">
        <v>3</v>
      </c>
      <c r="B34" s="21">
        <f>EDATE(参数设置!$B$4,A34-1)</f>
        <v>46305</v>
      </c>
      <c r="C34" s="22">
        <f>参数设置!$B$5</f>
        <v>23400</v>
      </c>
      <c r="D34" s="12">
        <v>7</v>
      </c>
      <c r="E34" s="28">
        <f>IF(D34=1,B34,F33)</f>
        <v>46512</v>
      </c>
      <c r="F34" s="28">
        <f>IF(D34&lt;参数设置!$B$12,DATE(YEAR(EDATE(B34,D34+1)),MONTH(EDATE(B34,D34+1)),参数设置!$B$13),EDATE(B34,参数设置!$B$12))</f>
        <v>46543</v>
      </c>
      <c r="G34" s="20">
        <f>F34-E34</f>
        <v>31</v>
      </c>
      <c r="H34" s="25">
        <f>IF(D34=参数设置!$B$12,C34,0)</f>
        <v>0</v>
      </c>
      <c r="I34" s="25">
        <f>IF(L34=1,ROUND(C34*参数设置!$B$10*G34/参数设置!$B$11,参数设置!$B$14),0)</f>
        <v>66.5</v>
      </c>
      <c r="J34" s="25">
        <f>H34+I34</f>
        <v>66.5</v>
      </c>
      <c r="K34" s="28">
        <f>EDATE(B34,参数设置!$B$12)</f>
        <v>46670</v>
      </c>
      <c r="L34" s="20">
        <f>--(A34&lt;=参数设置!$B$6)</f>
        <v>1</v>
      </c>
    </row>
    <row r="35" spans="1:12">
      <c r="A35" s="12">
        <v>3</v>
      </c>
      <c r="B35" s="21">
        <f>EDATE(参数设置!$B$4,A35-1)</f>
        <v>46305</v>
      </c>
      <c r="C35" s="22">
        <f>参数设置!$B$5</f>
        <v>23400</v>
      </c>
      <c r="D35" s="12">
        <v>8</v>
      </c>
      <c r="E35" s="28">
        <f>IF(D35=1,B35,F34)</f>
        <v>46543</v>
      </c>
      <c r="F35" s="28">
        <f>IF(D35&lt;参数设置!$B$12,DATE(YEAR(EDATE(B35,D35+1)),MONTH(EDATE(B35,D35+1)),参数设置!$B$13),EDATE(B35,参数设置!$B$12))</f>
        <v>46573</v>
      </c>
      <c r="G35" s="20">
        <f>F35-E35</f>
        <v>30</v>
      </c>
      <c r="H35" s="25">
        <f>IF(D35=参数设置!$B$12,C35,0)</f>
        <v>0</v>
      </c>
      <c r="I35" s="25">
        <f>IF(L35=1,ROUND(C35*参数设置!$B$10*G35/参数设置!$B$11,参数设置!$B$14),0)</f>
        <v>64.349999999999994</v>
      </c>
      <c r="J35" s="25">
        <f>H35+I35</f>
        <v>64.349999999999994</v>
      </c>
      <c r="K35" s="28">
        <f>EDATE(B35,参数设置!$B$12)</f>
        <v>46670</v>
      </c>
      <c r="L35" s="20">
        <f>--(A35&lt;=参数设置!$B$6)</f>
        <v>1</v>
      </c>
    </row>
    <row r="36" spans="1:12">
      <c r="A36" s="12">
        <v>3</v>
      </c>
      <c r="B36" s="21">
        <f>EDATE(参数设置!$B$4,A36-1)</f>
        <v>46305</v>
      </c>
      <c r="C36" s="22">
        <f>参数设置!$B$5</f>
        <v>23400</v>
      </c>
      <c r="D36" s="12">
        <v>9</v>
      </c>
      <c r="E36" s="28">
        <f>IF(D36=1,B36,F35)</f>
        <v>46573</v>
      </c>
      <c r="F36" s="28">
        <f>IF(D36&lt;参数设置!$B$12,DATE(YEAR(EDATE(B36,D36+1)),MONTH(EDATE(B36,D36+1)),参数设置!$B$13),EDATE(B36,参数设置!$B$12))</f>
        <v>46604</v>
      </c>
      <c r="G36" s="20">
        <f>F36-E36</f>
        <v>31</v>
      </c>
      <c r="H36" s="25">
        <f>IF(D36=参数设置!$B$12,C36,0)</f>
        <v>0</v>
      </c>
      <c r="I36" s="25">
        <f>IF(L36=1,ROUND(C36*参数设置!$B$10*G36/参数设置!$B$11,参数设置!$B$14),0)</f>
        <v>66.5</v>
      </c>
      <c r="J36" s="25">
        <f>H36+I36</f>
        <v>66.5</v>
      </c>
      <c r="K36" s="28">
        <f>EDATE(B36,参数设置!$B$12)</f>
        <v>46670</v>
      </c>
      <c r="L36" s="20">
        <f>--(A36&lt;=参数设置!$B$6)</f>
        <v>1</v>
      </c>
    </row>
    <row r="37" spans="1:12">
      <c r="A37" s="12">
        <v>3</v>
      </c>
      <c r="B37" s="21">
        <f>EDATE(参数设置!$B$4,A37-1)</f>
        <v>46305</v>
      </c>
      <c r="C37" s="22">
        <f>参数设置!$B$5</f>
        <v>23400</v>
      </c>
      <c r="D37" s="12">
        <v>10</v>
      </c>
      <c r="E37" s="28">
        <f>IF(D37=1,B37,F36)</f>
        <v>46604</v>
      </c>
      <c r="F37" s="28">
        <f>IF(D37&lt;参数设置!$B$12,DATE(YEAR(EDATE(B37,D37+1)),MONTH(EDATE(B37,D37+1)),参数设置!$B$13),EDATE(B37,参数设置!$B$12))</f>
        <v>46635</v>
      </c>
      <c r="G37" s="20">
        <f>F37-E37</f>
        <v>31</v>
      </c>
      <c r="H37" s="25">
        <f>IF(D37=参数设置!$B$12,C37,0)</f>
        <v>0</v>
      </c>
      <c r="I37" s="25">
        <f>IF(L37=1,ROUND(C37*参数设置!$B$10*G37/参数设置!$B$11,参数设置!$B$14),0)</f>
        <v>66.5</v>
      </c>
      <c r="J37" s="25">
        <f>H37+I37</f>
        <v>66.5</v>
      </c>
      <c r="K37" s="28">
        <f>EDATE(B37,参数设置!$B$12)</f>
        <v>46670</v>
      </c>
      <c r="L37" s="20">
        <f>--(A37&lt;=参数设置!$B$6)</f>
        <v>1</v>
      </c>
    </row>
    <row r="38" spans="1:12">
      <c r="A38" s="12">
        <v>3</v>
      </c>
      <c r="B38" s="21">
        <f>EDATE(参数设置!$B$4,A38-1)</f>
        <v>46305</v>
      </c>
      <c r="C38" s="22">
        <f>参数设置!$B$5</f>
        <v>23400</v>
      </c>
      <c r="D38" s="12">
        <v>11</v>
      </c>
      <c r="E38" s="28">
        <f>IF(D38=1,B38,F37)</f>
        <v>46635</v>
      </c>
      <c r="F38" s="28">
        <f>IF(D38&lt;参数设置!$B$12,DATE(YEAR(EDATE(B38,D38+1)),MONTH(EDATE(B38,D38+1)),参数设置!$B$13),EDATE(B38,参数设置!$B$12))</f>
        <v>46665</v>
      </c>
      <c r="G38" s="20">
        <f>F38-E38</f>
        <v>30</v>
      </c>
      <c r="H38" s="25">
        <f>IF(D38=参数设置!$B$12,C38,0)</f>
        <v>0</v>
      </c>
      <c r="I38" s="25">
        <f>IF(L38=1,ROUND(C38*参数设置!$B$10*G38/参数设置!$B$11,参数设置!$B$14),0)</f>
        <v>64.349999999999994</v>
      </c>
      <c r="J38" s="25">
        <f>H38+I38</f>
        <v>64.349999999999994</v>
      </c>
      <c r="K38" s="28">
        <f>EDATE(B38,参数设置!$B$12)</f>
        <v>46670</v>
      </c>
      <c r="L38" s="20">
        <f>--(A38&lt;=参数设置!$B$6)</f>
        <v>1</v>
      </c>
    </row>
    <row r="39" spans="1:12">
      <c r="A39" s="12">
        <v>3</v>
      </c>
      <c r="B39" s="21">
        <f>EDATE(参数设置!$B$4,A39-1)</f>
        <v>46305</v>
      </c>
      <c r="C39" s="22">
        <f>参数设置!$B$5</f>
        <v>23400</v>
      </c>
      <c r="D39" s="12">
        <v>12</v>
      </c>
      <c r="E39" s="28">
        <f>IF(D39=1,B39,F38)</f>
        <v>46665</v>
      </c>
      <c r="F39" s="28">
        <f>IF(D39&lt;参数设置!$B$12,DATE(YEAR(EDATE(B39,D39+1)),MONTH(EDATE(B39,D39+1)),参数设置!$B$13),EDATE(B39,参数设置!$B$12))</f>
        <v>46670</v>
      </c>
      <c r="G39" s="20">
        <f>F39-E39</f>
        <v>5</v>
      </c>
      <c r="H39" s="25">
        <f>IF(D39=参数设置!$B$12,C39,0)</f>
        <v>23400</v>
      </c>
      <c r="I39" s="25">
        <f>IF(L39=1,ROUND(C39*参数设置!$B$10*G39/参数设置!$B$11,参数设置!$B$14),0)</f>
        <v>10.73</v>
      </c>
      <c r="J39" s="25">
        <f>H39+I39</f>
        <v>23410.73</v>
      </c>
      <c r="K39" s="28">
        <f>EDATE(B39,参数设置!$B$12)</f>
        <v>46670</v>
      </c>
      <c r="L39" s="20">
        <f>--(A39&lt;=参数设置!$B$6)</f>
        <v>1</v>
      </c>
    </row>
    <row r="40" spans="1:12">
      <c r="A40" s="12">
        <v>4</v>
      </c>
      <c r="B40" s="21">
        <f>EDATE(参数设置!$B$4,A40-1)</f>
        <v>46336</v>
      </c>
      <c r="C40" s="22">
        <f>参数设置!$B$5</f>
        <v>23400</v>
      </c>
      <c r="D40" s="12">
        <v>1</v>
      </c>
      <c r="E40" s="28">
        <f>IF(D40=1,B40,F39)</f>
        <v>46336</v>
      </c>
      <c r="F40" s="28">
        <f>IF(D40&lt;参数设置!$B$12,DATE(YEAR(EDATE(B40,D40+1)),MONTH(EDATE(B40,D40+1)),参数设置!$B$13),EDATE(B40,参数设置!$B$12))</f>
        <v>46392</v>
      </c>
      <c r="G40" s="20">
        <f>F40-E40</f>
        <v>56</v>
      </c>
      <c r="H40" s="25">
        <f>IF(D40=参数设置!$B$12,C40,0)</f>
        <v>0</v>
      </c>
      <c r="I40" s="25">
        <f>IF(L40=1,ROUND(C40*参数设置!$B$10*G40/参数设置!$B$11,参数设置!$B$14),0)</f>
        <v>120.12</v>
      </c>
      <c r="J40" s="25">
        <f>H40+I40</f>
        <v>120.12</v>
      </c>
      <c r="K40" s="28">
        <f>EDATE(B40,参数设置!$B$12)</f>
        <v>46701</v>
      </c>
      <c r="L40" s="20">
        <f>--(A40&lt;=参数设置!$B$6)</f>
        <v>1</v>
      </c>
    </row>
    <row r="41" spans="1:12">
      <c r="A41" s="12">
        <v>4</v>
      </c>
      <c r="B41" s="21">
        <f>EDATE(参数设置!$B$4,A41-1)</f>
        <v>46336</v>
      </c>
      <c r="C41" s="22">
        <f>参数设置!$B$5</f>
        <v>23400</v>
      </c>
      <c r="D41" s="12">
        <v>2</v>
      </c>
      <c r="E41" s="28">
        <f>IF(D41=1,B41,F40)</f>
        <v>46392</v>
      </c>
      <c r="F41" s="28">
        <f>IF(D41&lt;参数设置!$B$12,DATE(YEAR(EDATE(B41,D41+1)),MONTH(EDATE(B41,D41+1)),参数设置!$B$13),EDATE(B41,参数设置!$B$12))</f>
        <v>46423</v>
      </c>
      <c r="G41" s="20">
        <f>F41-E41</f>
        <v>31</v>
      </c>
      <c r="H41" s="25">
        <f>IF(D41=参数设置!$B$12,C41,0)</f>
        <v>0</v>
      </c>
      <c r="I41" s="25">
        <f>IF(L41=1,ROUND(C41*参数设置!$B$10*G41/参数设置!$B$11,参数设置!$B$14),0)</f>
        <v>66.5</v>
      </c>
      <c r="J41" s="25">
        <f>H41+I41</f>
        <v>66.5</v>
      </c>
      <c r="K41" s="28">
        <f>EDATE(B41,参数设置!$B$12)</f>
        <v>46701</v>
      </c>
      <c r="L41" s="20">
        <f>--(A41&lt;=参数设置!$B$6)</f>
        <v>1</v>
      </c>
    </row>
    <row r="42" spans="1:12">
      <c r="A42" s="12">
        <v>4</v>
      </c>
      <c r="B42" s="21">
        <f>EDATE(参数设置!$B$4,A42-1)</f>
        <v>46336</v>
      </c>
      <c r="C42" s="22">
        <f>参数设置!$B$5</f>
        <v>23400</v>
      </c>
      <c r="D42" s="12">
        <v>3</v>
      </c>
      <c r="E42" s="28">
        <f>IF(D42=1,B42,F41)</f>
        <v>46423</v>
      </c>
      <c r="F42" s="28">
        <f>IF(D42&lt;参数设置!$B$12,DATE(YEAR(EDATE(B42,D42+1)),MONTH(EDATE(B42,D42+1)),参数设置!$B$13),EDATE(B42,参数设置!$B$12))</f>
        <v>46451</v>
      </c>
      <c r="G42" s="20">
        <f>F42-E42</f>
        <v>28</v>
      </c>
      <c r="H42" s="25">
        <f>IF(D42=参数设置!$B$12,C42,0)</f>
        <v>0</v>
      </c>
      <c r="I42" s="25">
        <f>IF(L42=1,ROUND(C42*参数设置!$B$10*G42/参数设置!$B$11,参数设置!$B$14),0)</f>
        <v>60.06</v>
      </c>
      <c r="J42" s="25">
        <f>H42+I42</f>
        <v>60.06</v>
      </c>
      <c r="K42" s="28">
        <f>EDATE(B42,参数设置!$B$12)</f>
        <v>46701</v>
      </c>
      <c r="L42" s="20">
        <f>--(A42&lt;=参数设置!$B$6)</f>
        <v>1</v>
      </c>
    </row>
    <row r="43" spans="1:12">
      <c r="A43" s="12">
        <v>4</v>
      </c>
      <c r="B43" s="21">
        <f>EDATE(参数设置!$B$4,A43-1)</f>
        <v>46336</v>
      </c>
      <c r="C43" s="22">
        <f>参数设置!$B$5</f>
        <v>23400</v>
      </c>
      <c r="D43" s="12">
        <v>4</v>
      </c>
      <c r="E43" s="28">
        <f>IF(D43=1,B43,F42)</f>
        <v>46451</v>
      </c>
      <c r="F43" s="28">
        <f>IF(D43&lt;参数设置!$B$12,DATE(YEAR(EDATE(B43,D43+1)),MONTH(EDATE(B43,D43+1)),参数设置!$B$13),EDATE(B43,参数设置!$B$12))</f>
        <v>46482</v>
      </c>
      <c r="G43" s="20">
        <f>F43-E43</f>
        <v>31</v>
      </c>
      <c r="H43" s="25">
        <f>IF(D43=参数设置!$B$12,C43,0)</f>
        <v>0</v>
      </c>
      <c r="I43" s="25">
        <f>IF(L43=1,ROUND(C43*参数设置!$B$10*G43/参数设置!$B$11,参数设置!$B$14),0)</f>
        <v>66.5</v>
      </c>
      <c r="J43" s="25">
        <f>H43+I43</f>
        <v>66.5</v>
      </c>
      <c r="K43" s="28">
        <f>EDATE(B43,参数设置!$B$12)</f>
        <v>46701</v>
      </c>
      <c r="L43" s="20">
        <f>--(A43&lt;=参数设置!$B$6)</f>
        <v>1</v>
      </c>
    </row>
    <row r="44" spans="1:12">
      <c r="A44" s="12">
        <v>4</v>
      </c>
      <c r="B44" s="21">
        <f>EDATE(参数设置!$B$4,A44-1)</f>
        <v>46336</v>
      </c>
      <c r="C44" s="22">
        <f>参数设置!$B$5</f>
        <v>23400</v>
      </c>
      <c r="D44" s="12">
        <v>5</v>
      </c>
      <c r="E44" s="28">
        <f>IF(D44=1,B44,F43)</f>
        <v>46482</v>
      </c>
      <c r="F44" s="28">
        <f>IF(D44&lt;参数设置!$B$12,DATE(YEAR(EDATE(B44,D44+1)),MONTH(EDATE(B44,D44+1)),参数设置!$B$13),EDATE(B44,参数设置!$B$12))</f>
        <v>46512</v>
      </c>
      <c r="G44" s="20">
        <f>F44-E44</f>
        <v>30</v>
      </c>
      <c r="H44" s="25">
        <f>IF(D44=参数设置!$B$12,C44,0)</f>
        <v>0</v>
      </c>
      <c r="I44" s="25">
        <f>IF(L44=1,ROUND(C44*参数设置!$B$10*G44/参数设置!$B$11,参数设置!$B$14),0)</f>
        <v>64.349999999999994</v>
      </c>
      <c r="J44" s="25">
        <f>H44+I44</f>
        <v>64.349999999999994</v>
      </c>
      <c r="K44" s="28">
        <f>EDATE(B44,参数设置!$B$12)</f>
        <v>46701</v>
      </c>
      <c r="L44" s="20">
        <f>--(A44&lt;=参数设置!$B$6)</f>
        <v>1</v>
      </c>
    </row>
    <row r="45" spans="1:12">
      <c r="A45" s="12">
        <v>4</v>
      </c>
      <c r="B45" s="21">
        <f>EDATE(参数设置!$B$4,A45-1)</f>
        <v>46336</v>
      </c>
      <c r="C45" s="22">
        <f>参数设置!$B$5</f>
        <v>23400</v>
      </c>
      <c r="D45" s="12">
        <v>6</v>
      </c>
      <c r="E45" s="28">
        <f>IF(D45=1,B45,F44)</f>
        <v>46512</v>
      </c>
      <c r="F45" s="28">
        <f>IF(D45&lt;参数设置!$B$12,DATE(YEAR(EDATE(B45,D45+1)),MONTH(EDATE(B45,D45+1)),参数设置!$B$13),EDATE(B45,参数设置!$B$12))</f>
        <v>46543</v>
      </c>
      <c r="G45" s="20">
        <f>F45-E45</f>
        <v>31</v>
      </c>
      <c r="H45" s="25">
        <f>IF(D45=参数设置!$B$12,C45,0)</f>
        <v>0</v>
      </c>
      <c r="I45" s="25">
        <f>IF(L45=1,ROUND(C45*参数设置!$B$10*G45/参数设置!$B$11,参数设置!$B$14),0)</f>
        <v>66.5</v>
      </c>
      <c r="J45" s="25">
        <f>H45+I45</f>
        <v>66.5</v>
      </c>
      <c r="K45" s="28">
        <f>EDATE(B45,参数设置!$B$12)</f>
        <v>46701</v>
      </c>
      <c r="L45" s="20">
        <f>--(A45&lt;=参数设置!$B$6)</f>
        <v>1</v>
      </c>
    </row>
    <row r="46" spans="1:12">
      <c r="A46" s="12">
        <v>4</v>
      </c>
      <c r="B46" s="21">
        <f>EDATE(参数设置!$B$4,A46-1)</f>
        <v>46336</v>
      </c>
      <c r="C46" s="22">
        <f>参数设置!$B$5</f>
        <v>23400</v>
      </c>
      <c r="D46" s="12">
        <v>7</v>
      </c>
      <c r="E46" s="28">
        <f>IF(D46=1,B46,F45)</f>
        <v>46543</v>
      </c>
      <c r="F46" s="28">
        <f>IF(D46&lt;参数设置!$B$12,DATE(YEAR(EDATE(B46,D46+1)),MONTH(EDATE(B46,D46+1)),参数设置!$B$13),EDATE(B46,参数设置!$B$12))</f>
        <v>46573</v>
      </c>
      <c r="G46" s="20">
        <f>F46-E46</f>
        <v>30</v>
      </c>
      <c r="H46" s="25">
        <f>IF(D46=参数设置!$B$12,C46,0)</f>
        <v>0</v>
      </c>
      <c r="I46" s="25">
        <f>IF(L46=1,ROUND(C46*参数设置!$B$10*G46/参数设置!$B$11,参数设置!$B$14),0)</f>
        <v>64.349999999999994</v>
      </c>
      <c r="J46" s="25">
        <f>H46+I46</f>
        <v>64.349999999999994</v>
      </c>
      <c r="K46" s="28">
        <f>EDATE(B46,参数设置!$B$12)</f>
        <v>46701</v>
      </c>
      <c r="L46" s="20">
        <f>--(A46&lt;=参数设置!$B$6)</f>
        <v>1</v>
      </c>
    </row>
    <row r="47" spans="1:12">
      <c r="A47" s="12">
        <v>4</v>
      </c>
      <c r="B47" s="21">
        <f>EDATE(参数设置!$B$4,A47-1)</f>
        <v>46336</v>
      </c>
      <c r="C47" s="22">
        <f>参数设置!$B$5</f>
        <v>23400</v>
      </c>
      <c r="D47" s="12">
        <v>8</v>
      </c>
      <c r="E47" s="28">
        <f>IF(D47=1,B47,F46)</f>
        <v>46573</v>
      </c>
      <c r="F47" s="28">
        <f>IF(D47&lt;参数设置!$B$12,DATE(YEAR(EDATE(B47,D47+1)),MONTH(EDATE(B47,D47+1)),参数设置!$B$13),EDATE(B47,参数设置!$B$12))</f>
        <v>46604</v>
      </c>
      <c r="G47" s="20">
        <f>F47-E47</f>
        <v>31</v>
      </c>
      <c r="H47" s="25">
        <f>IF(D47=参数设置!$B$12,C47,0)</f>
        <v>0</v>
      </c>
      <c r="I47" s="25">
        <f>IF(L47=1,ROUND(C47*参数设置!$B$10*G47/参数设置!$B$11,参数设置!$B$14),0)</f>
        <v>66.5</v>
      </c>
      <c r="J47" s="25">
        <f>H47+I47</f>
        <v>66.5</v>
      </c>
      <c r="K47" s="28">
        <f>EDATE(B47,参数设置!$B$12)</f>
        <v>46701</v>
      </c>
      <c r="L47" s="20">
        <f>--(A47&lt;=参数设置!$B$6)</f>
        <v>1</v>
      </c>
    </row>
    <row r="48" spans="1:12">
      <c r="A48" s="12">
        <v>4</v>
      </c>
      <c r="B48" s="21">
        <f>EDATE(参数设置!$B$4,A48-1)</f>
        <v>46336</v>
      </c>
      <c r="C48" s="22">
        <f>参数设置!$B$5</f>
        <v>23400</v>
      </c>
      <c r="D48" s="12">
        <v>9</v>
      </c>
      <c r="E48" s="28">
        <f>IF(D48=1,B48,F47)</f>
        <v>46604</v>
      </c>
      <c r="F48" s="28">
        <f>IF(D48&lt;参数设置!$B$12,DATE(YEAR(EDATE(B48,D48+1)),MONTH(EDATE(B48,D48+1)),参数设置!$B$13),EDATE(B48,参数设置!$B$12))</f>
        <v>46635</v>
      </c>
      <c r="G48" s="20">
        <f>F48-E48</f>
        <v>31</v>
      </c>
      <c r="H48" s="25">
        <f>IF(D48=参数设置!$B$12,C48,0)</f>
        <v>0</v>
      </c>
      <c r="I48" s="25">
        <f>IF(L48=1,ROUND(C48*参数设置!$B$10*G48/参数设置!$B$11,参数设置!$B$14),0)</f>
        <v>66.5</v>
      </c>
      <c r="J48" s="25">
        <f>H48+I48</f>
        <v>66.5</v>
      </c>
      <c r="K48" s="28">
        <f>EDATE(B48,参数设置!$B$12)</f>
        <v>46701</v>
      </c>
      <c r="L48" s="20">
        <f>--(A48&lt;=参数设置!$B$6)</f>
        <v>1</v>
      </c>
    </row>
    <row r="49" spans="1:12">
      <c r="A49" s="12">
        <v>4</v>
      </c>
      <c r="B49" s="21">
        <f>EDATE(参数设置!$B$4,A49-1)</f>
        <v>46336</v>
      </c>
      <c r="C49" s="22">
        <f>参数设置!$B$5</f>
        <v>23400</v>
      </c>
      <c r="D49" s="12">
        <v>10</v>
      </c>
      <c r="E49" s="28">
        <f>IF(D49=1,B49,F48)</f>
        <v>46635</v>
      </c>
      <c r="F49" s="28">
        <f>IF(D49&lt;参数设置!$B$12,DATE(YEAR(EDATE(B49,D49+1)),MONTH(EDATE(B49,D49+1)),参数设置!$B$13),EDATE(B49,参数设置!$B$12))</f>
        <v>46665</v>
      </c>
      <c r="G49" s="20">
        <f>F49-E49</f>
        <v>30</v>
      </c>
      <c r="H49" s="25">
        <f>IF(D49=参数设置!$B$12,C49,0)</f>
        <v>0</v>
      </c>
      <c r="I49" s="25">
        <f>IF(L49=1,ROUND(C49*参数设置!$B$10*G49/参数设置!$B$11,参数设置!$B$14),0)</f>
        <v>64.349999999999994</v>
      </c>
      <c r="J49" s="25">
        <f>H49+I49</f>
        <v>64.349999999999994</v>
      </c>
      <c r="K49" s="28">
        <f>EDATE(B49,参数设置!$B$12)</f>
        <v>46701</v>
      </c>
      <c r="L49" s="20">
        <f>--(A49&lt;=参数设置!$B$6)</f>
        <v>1</v>
      </c>
    </row>
    <row r="50" spans="1:12">
      <c r="A50" s="12">
        <v>4</v>
      </c>
      <c r="B50" s="21">
        <f>EDATE(参数设置!$B$4,A50-1)</f>
        <v>46336</v>
      </c>
      <c r="C50" s="22">
        <f>参数设置!$B$5</f>
        <v>23400</v>
      </c>
      <c r="D50" s="12">
        <v>11</v>
      </c>
      <c r="E50" s="28">
        <f>IF(D50=1,B50,F49)</f>
        <v>46665</v>
      </c>
      <c r="F50" s="28">
        <f>IF(D50&lt;参数设置!$B$12,DATE(YEAR(EDATE(B50,D50+1)),MONTH(EDATE(B50,D50+1)),参数设置!$B$13),EDATE(B50,参数设置!$B$12))</f>
        <v>46696</v>
      </c>
      <c r="G50" s="20">
        <f>F50-E50</f>
        <v>31</v>
      </c>
      <c r="H50" s="25">
        <f>IF(D50=参数设置!$B$12,C50,0)</f>
        <v>0</v>
      </c>
      <c r="I50" s="25">
        <f>IF(L50=1,ROUND(C50*参数设置!$B$10*G50/参数设置!$B$11,参数设置!$B$14),0)</f>
        <v>66.5</v>
      </c>
      <c r="J50" s="25">
        <f>H50+I50</f>
        <v>66.5</v>
      </c>
      <c r="K50" s="28">
        <f>EDATE(B50,参数设置!$B$12)</f>
        <v>46701</v>
      </c>
      <c r="L50" s="20">
        <f>--(A50&lt;=参数设置!$B$6)</f>
        <v>1</v>
      </c>
    </row>
    <row r="51" spans="1:12">
      <c r="A51" s="12">
        <v>4</v>
      </c>
      <c r="B51" s="21">
        <f>EDATE(参数设置!$B$4,A51-1)</f>
        <v>46336</v>
      </c>
      <c r="C51" s="22">
        <f>参数设置!$B$5</f>
        <v>23400</v>
      </c>
      <c r="D51" s="12">
        <v>12</v>
      </c>
      <c r="E51" s="28">
        <f>IF(D51=1,B51,F50)</f>
        <v>46696</v>
      </c>
      <c r="F51" s="28">
        <f>IF(D51&lt;参数设置!$B$12,DATE(YEAR(EDATE(B51,D51+1)),MONTH(EDATE(B51,D51+1)),参数设置!$B$13),EDATE(B51,参数设置!$B$12))</f>
        <v>46701</v>
      </c>
      <c r="G51" s="20">
        <f>F51-E51</f>
        <v>5</v>
      </c>
      <c r="H51" s="25">
        <f>IF(D51=参数设置!$B$12,C51,0)</f>
        <v>23400</v>
      </c>
      <c r="I51" s="25">
        <f>IF(L51=1,ROUND(C51*参数设置!$B$10*G51/参数设置!$B$11,参数设置!$B$14),0)</f>
        <v>10.73</v>
      </c>
      <c r="J51" s="25">
        <f>H51+I51</f>
        <v>23410.73</v>
      </c>
      <c r="K51" s="28">
        <f>EDATE(B51,参数设置!$B$12)</f>
        <v>46701</v>
      </c>
      <c r="L51" s="20">
        <f>--(A51&lt;=参数设置!$B$6)</f>
        <v>1</v>
      </c>
    </row>
    <row r="52" spans="1:12">
      <c r="A52" s="12">
        <v>5</v>
      </c>
      <c r="B52" s="21">
        <f>EDATE(参数设置!$B$4,A52-1)</f>
        <v>46366</v>
      </c>
      <c r="C52" s="22">
        <f>参数设置!$B$5</f>
        <v>23400</v>
      </c>
      <c r="D52" s="12">
        <v>1</v>
      </c>
      <c r="E52" s="28">
        <f>IF(D52=1,B52,F51)</f>
        <v>46366</v>
      </c>
      <c r="F52" s="28">
        <f>IF(D52&lt;参数设置!$B$12,DATE(YEAR(EDATE(B52,D52+1)),MONTH(EDATE(B52,D52+1)),参数设置!$B$13),EDATE(B52,参数设置!$B$12))</f>
        <v>46423</v>
      </c>
      <c r="G52" s="20">
        <f>F52-E52</f>
        <v>57</v>
      </c>
      <c r="H52" s="25">
        <f>IF(D52=参数设置!$B$12,C52,0)</f>
        <v>0</v>
      </c>
      <c r="I52" s="25">
        <f>IF(L52=1,ROUND(C52*参数设置!$B$10*G52/参数设置!$B$11,参数设置!$B$14),0)</f>
        <v>122.27</v>
      </c>
      <c r="J52" s="25">
        <f>H52+I52</f>
        <v>122.27</v>
      </c>
      <c r="K52" s="28">
        <f>EDATE(B52,参数设置!$B$12)</f>
        <v>46731</v>
      </c>
      <c r="L52" s="20">
        <f>--(A52&lt;=参数设置!$B$6)</f>
        <v>1</v>
      </c>
    </row>
    <row r="53" spans="1:12">
      <c r="A53" s="12">
        <v>5</v>
      </c>
      <c r="B53" s="21">
        <f>EDATE(参数设置!$B$4,A53-1)</f>
        <v>46366</v>
      </c>
      <c r="C53" s="22">
        <f>参数设置!$B$5</f>
        <v>23400</v>
      </c>
      <c r="D53" s="12">
        <v>2</v>
      </c>
      <c r="E53" s="28">
        <f>IF(D53=1,B53,F52)</f>
        <v>46423</v>
      </c>
      <c r="F53" s="28">
        <f>IF(D53&lt;参数设置!$B$12,DATE(YEAR(EDATE(B53,D53+1)),MONTH(EDATE(B53,D53+1)),参数设置!$B$13),EDATE(B53,参数设置!$B$12))</f>
        <v>46451</v>
      </c>
      <c r="G53" s="20">
        <f>F53-E53</f>
        <v>28</v>
      </c>
      <c r="H53" s="25">
        <f>IF(D53=参数设置!$B$12,C53,0)</f>
        <v>0</v>
      </c>
      <c r="I53" s="25">
        <f>IF(L53=1,ROUND(C53*参数设置!$B$10*G53/参数设置!$B$11,参数设置!$B$14),0)</f>
        <v>60.06</v>
      </c>
      <c r="J53" s="25">
        <f>H53+I53</f>
        <v>60.06</v>
      </c>
      <c r="K53" s="28">
        <f>EDATE(B53,参数设置!$B$12)</f>
        <v>46731</v>
      </c>
      <c r="L53" s="20">
        <f>--(A53&lt;=参数设置!$B$6)</f>
        <v>1</v>
      </c>
    </row>
    <row r="54" spans="1:12">
      <c r="A54" s="12">
        <v>5</v>
      </c>
      <c r="B54" s="21">
        <f>EDATE(参数设置!$B$4,A54-1)</f>
        <v>46366</v>
      </c>
      <c r="C54" s="22">
        <f>参数设置!$B$5</f>
        <v>23400</v>
      </c>
      <c r="D54" s="12">
        <v>3</v>
      </c>
      <c r="E54" s="28">
        <f>IF(D54=1,B54,F53)</f>
        <v>46451</v>
      </c>
      <c r="F54" s="28">
        <f>IF(D54&lt;参数设置!$B$12,DATE(YEAR(EDATE(B54,D54+1)),MONTH(EDATE(B54,D54+1)),参数设置!$B$13),EDATE(B54,参数设置!$B$12))</f>
        <v>46482</v>
      </c>
      <c r="G54" s="20">
        <f>F54-E54</f>
        <v>31</v>
      </c>
      <c r="H54" s="25">
        <f>IF(D54=参数设置!$B$12,C54,0)</f>
        <v>0</v>
      </c>
      <c r="I54" s="25">
        <f>IF(L54=1,ROUND(C54*参数设置!$B$10*G54/参数设置!$B$11,参数设置!$B$14),0)</f>
        <v>66.5</v>
      </c>
      <c r="J54" s="25">
        <f>H54+I54</f>
        <v>66.5</v>
      </c>
      <c r="K54" s="28">
        <f>EDATE(B54,参数设置!$B$12)</f>
        <v>46731</v>
      </c>
      <c r="L54" s="20">
        <f>--(A54&lt;=参数设置!$B$6)</f>
        <v>1</v>
      </c>
    </row>
    <row r="55" spans="1:12">
      <c r="A55" s="12">
        <v>5</v>
      </c>
      <c r="B55" s="21">
        <f>EDATE(参数设置!$B$4,A55-1)</f>
        <v>46366</v>
      </c>
      <c r="C55" s="22">
        <f>参数设置!$B$5</f>
        <v>23400</v>
      </c>
      <c r="D55" s="12">
        <v>4</v>
      </c>
      <c r="E55" s="28">
        <f>IF(D55=1,B55,F54)</f>
        <v>46482</v>
      </c>
      <c r="F55" s="28">
        <f>IF(D55&lt;参数设置!$B$12,DATE(YEAR(EDATE(B55,D55+1)),MONTH(EDATE(B55,D55+1)),参数设置!$B$13),EDATE(B55,参数设置!$B$12))</f>
        <v>46512</v>
      </c>
      <c r="G55" s="20">
        <f>F55-E55</f>
        <v>30</v>
      </c>
      <c r="H55" s="25">
        <f>IF(D55=参数设置!$B$12,C55,0)</f>
        <v>0</v>
      </c>
      <c r="I55" s="25">
        <f>IF(L55=1,ROUND(C55*参数设置!$B$10*G55/参数设置!$B$11,参数设置!$B$14),0)</f>
        <v>64.349999999999994</v>
      </c>
      <c r="J55" s="25">
        <f>H55+I55</f>
        <v>64.349999999999994</v>
      </c>
      <c r="K55" s="28">
        <f>EDATE(B55,参数设置!$B$12)</f>
        <v>46731</v>
      </c>
      <c r="L55" s="20">
        <f>--(A55&lt;=参数设置!$B$6)</f>
        <v>1</v>
      </c>
    </row>
    <row r="56" spans="1:12">
      <c r="A56" s="12">
        <v>5</v>
      </c>
      <c r="B56" s="21">
        <f>EDATE(参数设置!$B$4,A56-1)</f>
        <v>46366</v>
      </c>
      <c r="C56" s="22">
        <f>参数设置!$B$5</f>
        <v>23400</v>
      </c>
      <c r="D56" s="12">
        <v>5</v>
      </c>
      <c r="E56" s="28">
        <f>IF(D56=1,B56,F55)</f>
        <v>46512</v>
      </c>
      <c r="F56" s="28">
        <f>IF(D56&lt;参数设置!$B$12,DATE(YEAR(EDATE(B56,D56+1)),MONTH(EDATE(B56,D56+1)),参数设置!$B$13),EDATE(B56,参数设置!$B$12))</f>
        <v>46543</v>
      </c>
      <c r="G56" s="20">
        <f>F56-E56</f>
        <v>31</v>
      </c>
      <c r="H56" s="25">
        <f>IF(D56=参数设置!$B$12,C56,0)</f>
        <v>0</v>
      </c>
      <c r="I56" s="25">
        <f>IF(L56=1,ROUND(C56*参数设置!$B$10*G56/参数设置!$B$11,参数设置!$B$14),0)</f>
        <v>66.5</v>
      </c>
      <c r="J56" s="25">
        <f>H56+I56</f>
        <v>66.5</v>
      </c>
      <c r="K56" s="28">
        <f>EDATE(B56,参数设置!$B$12)</f>
        <v>46731</v>
      </c>
      <c r="L56" s="20">
        <f>--(A56&lt;=参数设置!$B$6)</f>
        <v>1</v>
      </c>
    </row>
    <row r="57" spans="1:12">
      <c r="A57" s="12">
        <v>5</v>
      </c>
      <c r="B57" s="21">
        <f>EDATE(参数设置!$B$4,A57-1)</f>
        <v>46366</v>
      </c>
      <c r="C57" s="22">
        <f>参数设置!$B$5</f>
        <v>23400</v>
      </c>
      <c r="D57" s="12">
        <v>6</v>
      </c>
      <c r="E57" s="28">
        <f>IF(D57=1,B57,F56)</f>
        <v>46543</v>
      </c>
      <c r="F57" s="28">
        <f>IF(D57&lt;参数设置!$B$12,DATE(YEAR(EDATE(B57,D57+1)),MONTH(EDATE(B57,D57+1)),参数设置!$B$13),EDATE(B57,参数设置!$B$12))</f>
        <v>46573</v>
      </c>
      <c r="G57" s="20">
        <f>F57-E57</f>
        <v>30</v>
      </c>
      <c r="H57" s="25">
        <f>IF(D57=参数设置!$B$12,C57,0)</f>
        <v>0</v>
      </c>
      <c r="I57" s="25">
        <f>IF(L57=1,ROUND(C57*参数设置!$B$10*G57/参数设置!$B$11,参数设置!$B$14),0)</f>
        <v>64.349999999999994</v>
      </c>
      <c r="J57" s="25">
        <f>H57+I57</f>
        <v>64.349999999999994</v>
      </c>
      <c r="K57" s="28">
        <f>EDATE(B57,参数设置!$B$12)</f>
        <v>46731</v>
      </c>
      <c r="L57" s="20">
        <f>--(A57&lt;=参数设置!$B$6)</f>
        <v>1</v>
      </c>
    </row>
    <row r="58" spans="1:12">
      <c r="A58" s="12">
        <v>5</v>
      </c>
      <c r="B58" s="21">
        <f>EDATE(参数设置!$B$4,A58-1)</f>
        <v>46366</v>
      </c>
      <c r="C58" s="22">
        <f>参数设置!$B$5</f>
        <v>23400</v>
      </c>
      <c r="D58" s="12">
        <v>7</v>
      </c>
      <c r="E58" s="28">
        <f>IF(D58=1,B58,F57)</f>
        <v>46573</v>
      </c>
      <c r="F58" s="28">
        <f>IF(D58&lt;参数设置!$B$12,DATE(YEAR(EDATE(B58,D58+1)),MONTH(EDATE(B58,D58+1)),参数设置!$B$13),EDATE(B58,参数设置!$B$12))</f>
        <v>46604</v>
      </c>
      <c r="G58" s="20">
        <f>F58-E58</f>
        <v>31</v>
      </c>
      <c r="H58" s="25">
        <f>IF(D58=参数设置!$B$12,C58,0)</f>
        <v>0</v>
      </c>
      <c r="I58" s="25">
        <f>IF(L58=1,ROUND(C58*参数设置!$B$10*G58/参数设置!$B$11,参数设置!$B$14),0)</f>
        <v>66.5</v>
      </c>
      <c r="J58" s="25">
        <f>H58+I58</f>
        <v>66.5</v>
      </c>
      <c r="K58" s="28">
        <f>EDATE(B58,参数设置!$B$12)</f>
        <v>46731</v>
      </c>
      <c r="L58" s="20">
        <f>--(A58&lt;=参数设置!$B$6)</f>
        <v>1</v>
      </c>
    </row>
    <row r="59" spans="1:12">
      <c r="A59" s="12">
        <v>5</v>
      </c>
      <c r="B59" s="21">
        <f>EDATE(参数设置!$B$4,A59-1)</f>
        <v>46366</v>
      </c>
      <c r="C59" s="22">
        <f>参数设置!$B$5</f>
        <v>23400</v>
      </c>
      <c r="D59" s="12">
        <v>8</v>
      </c>
      <c r="E59" s="28">
        <f>IF(D59=1,B59,F58)</f>
        <v>46604</v>
      </c>
      <c r="F59" s="28">
        <f>IF(D59&lt;参数设置!$B$12,DATE(YEAR(EDATE(B59,D59+1)),MONTH(EDATE(B59,D59+1)),参数设置!$B$13),EDATE(B59,参数设置!$B$12))</f>
        <v>46635</v>
      </c>
      <c r="G59" s="20">
        <f>F59-E59</f>
        <v>31</v>
      </c>
      <c r="H59" s="25">
        <f>IF(D59=参数设置!$B$12,C59,0)</f>
        <v>0</v>
      </c>
      <c r="I59" s="25">
        <f>IF(L59=1,ROUND(C59*参数设置!$B$10*G59/参数设置!$B$11,参数设置!$B$14),0)</f>
        <v>66.5</v>
      </c>
      <c r="J59" s="25">
        <f>H59+I59</f>
        <v>66.5</v>
      </c>
      <c r="K59" s="28">
        <f>EDATE(B59,参数设置!$B$12)</f>
        <v>46731</v>
      </c>
      <c r="L59" s="20">
        <f>--(A59&lt;=参数设置!$B$6)</f>
        <v>1</v>
      </c>
    </row>
    <row r="60" spans="1:12">
      <c r="A60" s="12">
        <v>5</v>
      </c>
      <c r="B60" s="21">
        <f>EDATE(参数设置!$B$4,A60-1)</f>
        <v>46366</v>
      </c>
      <c r="C60" s="22">
        <f>参数设置!$B$5</f>
        <v>23400</v>
      </c>
      <c r="D60" s="12">
        <v>9</v>
      </c>
      <c r="E60" s="28">
        <f>IF(D60=1,B60,F59)</f>
        <v>46635</v>
      </c>
      <c r="F60" s="28">
        <f>IF(D60&lt;参数设置!$B$12,DATE(YEAR(EDATE(B60,D60+1)),MONTH(EDATE(B60,D60+1)),参数设置!$B$13),EDATE(B60,参数设置!$B$12))</f>
        <v>46665</v>
      </c>
      <c r="G60" s="20">
        <f>F60-E60</f>
        <v>30</v>
      </c>
      <c r="H60" s="25">
        <f>IF(D60=参数设置!$B$12,C60,0)</f>
        <v>0</v>
      </c>
      <c r="I60" s="25">
        <f>IF(L60=1,ROUND(C60*参数设置!$B$10*G60/参数设置!$B$11,参数设置!$B$14),0)</f>
        <v>64.349999999999994</v>
      </c>
      <c r="J60" s="25">
        <f>H60+I60</f>
        <v>64.349999999999994</v>
      </c>
      <c r="K60" s="28">
        <f>EDATE(B60,参数设置!$B$12)</f>
        <v>46731</v>
      </c>
      <c r="L60" s="20">
        <f>--(A60&lt;=参数设置!$B$6)</f>
        <v>1</v>
      </c>
    </row>
    <row r="61" spans="1:12">
      <c r="A61" s="12">
        <v>5</v>
      </c>
      <c r="B61" s="21">
        <f>EDATE(参数设置!$B$4,A61-1)</f>
        <v>46366</v>
      </c>
      <c r="C61" s="22">
        <f>参数设置!$B$5</f>
        <v>23400</v>
      </c>
      <c r="D61" s="12">
        <v>10</v>
      </c>
      <c r="E61" s="28">
        <f>IF(D61=1,B61,F60)</f>
        <v>46665</v>
      </c>
      <c r="F61" s="28">
        <f>IF(D61&lt;参数设置!$B$12,DATE(YEAR(EDATE(B61,D61+1)),MONTH(EDATE(B61,D61+1)),参数设置!$B$13),EDATE(B61,参数设置!$B$12))</f>
        <v>46696</v>
      </c>
      <c r="G61" s="20">
        <f>F61-E61</f>
        <v>31</v>
      </c>
      <c r="H61" s="25">
        <f>IF(D61=参数设置!$B$12,C61,0)</f>
        <v>0</v>
      </c>
      <c r="I61" s="25">
        <f>IF(L61=1,ROUND(C61*参数设置!$B$10*G61/参数设置!$B$11,参数设置!$B$14),0)</f>
        <v>66.5</v>
      </c>
      <c r="J61" s="25">
        <f>H61+I61</f>
        <v>66.5</v>
      </c>
      <c r="K61" s="28">
        <f>EDATE(B61,参数设置!$B$12)</f>
        <v>46731</v>
      </c>
      <c r="L61" s="20">
        <f>--(A61&lt;=参数设置!$B$6)</f>
        <v>1</v>
      </c>
    </row>
    <row r="62" spans="1:12">
      <c r="A62" s="12">
        <v>5</v>
      </c>
      <c r="B62" s="21">
        <f>EDATE(参数设置!$B$4,A62-1)</f>
        <v>46366</v>
      </c>
      <c r="C62" s="22">
        <f>参数设置!$B$5</f>
        <v>23400</v>
      </c>
      <c r="D62" s="12">
        <v>11</v>
      </c>
      <c r="E62" s="28">
        <f>IF(D62=1,B62,F61)</f>
        <v>46696</v>
      </c>
      <c r="F62" s="28">
        <f>IF(D62&lt;参数设置!$B$12,DATE(YEAR(EDATE(B62,D62+1)),MONTH(EDATE(B62,D62+1)),参数设置!$B$13),EDATE(B62,参数设置!$B$12))</f>
        <v>46726</v>
      </c>
      <c r="G62" s="20">
        <f>F62-E62</f>
        <v>30</v>
      </c>
      <c r="H62" s="25">
        <f>IF(D62=参数设置!$B$12,C62,0)</f>
        <v>0</v>
      </c>
      <c r="I62" s="25">
        <f>IF(L62=1,ROUND(C62*参数设置!$B$10*G62/参数设置!$B$11,参数设置!$B$14),0)</f>
        <v>64.349999999999994</v>
      </c>
      <c r="J62" s="25">
        <f>H62+I62</f>
        <v>64.349999999999994</v>
      </c>
      <c r="K62" s="28">
        <f>EDATE(B62,参数设置!$B$12)</f>
        <v>46731</v>
      </c>
      <c r="L62" s="20">
        <f>--(A62&lt;=参数设置!$B$6)</f>
        <v>1</v>
      </c>
    </row>
    <row r="63" spans="1:12">
      <c r="A63" s="12">
        <v>5</v>
      </c>
      <c r="B63" s="21">
        <f>EDATE(参数设置!$B$4,A63-1)</f>
        <v>46366</v>
      </c>
      <c r="C63" s="22">
        <f>参数设置!$B$5</f>
        <v>23400</v>
      </c>
      <c r="D63" s="12">
        <v>12</v>
      </c>
      <c r="E63" s="28">
        <f>IF(D63=1,B63,F62)</f>
        <v>46726</v>
      </c>
      <c r="F63" s="28">
        <f>IF(D63&lt;参数设置!$B$12,DATE(YEAR(EDATE(B63,D63+1)),MONTH(EDATE(B63,D63+1)),参数设置!$B$13),EDATE(B63,参数设置!$B$12))</f>
        <v>46731</v>
      </c>
      <c r="G63" s="20">
        <f>F63-E63</f>
        <v>5</v>
      </c>
      <c r="H63" s="25">
        <f>IF(D63=参数设置!$B$12,C63,0)</f>
        <v>23400</v>
      </c>
      <c r="I63" s="25">
        <f>IF(L63=1,ROUND(C63*参数设置!$B$10*G63/参数设置!$B$11,参数设置!$B$14),0)</f>
        <v>10.73</v>
      </c>
      <c r="J63" s="25">
        <f>H63+I63</f>
        <v>23410.73</v>
      </c>
      <c r="K63" s="28">
        <f>EDATE(B63,参数设置!$B$12)</f>
        <v>46731</v>
      </c>
      <c r="L63" s="20">
        <f>--(A63&lt;=参数设置!$B$6)</f>
        <v>1</v>
      </c>
    </row>
    <row r="64" spans="1:12">
      <c r="A64" s="12">
        <v>6</v>
      </c>
      <c r="B64" s="21">
        <f>EDATE(参数设置!$B$4,A64-1)</f>
        <v>46397</v>
      </c>
      <c r="C64" s="22">
        <f>参数设置!$B$5</f>
        <v>23400</v>
      </c>
      <c r="D64" s="12">
        <v>1</v>
      </c>
      <c r="E64" s="28">
        <f>IF(D64=1,B64,F63)</f>
        <v>46397</v>
      </c>
      <c r="F64" s="28">
        <f>IF(D64&lt;参数设置!$B$12,DATE(YEAR(EDATE(B64,D64+1)),MONTH(EDATE(B64,D64+1)),参数设置!$B$13),EDATE(B64,参数设置!$B$12))</f>
        <v>46451</v>
      </c>
      <c r="G64" s="20">
        <f>F64-E64</f>
        <v>54</v>
      </c>
      <c r="H64" s="25">
        <f>IF(D64=参数设置!$B$12,C64,0)</f>
        <v>0</v>
      </c>
      <c r="I64" s="25">
        <f>IF(L64=1,ROUND(C64*参数设置!$B$10*G64/参数设置!$B$11,参数设置!$B$14),0)</f>
        <v>115.83</v>
      </c>
      <c r="J64" s="25">
        <f>H64+I64</f>
        <v>115.83</v>
      </c>
      <c r="K64" s="28">
        <f>EDATE(B64,参数设置!$B$12)</f>
        <v>46762</v>
      </c>
      <c r="L64" s="20">
        <f>--(A64&lt;=参数设置!$B$6)</f>
        <v>1</v>
      </c>
    </row>
    <row r="65" spans="1:12">
      <c r="A65" s="12">
        <v>6</v>
      </c>
      <c r="B65" s="21">
        <f>EDATE(参数设置!$B$4,A65-1)</f>
        <v>46397</v>
      </c>
      <c r="C65" s="22">
        <f>参数设置!$B$5</f>
        <v>23400</v>
      </c>
      <c r="D65" s="12">
        <v>2</v>
      </c>
      <c r="E65" s="28">
        <f>IF(D65=1,B65,F64)</f>
        <v>46451</v>
      </c>
      <c r="F65" s="28">
        <f>IF(D65&lt;参数设置!$B$12,DATE(YEAR(EDATE(B65,D65+1)),MONTH(EDATE(B65,D65+1)),参数设置!$B$13),EDATE(B65,参数设置!$B$12))</f>
        <v>46482</v>
      </c>
      <c r="G65" s="20">
        <f>F65-E65</f>
        <v>31</v>
      </c>
      <c r="H65" s="25">
        <f>IF(D65=参数设置!$B$12,C65,0)</f>
        <v>0</v>
      </c>
      <c r="I65" s="25">
        <f>IF(L65=1,ROUND(C65*参数设置!$B$10*G65/参数设置!$B$11,参数设置!$B$14),0)</f>
        <v>66.5</v>
      </c>
      <c r="J65" s="25">
        <f>H65+I65</f>
        <v>66.5</v>
      </c>
      <c r="K65" s="28">
        <f>EDATE(B65,参数设置!$B$12)</f>
        <v>46762</v>
      </c>
      <c r="L65" s="20">
        <f>--(A65&lt;=参数设置!$B$6)</f>
        <v>1</v>
      </c>
    </row>
    <row r="66" spans="1:12">
      <c r="A66" s="12">
        <v>6</v>
      </c>
      <c r="B66" s="21">
        <f>EDATE(参数设置!$B$4,A66-1)</f>
        <v>46397</v>
      </c>
      <c r="C66" s="22">
        <f>参数设置!$B$5</f>
        <v>23400</v>
      </c>
      <c r="D66" s="12">
        <v>3</v>
      </c>
      <c r="E66" s="28">
        <f>IF(D66=1,B66,F65)</f>
        <v>46482</v>
      </c>
      <c r="F66" s="28">
        <f>IF(D66&lt;参数设置!$B$12,DATE(YEAR(EDATE(B66,D66+1)),MONTH(EDATE(B66,D66+1)),参数设置!$B$13),EDATE(B66,参数设置!$B$12))</f>
        <v>46512</v>
      </c>
      <c r="G66" s="20">
        <f>F66-E66</f>
        <v>30</v>
      </c>
      <c r="H66" s="25">
        <f>IF(D66=参数设置!$B$12,C66,0)</f>
        <v>0</v>
      </c>
      <c r="I66" s="25">
        <f>IF(L66=1,ROUND(C66*参数设置!$B$10*G66/参数设置!$B$11,参数设置!$B$14),0)</f>
        <v>64.349999999999994</v>
      </c>
      <c r="J66" s="25">
        <f>H66+I66</f>
        <v>64.349999999999994</v>
      </c>
      <c r="K66" s="28">
        <f>EDATE(B66,参数设置!$B$12)</f>
        <v>46762</v>
      </c>
      <c r="L66" s="20">
        <f>--(A66&lt;=参数设置!$B$6)</f>
        <v>1</v>
      </c>
    </row>
    <row r="67" spans="1:12">
      <c r="A67" s="12">
        <v>6</v>
      </c>
      <c r="B67" s="21">
        <f>EDATE(参数设置!$B$4,A67-1)</f>
        <v>46397</v>
      </c>
      <c r="C67" s="22">
        <f>参数设置!$B$5</f>
        <v>23400</v>
      </c>
      <c r="D67" s="12">
        <v>4</v>
      </c>
      <c r="E67" s="28">
        <f>IF(D67=1,B67,F66)</f>
        <v>46512</v>
      </c>
      <c r="F67" s="28">
        <f>IF(D67&lt;参数设置!$B$12,DATE(YEAR(EDATE(B67,D67+1)),MONTH(EDATE(B67,D67+1)),参数设置!$B$13),EDATE(B67,参数设置!$B$12))</f>
        <v>46543</v>
      </c>
      <c r="G67" s="20">
        <f>F67-E67</f>
        <v>31</v>
      </c>
      <c r="H67" s="25">
        <f>IF(D67=参数设置!$B$12,C67,0)</f>
        <v>0</v>
      </c>
      <c r="I67" s="25">
        <f>IF(L67=1,ROUND(C67*参数设置!$B$10*G67/参数设置!$B$11,参数设置!$B$14),0)</f>
        <v>66.5</v>
      </c>
      <c r="J67" s="25">
        <f>H67+I67</f>
        <v>66.5</v>
      </c>
      <c r="K67" s="28">
        <f>EDATE(B67,参数设置!$B$12)</f>
        <v>46762</v>
      </c>
      <c r="L67" s="20">
        <f>--(A67&lt;=参数设置!$B$6)</f>
        <v>1</v>
      </c>
    </row>
    <row r="68" spans="1:12">
      <c r="A68" s="12">
        <v>6</v>
      </c>
      <c r="B68" s="21">
        <f>EDATE(参数设置!$B$4,A68-1)</f>
        <v>46397</v>
      </c>
      <c r="C68" s="22">
        <f>参数设置!$B$5</f>
        <v>23400</v>
      </c>
      <c r="D68" s="12">
        <v>5</v>
      </c>
      <c r="E68" s="28">
        <f>IF(D68=1,B68,F67)</f>
        <v>46543</v>
      </c>
      <c r="F68" s="28">
        <f>IF(D68&lt;参数设置!$B$12,DATE(YEAR(EDATE(B68,D68+1)),MONTH(EDATE(B68,D68+1)),参数设置!$B$13),EDATE(B68,参数设置!$B$12))</f>
        <v>46573</v>
      </c>
      <c r="G68" s="20">
        <f>F68-E68</f>
        <v>30</v>
      </c>
      <c r="H68" s="25">
        <f>IF(D68=参数设置!$B$12,C68,0)</f>
        <v>0</v>
      </c>
      <c r="I68" s="25">
        <f>IF(L68=1,ROUND(C68*参数设置!$B$10*G68/参数设置!$B$11,参数设置!$B$14),0)</f>
        <v>64.349999999999994</v>
      </c>
      <c r="J68" s="25">
        <f>H68+I68</f>
        <v>64.349999999999994</v>
      </c>
      <c r="K68" s="28">
        <f>EDATE(B68,参数设置!$B$12)</f>
        <v>46762</v>
      </c>
      <c r="L68" s="20">
        <f>--(A68&lt;=参数设置!$B$6)</f>
        <v>1</v>
      </c>
    </row>
    <row r="69" spans="1:12">
      <c r="A69" s="12">
        <v>6</v>
      </c>
      <c r="B69" s="21">
        <f>EDATE(参数设置!$B$4,A69-1)</f>
        <v>46397</v>
      </c>
      <c r="C69" s="22">
        <f>参数设置!$B$5</f>
        <v>23400</v>
      </c>
      <c r="D69" s="12">
        <v>6</v>
      </c>
      <c r="E69" s="28">
        <f>IF(D69=1,B69,F68)</f>
        <v>46573</v>
      </c>
      <c r="F69" s="28">
        <f>IF(D69&lt;参数设置!$B$12,DATE(YEAR(EDATE(B69,D69+1)),MONTH(EDATE(B69,D69+1)),参数设置!$B$13),EDATE(B69,参数设置!$B$12))</f>
        <v>46604</v>
      </c>
      <c r="G69" s="20">
        <f>F69-E69</f>
        <v>31</v>
      </c>
      <c r="H69" s="25">
        <f>IF(D69=参数设置!$B$12,C69,0)</f>
        <v>0</v>
      </c>
      <c r="I69" s="25">
        <f>IF(L69=1,ROUND(C69*参数设置!$B$10*G69/参数设置!$B$11,参数设置!$B$14),0)</f>
        <v>66.5</v>
      </c>
      <c r="J69" s="25">
        <f>H69+I69</f>
        <v>66.5</v>
      </c>
      <c r="K69" s="28">
        <f>EDATE(B69,参数设置!$B$12)</f>
        <v>46762</v>
      </c>
      <c r="L69" s="20">
        <f>--(A69&lt;=参数设置!$B$6)</f>
        <v>1</v>
      </c>
    </row>
    <row r="70" spans="1:12">
      <c r="A70" s="12">
        <v>6</v>
      </c>
      <c r="B70" s="21">
        <f>EDATE(参数设置!$B$4,A70-1)</f>
        <v>46397</v>
      </c>
      <c r="C70" s="22">
        <f>参数设置!$B$5</f>
        <v>23400</v>
      </c>
      <c r="D70" s="12">
        <v>7</v>
      </c>
      <c r="E70" s="28">
        <f>IF(D70=1,B70,F69)</f>
        <v>46604</v>
      </c>
      <c r="F70" s="28">
        <f>IF(D70&lt;参数设置!$B$12,DATE(YEAR(EDATE(B70,D70+1)),MONTH(EDATE(B70,D70+1)),参数设置!$B$13),EDATE(B70,参数设置!$B$12))</f>
        <v>46635</v>
      </c>
      <c r="G70" s="20">
        <f>F70-E70</f>
        <v>31</v>
      </c>
      <c r="H70" s="25">
        <f>IF(D70=参数设置!$B$12,C70,0)</f>
        <v>0</v>
      </c>
      <c r="I70" s="25">
        <f>IF(L70=1,ROUND(C70*参数设置!$B$10*G70/参数设置!$B$11,参数设置!$B$14),0)</f>
        <v>66.5</v>
      </c>
      <c r="J70" s="25">
        <f>H70+I70</f>
        <v>66.5</v>
      </c>
      <c r="K70" s="28">
        <f>EDATE(B70,参数设置!$B$12)</f>
        <v>46762</v>
      </c>
      <c r="L70" s="20">
        <f>--(A70&lt;=参数设置!$B$6)</f>
        <v>1</v>
      </c>
    </row>
    <row r="71" spans="1:12">
      <c r="A71" s="12">
        <v>6</v>
      </c>
      <c r="B71" s="21">
        <f>EDATE(参数设置!$B$4,A71-1)</f>
        <v>46397</v>
      </c>
      <c r="C71" s="22">
        <f>参数设置!$B$5</f>
        <v>23400</v>
      </c>
      <c r="D71" s="12">
        <v>8</v>
      </c>
      <c r="E71" s="28">
        <f>IF(D71=1,B71,F70)</f>
        <v>46635</v>
      </c>
      <c r="F71" s="28">
        <f>IF(D71&lt;参数设置!$B$12,DATE(YEAR(EDATE(B71,D71+1)),MONTH(EDATE(B71,D71+1)),参数设置!$B$13),EDATE(B71,参数设置!$B$12))</f>
        <v>46665</v>
      </c>
      <c r="G71" s="20">
        <f>F71-E71</f>
        <v>30</v>
      </c>
      <c r="H71" s="25">
        <f>IF(D71=参数设置!$B$12,C71,0)</f>
        <v>0</v>
      </c>
      <c r="I71" s="25">
        <f>IF(L71=1,ROUND(C71*参数设置!$B$10*G71/参数设置!$B$11,参数设置!$B$14),0)</f>
        <v>64.349999999999994</v>
      </c>
      <c r="J71" s="25">
        <f>H71+I71</f>
        <v>64.349999999999994</v>
      </c>
      <c r="K71" s="28">
        <f>EDATE(B71,参数设置!$B$12)</f>
        <v>46762</v>
      </c>
      <c r="L71" s="20">
        <f>--(A71&lt;=参数设置!$B$6)</f>
        <v>1</v>
      </c>
    </row>
    <row r="72" spans="1:12">
      <c r="A72" s="12">
        <v>6</v>
      </c>
      <c r="B72" s="21">
        <f>EDATE(参数设置!$B$4,A72-1)</f>
        <v>46397</v>
      </c>
      <c r="C72" s="22">
        <f>参数设置!$B$5</f>
        <v>23400</v>
      </c>
      <c r="D72" s="12">
        <v>9</v>
      </c>
      <c r="E72" s="28">
        <f>IF(D72=1,B72,F71)</f>
        <v>46665</v>
      </c>
      <c r="F72" s="28">
        <f>IF(D72&lt;参数设置!$B$12,DATE(YEAR(EDATE(B72,D72+1)),MONTH(EDATE(B72,D72+1)),参数设置!$B$13),EDATE(B72,参数设置!$B$12))</f>
        <v>46696</v>
      </c>
      <c r="G72" s="20">
        <f>F72-E72</f>
        <v>31</v>
      </c>
      <c r="H72" s="25">
        <f>IF(D72=参数设置!$B$12,C72,0)</f>
        <v>0</v>
      </c>
      <c r="I72" s="25">
        <f>IF(L72=1,ROUND(C72*参数设置!$B$10*G72/参数设置!$B$11,参数设置!$B$14),0)</f>
        <v>66.5</v>
      </c>
      <c r="J72" s="25">
        <f>H72+I72</f>
        <v>66.5</v>
      </c>
      <c r="K72" s="28">
        <f>EDATE(B72,参数设置!$B$12)</f>
        <v>46762</v>
      </c>
      <c r="L72" s="20">
        <f>--(A72&lt;=参数设置!$B$6)</f>
        <v>1</v>
      </c>
    </row>
    <row r="73" spans="1:12">
      <c r="A73" s="12">
        <v>6</v>
      </c>
      <c r="B73" s="21">
        <f>EDATE(参数设置!$B$4,A73-1)</f>
        <v>46397</v>
      </c>
      <c r="C73" s="22">
        <f>参数设置!$B$5</f>
        <v>23400</v>
      </c>
      <c r="D73" s="12">
        <v>10</v>
      </c>
      <c r="E73" s="28">
        <f>IF(D73=1,B73,F72)</f>
        <v>46696</v>
      </c>
      <c r="F73" s="28">
        <f>IF(D73&lt;参数设置!$B$12,DATE(YEAR(EDATE(B73,D73+1)),MONTH(EDATE(B73,D73+1)),参数设置!$B$13),EDATE(B73,参数设置!$B$12))</f>
        <v>46726</v>
      </c>
      <c r="G73" s="20">
        <f>F73-E73</f>
        <v>30</v>
      </c>
      <c r="H73" s="25">
        <f>IF(D73=参数设置!$B$12,C73,0)</f>
        <v>0</v>
      </c>
      <c r="I73" s="25">
        <f>IF(L73=1,ROUND(C73*参数设置!$B$10*G73/参数设置!$B$11,参数设置!$B$14),0)</f>
        <v>64.349999999999994</v>
      </c>
      <c r="J73" s="25">
        <f>H73+I73</f>
        <v>64.349999999999994</v>
      </c>
      <c r="K73" s="28">
        <f>EDATE(B73,参数设置!$B$12)</f>
        <v>46762</v>
      </c>
      <c r="L73" s="20">
        <f>--(A73&lt;=参数设置!$B$6)</f>
        <v>1</v>
      </c>
    </row>
    <row r="74" spans="1:12">
      <c r="A74" s="12">
        <v>6</v>
      </c>
      <c r="B74" s="21">
        <f>EDATE(参数设置!$B$4,A74-1)</f>
        <v>46397</v>
      </c>
      <c r="C74" s="22">
        <f>参数设置!$B$5</f>
        <v>23400</v>
      </c>
      <c r="D74" s="12">
        <v>11</v>
      </c>
      <c r="E74" s="28">
        <f>IF(D74=1,B74,F73)</f>
        <v>46726</v>
      </c>
      <c r="F74" s="28">
        <f>IF(D74&lt;参数设置!$B$12,DATE(YEAR(EDATE(B74,D74+1)),MONTH(EDATE(B74,D74+1)),参数设置!$B$13),EDATE(B74,参数设置!$B$12))</f>
        <v>46757</v>
      </c>
      <c r="G74" s="20">
        <f>F74-E74</f>
        <v>31</v>
      </c>
      <c r="H74" s="25">
        <f>IF(D74=参数设置!$B$12,C74,0)</f>
        <v>0</v>
      </c>
      <c r="I74" s="25">
        <f>IF(L74=1,ROUND(C74*参数设置!$B$10*G74/参数设置!$B$11,参数设置!$B$14),0)</f>
        <v>66.5</v>
      </c>
      <c r="J74" s="25">
        <f>H74+I74</f>
        <v>66.5</v>
      </c>
      <c r="K74" s="28">
        <f>EDATE(B74,参数设置!$B$12)</f>
        <v>46762</v>
      </c>
      <c r="L74" s="20">
        <f>--(A74&lt;=参数设置!$B$6)</f>
        <v>1</v>
      </c>
    </row>
    <row r="75" spans="1:12">
      <c r="A75" s="12">
        <v>6</v>
      </c>
      <c r="B75" s="21">
        <f>EDATE(参数设置!$B$4,A75-1)</f>
        <v>46397</v>
      </c>
      <c r="C75" s="22">
        <f>参数设置!$B$5</f>
        <v>23400</v>
      </c>
      <c r="D75" s="12">
        <v>12</v>
      </c>
      <c r="E75" s="28">
        <f>IF(D75=1,B75,F74)</f>
        <v>46757</v>
      </c>
      <c r="F75" s="28">
        <f>IF(D75&lt;参数设置!$B$12,DATE(YEAR(EDATE(B75,D75+1)),MONTH(EDATE(B75,D75+1)),参数设置!$B$13),EDATE(B75,参数设置!$B$12))</f>
        <v>46762</v>
      </c>
      <c r="G75" s="20">
        <f>F75-E75</f>
        <v>5</v>
      </c>
      <c r="H75" s="25">
        <f>IF(D75=参数设置!$B$12,C75,0)</f>
        <v>23400</v>
      </c>
      <c r="I75" s="25">
        <f>IF(L75=1,ROUND(C75*参数设置!$B$10*G75/参数设置!$B$11,参数设置!$B$14),0)</f>
        <v>10.73</v>
      </c>
      <c r="J75" s="25">
        <f>H75+I75</f>
        <v>23410.73</v>
      </c>
      <c r="K75" s="28">
        <f>EDATE(B75,参数设置!$B$12)</f>
        <v>46762</v>
      </c>
      <c r="L75" s="20">
        <f>--(A75&lt;=参数设置!$B$6)</f>
        <v>1</v>
      </c>
    </row>
    <row r="76" spans="1:12">
      <c r="A76" s="12">
        <v>7</v>
      </c>
      <c r="B76" s="21">
        <f>EDATE(参数设置!$B$4,A76-1)</f>
        <v>46428</v>
      </c>
      <c r="C76" s="22">
        <f>参数设置!$B$5</f>
        <v>23400</v>
      </c>
      <c r="D76" s="12">
        <v>1</v>
      </c>
      <c r="E76" s="28">
        <f>IF(D76=1,B76,F75)</f>
        <v>46428</v>
      </c>
      <c r="F76" s="28">
        <f>IF(D76&lt;参数设置!$B$12,DATE(YEAR(EDATE(B76,D76+1)),MONTH(EDATE(B76,D76+1)),参数设置!$B$13),EDATE(B76,参数设置!$B$12))</f>
        <v>46482</v>
      </c>
      <c r="G76" s="20">
        <f>F76-E76</f>
        <v>54</v>
      </c>
      <c r="H76" s="25">
        <f>IF(D76=参数设置!$B$12,C76,0)</f>
        <v>0</v>
      </c>
      <c r="I76" s="25">
        <f>IF(L76=1,ROUND(C76*参数设置!$B$10*G76/参数设置!$B$11,参数设置!$B$14),0)</f>
        <v>115.83</v>
      </c>
      <c r="J76" s="25">
        <f>H76+I76</f>
        <v>115.83</v>
      </c>
      <c r="K76" s="28">
        <f>EDATE(B76,参数设置!$B$12)</f>
        <v>46793</v>
      </c>
      <c r="L76" s="20">
        <f>--(A76&lt;=参数设置!$B$6)</f>
        <v>1</v>
      </c>
    </row>
    <row r="77" spans="1:12">
      <c r="A77" s="12">
        <v>7</v>
      </c>
      <c r="B77" s="21">
        <f>EDATE(参数设置!$B$4,A77-1)</f>
        <v>46428</v>
      </c>
      <c r="C77" s="22">
        <f>参数设置!$B$5</f>
        <v>23400</v>
      </c>
      <c r="D77" s="12">
        <v>2</v>
      </c>
      <c r="E77" s="28">
        <f>IF(D77=1,B77,F76)</f>
        <v>46482</v>
      </c>
      <c r="F77" s="28">
        <f>IF(D77&lt;参数设置!$B$12,DATE(YEAR(EDATE(B77,D77+1)),MONTH(EDATE(B77,D77+1)),参数设置!$B$13),EDATE(B77,参数设置!$B$12))</f>
        <v>46512</v>
      </c>
      <c r="G77" s="20">
        <f>F77-E77</f>
        <v>30</v>
      </c>
      <c r="H77" s="25">
        <f>IF(D77=参数设置!$B$12,C77,0)</f>
        <v>0</v>
      </c>
      <c r="I77" s="25">
        <f>IF(L77=1,ROUND(C77*参数设置!$B$10*G77/参数设置!$B$11,参数设置!$B$14),0)</f>
        <v>64.349999999999994</v>
      </c>
      <c r="J77" s="25">
        <f>H77+I77</f>
        <v>64.349999999999994</v>
      </c>
      <c r="K77" s="28">
        <f>EDATE(B77,参数设置!$B$12)</f>
        <v>46793</v>
      </c>
      <c r="L77" s="20">
        <f>--(A77&lt;=参数设置!$B$6)</f>
        <v>1</v>
      </c>
    </row>
    <row r="78" spans="1:12">
      <c r="A78" s="12">
        <v>7</v>
      </c>
      <c r="B78" s="21">
        <f>EDATE(参数设置!$B$4,A78-1)</f>
        <v>46428</v>
      </c>
      <c r="C78" s="22">
        <f>参数设置!$B$5</f>
        <v>23400</v>
      </c>
      <c r="D78" s="12">
        <v>3</v>
      </c>
      <c r="E78" s="28">
        <f>IF(D78=1,B78,F77)</f>
        <v>46512</v>
      </c>
      <c r="F78" s="28">
        <f>IF(D78&lt;参数设置!$B$12,DATE(YEAR(EDATE(B78,D78+1)),MONTH(EDATE(B78,D78+1)),参数设置!$B$13),EDATE(B78,参数设置!$B$12))</f>
        <v>46543</v>
      </c>
      <c r="G78" s="20">
        <f>F78-E78</f>
        <v>31</v>
      </c>
      <c r="H78" s="25">
        <f>IF(D78=参数设置!$B$12,C78,0)</f>
        <v>0</v>
      </c>
      <c r="I78" s="25">
        <f>IF(L78=1,ROUND(C78*参数设置!$B$10*G78/参数设置!$B$11,参数设置!$B$14),0)</f>
        <v>66.5</v>
      </c>
      <c r="J78" s="25">
        <f>H78+I78</f>
        <v>66.5</v>
      </c>
      <c r="K78" s="28">
        <f>EDATE(B78,参数设置!$B$12)</f>
        <v>46793</v>
      </c>
      <c r="L78" s="20">
        <f>--(A78&lt;=参数设置!$B$6)</f>
        <v>1</v>
      </c>
    </row>
    <row r="79" spans="1:12">
      <c r="A79" s="12">
        <v>7</v>
      </c>
      <c r="B79" s="21">
        <f>EDATE(参数设置!$B$4,A79-1)</f>
        <v>46428</v>
      </c>
      <c r="C79" s="22">
        <f>参数设置!$B$5</f>
        <v>23400</v>
      </c>
      <c r="D79" s="12">
        <v>4</v>
      </c>
      <c r="E79" s="28">
        <f>IF(D79=1,B79,F78)</f>
        <v>46543</v>
      </c>
      <c r="F79" s="28">
        <f>IF(D79&lt;参数设置!$B$12,DATE(YEAR(EDATE(B79,D79+1)),MONTH(EDATE(B79,D79+1)),参数设置!$B$13),EDATE(B79,参数设置!$B$12))</f>
        <v>46573</v>
      </c>
      <c r="G79" s="20">
        <f>F79-E79</f>
        <v>30</v>
      </c>
      <c r="H79" s="25">
        <f>IF(D79=参数设置!$B$12,C79,0)</f>
        <v>0</v>
      </c>
      <c r="I79" s="25">
        <f>IF(L79=1,ROUND(C79*参数设置!$B$10*G79/参数设置!$B$11,参数设置!$B$14),0)</f>
        <v>64.349999999999994</v>
      </c>
      <c r="J79" s="25">
        <f>H79+I79</f>
        <v>64.349999999999994</v>
      </c>
      <c r="K79" s="28">
        <f>EDATE(B79,参数设置!$B$12)</f>
        <v>46793</v>
      </c>
      <c r="L79" s="20">
        <f>--(A79&lt;=参数设置!$B$6)</f>
        <v>1</v>
      </c>
    </row>
    <row r="80" spans="1:12">
      <c r="A80" s="12">
        <v>7</v>
      </c>
      <c r="B80" s="21">
        <f>EDATE(参数设置!$B$4,A80-1)</f>
        <v>46428</v>
      </c>
      <c r="C80" s="22">
        <f>参数设置!$B$5</f>
        <v>23400</v>
      </c>
      <c r="D80" s="12">
        <v>5</v>
      </c>
      <c r="E80" s="28">
        <f>IF(D80=1,B80,F79)</f>
        <v>46573</v>
      </c>
      <c r="F80" s="28">
        <f>IF(D80&lt;参数设置!$B$12,DATE(YEAR(EDATE(B80,D80+1)),MONTH(EDATE(B80,D80+1)),参数设置!$B$13),EDATE(B80,参数设置!$B$12))</f>
        <v>46604</v>
      </c>
      <c r="G80" s="20">
        <f>F80-E80</f>
        <v>31</v>
      </c>
      <c r="H80" s="25">
        <f>IF(D80=参数设置!$B$12,C80,0)</f>
        <v>0</v>
      </c>
      <c r="I80" s="25">
        <f>IF(L80=1,ROUND(C80*参数设置!$B$10*G80/参数设置!$B$11,参数设置!$B$14),0)</f>
        <v>66.5</v>
      </c>
      <c r="J80" s="25">
        <f>H80+I80</f>
        <v>66.5</v>
      </c>
      <c r="K80" s="28">
        <f>EDATE(B80,参数设置!$B$12)</f>
        <v>46793</v>
      </c>
      <c r="L80" s="20">
        <f>--(A80&lt;=参数设置!$B$6)</f>
        <v>1</v>
      </c>
    </row>
    <row r="81" spans="1:12">
      <c r="A81" s="12">
        <v>7</v>
      </c>
      <c r="B81" s="21">
        <f>EDATE(参数设置!$B$4,A81-1)</f>
        <v>46428</v>
      </c>
      <c r="C81" s="22">
        <f>参数设置!$B$5</f>
        <v>23400</v>
      </c>
      <c r="D81" s="12">
        <v>6</v>
      </c>
      <c r="E81" s="28">
        <f>IF(D81=1,B81,F80)</f>
        <v>46604</v>
      </c>
      <c r="F81" s="28">
        <f>IF(D81&lt;参数设置!$B$12,DATE(YEAR(EDATE(B81,D81+1)),MONTH(EDATE(B81,D81+1)),参数设置!$B$13),EDATE(B81,参数设置!$B$12))</f>
        <v>46635</v>
      </c>
      <c r="G81" s="20">
        <f>F81-E81</f>
        <v>31</v>
      </c>
      <c r="H81" s="25">
        <f>IF(D81=参数设置!$B$12,C81,0)</f>
        <v>0</v>
      </c>
      <c r="I81" s="25">
        <f>IF(L81=1,ROUND(C81*参数设置!$B$10*G81/参数设置!$B$11,参数设置!$B$14),0)</f>
        <v>66.5</v>
      </c>
      <c r="J81" s="25">
        <f>H81+I81</f>
        <v>66.5</v>
      </c>
      <c r="K81" s="28">
        <f>EDATE(B81,参数设置!$B$12)</f>
        <v>46793</v>
      </c>
      <c r="L81" s="20">
        <f>--(A81&lt;=参数设置!$B$6)</f>
        <v>1</v>
      </c>
    </row>
    <row r="82" spans="1:12">
      <c r="A82" s="12">
        <v>7</v>
      </c>
      <c r="B82" s="21">
        <f>EDATE(参数设置!$B$4,A82-1)</f>
        <v>46428</v>
      </c>
      <c r="C82" s="22">
        <f>参数设置!$B$5</f>
        <v>23400</v>
      </c>
      <c r="D82" s="12">
        <v>7</v>
      </c>
      <c r="E82" s="28">
        <f>IF(D82=1,B82,F81)</f>
        <v>46635</v>
      </c>
      <c r="F82" s="28">
        <f>IF(D82&lt;参数设置!$B$12,DATE(YEAR(EDATE(B82,D82+1)),MONTH(EDATE(B82,D82+1)),参数设置!$B$13),EDATE(B82,参数设置!$B$12))</f>
        <v>46665</v>
      </c>
      <c r="G82" s="20">
        <f>F82-E82</f>
        <v>30</v>
      </c>
      <c r="H82" s="25">
        <f>IF(D82=参数设置!$B$12,C82,0)</f>
        <v>0</v>
      </c>
      <c r="I82" s="25">
        <f>IF(L82=1,ROUND(C82*参数设置!$B$10*G82/参数设置!$B$11,参数设置!$B$14),0)</f>
        <v>64.349999999999994</v>
      </c>
      <c r="J82" s="25">
        <f>H82+I82</f>
        <v>64.349999999999994</v>
      </c>
      <c r="K82" s="28">
        <f>EDATE(B82,参数设置!$B$12)</f>
        <v>46793</v>
      </c>
      <c r="L82" s="20">
        <f>--(A82&lt;=参数设置!$B$6)</f>
        <v>1</v>
      </c>
    </row>
    <row r="83" spans="1:12">
      <c r="A83" s="12">
        <v>7</v>
      </c>
      <c r="B83" s="21">
        <f>EDATE(参数设置!$B$4,A83-1)</f>
        <v>46428</v>
      </c>
      <c r="C83" s="22">
        <f>参数设置!$B$5</f>
        <v>23400</v>
      </c>
      <c r="D83" s="12">
        <v>8</v>
      </c>
      <c r="E83" s="28">
        <f>IF(D83=1,B83,F82)</f>
        <v>46665</v>
      </c>
      <c r="F83" s="28">
        <f>IF(D83&lt;参数设置!$B$12,DATE(YEAR(EDATE(B83,D83+1)),MONTH(EDATE(B83,D83+1)),参数设置!$B$13),EDATE(B83,参数设置!$B$12))</f>
        <v>46696</v>
      </c>
      <c r="G83" s="20">
        <f>F83-E83</f>
        <v>31</v>
      </c>
      <c r="H83" s="25">
        <f>IF(D83=参数设置!$B$12,C83,0)</f>
        <v>0</v>
      </c>
      <c r="I83" s="25">
        <f>IF(L83=1,ROUND(C83*参数设置!$B$10*G83/参数设置!$B$11,参数设置!$B$14),0)</f>
        <v>66.5</v>
      </c>
      <c r="J83" s="25">
        <f>H83+I83</f>
        <v>66.5</v>
      </c>
      <c r="K83" s="28">
        <f>EDATE(B83,参数设置!$B$12)</f>
        <v>46793</v>
      </c>
      <c r="L83" s="20">
        <f>--(A83&lt;=参数设置!$B$6)</f>
        <v>1</v>
      </c>
    </row>
    <row r="84" spans="1:12">
      <c r="A84" s="12">
        <v>7</v>
      </c>
      <c r="B84" s="21">
        <f>EDATE(参数设置!$B$4,A84-1)</f>
        <v>46428</v>
      </c>
      <c r="C84" s="22">
        <f>参数设置!$B$5</f>
        <v>23400</v>
      </c>
      <c r="D84" s="12">
        <v>9</v>
      </c>
      <c r="E84" s="28">
        <f>IF(D84=1,B84,F83)</f>
        <v>46696</v>
      </c>
      <c r="F84" s="28">
        <f>IF(D84&lt;参数设置!$B$12,DATE(YEAR(EDATE(B84,D84+1)),MONTH(EDATE(B84,D84+1)),参数设置!$B$13),EDATE(B84,参数设置!$B$12))</f>
        <v>46726</v>
      </c>
      <c r="G84" s="20">
        <f>F84-E84</f>
        <v>30</v>
      </c>
      <c r="H84" s="25">
        <f>IF(D84=参数设置!$B$12,C84,0)</f>
        <v>0</v>
      </c>
      <c r="I84" s="25">
        <f>IF(L84=1,ROUND(C84*参数设置!$B$10*G84/参数设置!$B$11,参数设置!$B$14),0)</f>
        <v>64.349999999999994</v>
      </c>
      <c r="J84" s="25">
        <f>H84+I84</f>
        <v>64.349999999999994</v>
      </c>
      <c r="K84" s="28">
        <f>EDATE(B84,参数设置!$B$12)</f>
        <v>46793</v>
      </c>
      <c r="L84" s="20">
        <f>--(A84&lt;=参数设置!$B$6)</f>
        <v>1</v>
      </c>
    </row>
    <row r="85" spans="1:12">
      <c r="A85" s="12">
        <v>7</v>
      </c>
      <c r="B85" s="21">
        <f>EDATE(参数设置!$B$4,A85-1)</f>
        <v>46428</v>
      </c>
      <c r="C85" s="22">
        <f>参数设置!$B$5</f>
        <v>23400</v>
      </c>
      <c r="D85" s="12">
        <v>10</v>
      </c>
      <c r="E85" s="28">
        <f>IF(D85=1,B85,F84)</f>
        <v>46726</v>
      </c>
      <c r="F85" s="28">
        <f>IF(D85&lt;参数设置!$B$12,DATE(YEAR(EDATE(B85,D85+1)),MONTH(EDATE(B85,D85+1)),参数设置!$B$13),EDATE(B85,参数设置!$B$12))</f>
        <v>46757</v>
      </c>
      <c r="G85" s="20">
        <f>F85-E85</f>
        <v>31</v>
      </c>
      <c r="H85" s="25">
        <f>IF(D85=参数设置!$B$12,C85,0)</f>
        <v>0</v>
      </c>
      <c r="I85" s="25">
        <f>IF(L85=1,ROUND(C85*参数设置!$B$10*G85/参数设置!$B$11,参数设置!$B$14),0)</f>
        <v>66.5</v>
      </c>
      <c r="J85" s="25">
        <f>H85+I85</f>
        <v>66.5</v>
      </c>
      <c r="K85" s="28">
        <f>EDATE(B85,参数设置!$B$12)</f>
        <v>46793</v>
      </c>
      <c r="L85" s="20">
        <f>--(A85&lt;=参数设置!$B$6)</f>
        <v>1</v>
      </c>
    </row>
    <row r="86" spans="1:12">
      <c r="A86" s="12">
        <v>7</v>
      </c>
      <c r="B86" s="21">
        <f>EDATE(参数设置!$B$4,A86-1)</f>
        <v>46428</v>
      </c>
      <c r="C86" s="22">
        <f>参数设置!$B$5</f>
        <v>23400</v>
      </c>
      <c r="D86" s="12">
        <v>11</v>
      </c>
      <c r="E86" s="28">
        <f>IF(D86=1,B86,F85)</f>
        <v>46757</v>
      </c>
      <c r="F86" s="28">
        <f>IF(D86&lt;参数设置!$B$12,DATE(YEAR(EDATE(B86,D86+1)),MONTH(EDATE(B86,D86+1)),参数设置!$B$13),EDATE(B86,参数设置!$B$12))</f>
        <v>46788</v>
      </c>
      <c r="G86" s="20">
        <f>F86-E86</f>
        <v>31</v>
      </c>
      <c r="H86" s="25">
        <f>IF(D86=参数设置!$B$12,C86,0)</f>
        <v>0</v>
      </c>
      <c r="I86" s="25">
        <f>IF(L86=1,ROUND(C86*参数设置!$B$10*G86/参数设置!$B$11,参数设置!$B$14),0)</f>
        <v>66.5</v>
      </c>
      <c r="J86" s="25">
        <f>H86+I86</f>
        <v>66.5</v>
      </c>
      <c r="K86" s="28">
        <f>EDATE(B86,参数设置!$B$12)</f>
        <v>46793</v>
      </c>
      <c r="L86" s="20">
        <f>--(A86&lt;=参数设置!$B$6)</f>
        <v>1</v>
      </c>
    </row>
    <row r="87" spans="1:12">
      <c r="A87" s="12">
        <v>7</v>
      </c>
      <c r="B87" s="21">
        <f>EDATE(参数设置!$B$4,A87-1)</f>
        <v>46428</v>
      </c>
      <c r="C87" s="22">
        <f>参数设置!$B$5</f>
        <v>23400</v>
      </c>
      <c r="D87" s="12">
        <v>12</v>
      </c>
      <c r="E87" s="28">
        <f>IF(D87=1,B87,F86)</f>
        <v>46788</v>
      </c>
      <c r="F87" s="28">
        <f>IF(D87&lt;参数设置!$B$12,DATE(YEAR(EDATE(B87,D87+1)),MONTH(EDATE(B87,D87+1)),参数设置!$B$13),EDATE(B87,参数设置!$B$12))</f>
        <v>46793</v>
      </c>
      <c r="G87" s="20">
        <f>F87-E87</f>
        <v>5</v>
      </c>
      <c r="H87" s="25">
        <f>IF(D87=参数设置!$B$12,C87,0)</f>
        <v>23400</v>
      </c>
      <c r="I87" s="25">
        <f>IF(L87=1,ROUND(C87*参数设置!$B$10*G87/参数设置!$B$11,参数设置!$B$14),0)</f>
        <v>10.73</v>
      </c>
      <c r="J87" s="25">
        <f>H87+I87</f>
        <v>23410.73</v>
      </c>
      <c r="K87" s="28">
        <f>EDATE(B87,参数设置!$B$12)</f>
        <v>46793</v>
      </c>
      <c r="L87" s="20">
        <f>--(A87&lt;=参数设置!$B$6)</f>
        <v>1</v>
      </c>
    </row>
    <row r="88" spans="1:12">
      <c r="A88" s="12">
        <v>8</v>
      </c>
      <c r="B88" s="21">
        <f>EDATE(参数设置!$B$4,A88-1)</f>
        <v>46456</v>
      </c>
      <c r="C88" s="22">
        <f>参数设置!$B$5</f>
        <v>23400</v>
      </c>
      <c r="D88" s="12">
        <v>1</v>
      </c>
      <c r="E88" s="28">
        <f>IF(D88=1,B88,F87)</f>
        <v>46456</v>
      </c>
      <c r="F88" s="28">
        <f>IF(D88&lt;参数设置!$B$12,DATE(YEAR(EDATE(B88,D88+1)),MONTH(EDATE(B88,D88+1)),参数设置!$B$13),EDATE(B88,参数设置!$B$12))</f>
        <v>46512</v>
      </c>
      <c r="G88" s="20">
        <f>F88-E88</f>
        <v>56</v>
      </c>
      <c r="H88" s="25">
        <f>IF(D88=参数设置!$B$12,C88,0)</f>
        <v>0</v>
      </c>
      <c r="I88" s="25">
        <f>IF(L88=1,ROUND(C88*参数设置!$B$10*G88/参数设置!$B$11,参数设置!$B$14),0)</f>
        <v>120.12</v>
      </c>
      <c r="J88" s="25">
        <f>H88+I88</f>
        <v>120.12</v>
      </c>
      <c r="K88" s="28">
        <f>EDATE(B88,参数设置!$B$12)</f>
        <v>46822</v>
      </c>
      <c r="L88" s="20">
        <f>--(A88&lt;=参数设置!$B$6)</f>
        <v>1</v>
      </c>
    </row>
    <row r="89" spans="1:12">
      <c r="A89" s="12">
        <v>8</v>
      </c>
      <c r="B89" s="21">
        <f>EDATE(参数设置!$B$4,A89-1)</f>
        <v>46456</v>
      </c>
      <c r="C89" s="22">
        <f>参数设置!$B$5</f>
        <v>23400</v>
      </c>
      <c r="D89" s="12">
        <v>2</v>
      </c>
      <c r="E89" s="28">
        <f>IF(D89=1,B89,F88)</f>
        <v>46512</v>
      </c>
      <c r="F89" s="28">
        <f>IF(D89&lt;参数设置!$B$12,DATE(YEAR(EDATE(B89,D89+1)),MONTH(EDATE(B89,D89+1)),参数设置!$B$13),EDATE(B89,参数设置!$B$12))</f>
        <v>46543</v>
      </c>
      <c r="G89" s="20">
        <f>F89-E89</f>
        <v>31</v>
      </c>
      <c r="H89" s="25">
        <f>IF(D89=参数设置!$B$12,C89,0)</f>
        <v>0</v>
      </c>
      <c r="I89" s="25">
        <f>IF(L89=1,ROUND(C89*参数设置!$B$10*G89/参数设置!$B$11,参数设置!$B$14),0)</f>
        <v>66.5</v>
      </c>
      <c r="J89" s="25">
        <f>H89+I89</f>
        <v>66.5</v>
      </c>
      <c r="K89" s="28">
        <f>EDATE(B89,参数设置!$B$12)</f>
        <v>46822</v>
      </c>
      <c r="L89" s="20">
        <f>--(A89&lt;=参数设置!$B$6)</f>
        <v>1</v>
      </c>
    </row>
    <row r="90" spans="1:12">
      <c r="A90" s="12">
        <v>8</v>
      </c>
      <c r="B90" s="21">
        <f>EDATE(参数设置!$B$4,A90-1)</f>
        <v>46456</v>
      </c>
      <c r="C90" s="22">
        <f>参数设置!$B$5</f>
        <v>23400</v>
      </c>
      <c r="D90" s="12">
        <v>3</v>
      </c>
      <c r="E90" s="28">
        <f>IF(D90=1,B90,F89)</f>
        <v>46543</v>
      </c>
      <c r="F90" s="28">
        <f>IF(D90&lt;参数设置!$B$12,DATE(YEAR(EDATE(B90,D90+1)),MONTH(EDATE(B90,D90+1)),参数设置!$B$13),EDATE(B90,参数设置!$B$12))</f>
        <v>46573</v>
      </c>
      <c r="G90" s="20">
        <f>F90-E90</f>
        <v>30</v>
      </c>
      <c r="H90" s="25">
        <f>IF(D90=参数设置!$B$12,C90,0)</f>
        <v>0</v>
      </c>
      <c r="I90" s="25">
        <f>IF(L90=1,ROUND(C90*参数设置!$B$10*G90/参数设置!$B$11,参数设置!$B$14),0)</f>
        <v>64.349999999999994</v>
      </c>
      <c r="J90" s="25">
        <f>H90+I90</f>
        <v>64.349999999999994</v>
      </c>
      <c r="K90" s="28">
        <f>EDATE(B90,参数设置!$B$12)</f>
        <v>46822</v>
      </c>
      <c r="L90" s="20">
        <f>--(A90&lt;=参数设置!$B$6)</f>
        <v>1</v>
      </c>
    </row>
    <row r="91" spans="1:12">
      <c r="A91" s="12">
        <v>8</v>
      </c>
      <c r="B91" s="21">
        <f>EDATE(参数设置!$B$4,A91-1)</f>
        <v>46456</v>
      </c>
      <c r="C91" s="22">
        <f>参数设置!$B$5</f>
        <v>23400</v>
      </c>
      <c r="D91" s="12">
        <v>4</v>
      </c>
      <c r="E91" s="28">
        <f>IF(D91=1,B91,F90)</f>
        <v>46573</v>
      </c>
      <c r="F91" s="28">
        <f>IF(D91&lt;参数设置!$B$12,DATE(YEAR(EDATE(B91,D91+1)),MONTH(EDATE(B91,D91+1)),参数设置!$B$13),EDATE(B91,参数设置!$B$12))</f>
        <v>46604</v>
      </c>
      <c r="G91" s="20">
        <f>F91-E91</f>
        <v>31</v>
      </c>
      <c r="H91" s="25">
        <f>IF(D91=参数设置!$B$12,C91,0)</f>
        <v>0</v>
      </c>
      <c r="I91" s="25">
        <f>IF(L91=1,ROUND(C91*参数设置!$B$10*G91/参数设置!$B$11,参数设置!$B$14),0)</f>
        <v>66.5</v>
      </c>
      <c r="J91" s="25">
        <f>H91+I91</f>
        <v>66.5</v>
      </c>
      <c r="K91" s="28">
        <f>EDATE(B91,参数设置!$B$12)</f>
        <v>46822</v>
      </c>
      <c r="L91" s="20">
        <f>--(A91&lt;=参数设置!$B$6)</f>
        <v>1</v>
      </c>
    </row>
    <row r="92" spans="1:12">
      <c r="A92" s="12">
        <v>8</v>
      </c>
      <c r="B92" s="21">
        <f>EDATE(参数设置!$B$4,A92-1)</f>
        <v>46456</v>
      </c>
      <c r="C92" s="22">
        <f>参数设置!$B$5</f>
        <v>23400</v>
      </c>
      <c r="D92" s="12">
        <v>5</v>
      </c>
      <c r="E92" s="28">
        <f>IF(D92=1,B92,F91)</f>
        <v>46604</v>
      </c>
      <c r="F92" s="28">
        <f>IF(D92&lt;参数设置!$B$12,DATE(YEAR(EDATE(B92,D92+1)),MONTH(EDATE(B92,D92+1)),参数设置!$B$13),EDATE(B92,参数设置!$B$12))</f>
        <v>46635</v>
      </c>
      <c r="G92" s="20">
        <f>F92-E92</f>
        <v>31</v>
      </c>
      <c r="H92" s="25">
        <f>IF(D92=参数设置!$B$12,C92,0)</f>
        <v>0</v>
      </c>
      <c r="I92" s="25">
        <f>IF(L92=1,ROUND(C92*参数设置!$B$10*G92/参数设置!$B$11,参数设置!$B$14),0)</f>
        <v>66.5</v>
      </c>
      <c r="J92" s="25">
        <f>H92+I92</f>
        <v>66.5</v>
      </c>
      <c r="K92" s="28">
        <f>EDATE(B92,参数设置!$B$12)</f>
        <v>46822</v>
      </c>
      <c r="L92" s="20">
        <f>--(A92&lt;=参数设置!$B$6)</f>
        <v>1</v>
      </c>
    </row>
    <row r="93" spans="1:12">
      <c r="A93" s="12">
        <v>8</v>
      </c>
      <c r="B93" s="21">
        <f>EDATE(参数设置!$B$4,A93-1)</f>
        <v>46456</v>
      </c>
      <c r="C93" s="22">
        <f>参数设置!$B$5</f>
        <v>23400</v>
      </c>
      <c r="D93" s="12">
        <v>6</v>
      </c>
      <c r="E93" s="28">
        <f>IF(D93=1,B93,F92)</f>
        <v>46635</v>
      </c>
      <c r="F93" s="28">
        <f>IF(D93&lt;参数设置!$B$12,DATE(YEAR(EDATE(B93,D93+1)),MONTH(EDATE(B93,D93+1)),参数设置!$B$13),EDATE(B93,参数设置!$B$12))</f>
        <v>46665</v>
      </c>
      <c r="G93" s="20">
        <f>F93-E93</f>
        <v>30</v>
      </c>
      <c r="H93" s="25">
        <f>IF(D93=参数设置!$B$12,C93,0)</f>
        <v>0</v>
      </c>
      <c r="I93" s="25">
        <f>IF(L93=1,ROUND(C93*参数设置!$B$10*G93/参数设置!$B$11,参数设置!$B$14),0)</f>
        <v>64.349999999999994</v>
      </c>
      <c r="J93" s="25">
        <f>H93+I93</f>
        <v>64.349999999999994</v>
      </c>
      <c r="K93" s="28">
        <f>EDATE(B93,参数设置!$B$12)</f>
        <v>46822</v>
      </c>
      <c r="L93" s="20">
        <f>--(A93&lt;=参数设置!$B$6)</f>
        <v>1</v>
      </c>
    </row>
    <row r="94" spans="1:12">
      <c r="A94" s="12">
        <v>8</v>
      </c>
      <c r="B94" s="21">
        <f>EDATE(参数设置!$B$4,A94-1)</f>
        <v>46456</v>
      </c>
      <c r="C94" s="22">
        <f>参数设置!$B$5</f>
        <v>23400</v>
      </c>
      <c r="D94" s="12">
        <v>7</v>
      </c>
      <c r="E94" s="28">
        <f>IF(D94=1,B94,F93)</f>
        <v>46665</v>
      </c>
      <c r="F94" s="28">
        <f>IF(D94&lt;参数设置!$B$12,DATE(YEAR(EDATE(B94,D94+1)),MONTH(EDATE(B94,D94+1)),参数设置!$B$13),EDATE(B94,参数设置!$B$12))</f>
        <v>46696</v>
      </c>
      <c r="G94" s="20">
        <f>F94-E94</f>
        <v>31</v>
      </c>
      <c r="H94" s="25">
        <f>IF(D94=参数设置!$B$12,C94,0)</f>
        <v>0</v>
      </c>
      <c r="I94" s="25">
        <f>IF(L94=1,ROUND(C94*参数设置!$B$10*G94/参数设置!$B$11,参数设置!$B$14),0)</f>
        <v>66.5</v>
      </c>
      <c r="J94" s="25">
        <f>H94+I94</f>
        <v>66.5</v>
      </c>
      <c r="K94" s="28">
        <f>EDATE(B94,参数设置!$B$12)</f>
        <v>46822</v>
      </c>
      <c r="L94" s="20">
        <f>--(A94&lt;=参数设置!$B$6)</f>
        <v>1</v>
      </c>
    </row>
    <row r="95" spans="1:12">
      <c r="A95" s="12">
        <v>8</v>
      </c>
      <c r="B95" s="21">
        <f>EDATE(参数设置!$B$4,A95-1)</f>
        <v>46456</v>
      </c>
      <c r="C95" s="22">
        <f>参数设置!$B$5</f>
        <v>23400</v>
      </c>
      <c r="D95" s="12">
        <v>8</v>
      </c>
      <c r="E95" s="28">
        <f>IF(D95=1,B95,F94)</f>
        <v>46696</v>
      </c>
      <c r="F95" s="28">
        <f>IF(D95&lt;参数设置!$B$12,DATE(YEAR(EDATE(B95,D95+1)),MONTH(EDATE(B95,D95+1)),参数设置!$B$13),EDATE(B95,参数设置!$B$12))</f>
        <v>46726</v>
      </c>
      <c r="G95" s="20">
        <f>F95-E95</f>
        <v>30</v>
      </c>
      <c r="H95" s="25">
        <f>IF(D95=参数设置!$B$12,C95,0)</f>
        <v>0</v>
      </c>
      <c r="I95" s="25">
        <f>IF(L95=1,ROUND(C95*参数设置!$B$10*G95/参数设置!$B$11,参数设置!$B$14),0)</f>
        <v>64.349999999999994</v>
      </c>
      <c r="J95" s="25">
        <f>H95+I95</f>
        <v>64.349999999999994</v>
      </c>
      <c r="K95" s="28">
        <f>EDATE(B95,参数设置!$B$12)</f>
        <v>46822</v>
      </c>
      <c r="L95" s="20">
        <f>--(A95&lt;=参数设置!$B$6)</f>
        <v>1</v>
      </c>
    </row>
    <row r="96" spans="1:12">
      <c r="A96" s="12">
        <v>8</v>
      </c>
      <c r="B96" s="21">
        <f>EDATE(参数设置!$B$4,A96-1)</f>
        <v>46456</v>
      </c>
      <c r="C96" s="22">
        <f>参数设置!$B$5</f>
        <v>23400</v>
      </c>
      <c r="D96" s="12">
        <v>9</v>
      </c>
      <c r="E96" s="28">
        <f>IF(D96=1,B96,F95)</f>
        <v>46726</v>
      </c>
      <c r="F96" s="28">
        <f>IF(D96&lt;参数设置!$B$12,DATE(YEAR(EDATE(B96,D96+1)),MONTH(EDATE(B96,D96+1)),参数设置!$B$13),EDATE(B96,参数设置!$B$12))</f>
        <v>46757</v>
      </c>
      <c r="G96" s="20">
        <f>F96-E96</f>
        <v>31</v>
      </c>
      <c r="H96" s="25">
        <f>IF(D96=参数设置!$B$12,C96,0)</f>
        <v>0</v>
      </c>
      <c r="I96" s="25">
        <f>IF(L96=1,ROUND(C96*参数设置!$B$10*G96/参数设置!$B$11,参数设置!$B$14),0)</f>
        <v>66.5</v>
      </c>
      <c r="J96" s="25">
        <f>H96+I96</f>
        <v>66.5</v>
      </c>
      <c r="K96" s="28">
        <f>EDATE(B96,参数设置!$B$12)</f>
        <v>46822</v>
      </c>
      <c r="L96" s="20">
        <f>--(A96&lt;=参数设置!$B$6)</f>
        <v>1</v>
      </c>
    </row>
    <row r="97" spans="1:12">
      <c r="A97" s="12">
        <v>8</v>
      </c>
      <c r="B97" s="21">
        <f>EDATE(参数设置!$B$4,A97-1)</f>
        <v>46456</v>
      </c>
      <c r="C97" s="22">
        <f>参数设置!$B$5</f>
        <v>23400</v>
      </c>
      <c r="D97" s="12">
        <v>10</v>
      </c>
      <c r="E97" s="28">
        <f>IF(D97=1,B97,F96)</f>
        <v>46757</v>
      </c>
      <c r="F97" s="28">
        <f>IF(D97&lt;参数设置!$B$12,DATE(YEAR(EDATE(B97,D97+1)),MONTH(EDATE(B97,D97+1)),参数设置!$B$13),EDATE(B97,参数设置!$B$12))</f>
        <v>46788</v>
      </c>
      <c r="G97" s="20">
        <f>F97-E97</f>
        <v>31</v>
      </c>
      <c r="H97" s="25">
        <f>IF(D97=参数设置!$B$12,C97,0)</f>
        <v>0</v>
      </c>
      <c r="I97" s="25">
        <f>IF(L97=1,ROUND(C97*参数设置!$B$10*G97/参数设置!$B$11,参数设置!$B$14),0)</f>
        <v>66.5</v>
      </c>
      <c r="J97" s="25">
        <f>H97+I97</f>
        <v>66.5</v>
      </c>
      <c r="K97" s="28">
        <f>EDATE(B97,参数设置!$B$12)</f>
        <v>46822</v>
      </c>
      <c r="L97" s="20">
        <f>--(A97&lt;=参数设置!$B$6)</f>
        <v>1</v>
      </c>
    </row>
    <row r="98" spans="1:12">
      <c r="A98" s="12">
        <v>8</v>
      </c>
      <c r="B98" s="21">
        <f>EDATE(参数设置!$B$4,A98-1)</f>
        <v>46456</v>
      </c>
      <c r="C98" s="22">
        <f>参数设置!$B$5</f>
        <v>23400</v>
      </c>
      <c r="D98" s="12">
        <v>11</v>
      </c>
      <c r="E98" s="28">
        <f>IF(D98=1,B98,F97)</f>
        <v>46788</v>
      </c>
      <c r="F98" s="28">
        <f>IF(D98&lt;参数设置!$B$12,DATE(YEAR(EDATE(B98,D98+1)),MONTH(EDATE(B98,D98+1)),参数设置!$B$13),EDATE(B98,参数设置!$B$12))</f>
        <v>46817</v>
      </c>
      <c r="G98" s="20">
        <f>F98-E98</f>
        <v>29</v>
      </c>
      <c r="H98" s="25">
        <f>IF(D98=参数设置!$B$12,C98,0)</f>
        <v>0</v>
      </c>
      <c r="I98" s="25">
        <f>IF(L98=1,ROUND(C98*参数设置!$B$10*G98/参数设置!$B$11,参数设置!$B$14),0)</f>
        <v>62.21</v>
      </c>
      <c r="J98" s="25">
        <f>H98+I98</f>
        <v>62.21</v>
      </c>
      <c r="K98" s="28">
        <f>EDATE(B98,参数设置!$B$12)</f>
        <v>46822</v>
      </c>
      <c r="L98" s="20">
        <f>--(A98&lt;=参数设置!$B$6)</f>
        <v>1</v>
      </c>
    </row>
    <row r="99" spans="1:12">
      <c r="A99" s="12">
        <v>8</v>
      </c>
      <c r="B99" s="21">
        <f>EDATE(参数设置!$B$4,A99-1)</f>
        <v>46456</v>
      </c>
      <c r="C99" s="22">
        <f>参数设置!$B$5</f>
        <v>23400</v>
      </c>
      <c r="D99" s="12">
        <v>12</v>
      </c>
      <c r="E99" s="28">
        <f>IF(D99=1,B99,F98)</f>
        <v>46817</v>
      </c>
      <c r="F99" s="28">
        <f>IF(D99&lt;参数设置!$B$12,DATE(YEAR(EDATE(B99,D99+1)),MONTH(EDATE(B99,D99+1)),参数设置!$B$13),EDATE(B99,参数设置!$B$12))</f>
        <v>46822</v>
      </c>
      <c r="G99" s="20">
        <f>F99-E99</f>
        <v>5</v>
      </c>
      <c r="H99" s="25">
        <f>IF(D99=参数设置!$B$12,C99,0)</f>
        <v>23400</v>
      </c>
      <c r="I99" s="25">
        <f>IF(L99=1,ROUND(C99*参数设置!$B$10*G99/参数设置!$B$11,参数设置!$B$14),0)</f>
        <v>10.73</v>
      </c>
      <c r="J99" s="25">
        <f>H99+I99</f>
        <v>23410.73</v>
      </c>
      <c r="K99" s="28">
        <f>EDATE(B99,参数设置!$B$12)</f>
        <v>46822</v>
      </c>
      <c r="L99" s="20">
        <f>--(A99&lt;=参数设置!$B$6)</f>
        <v>1</v>
      </c>
    </row>
    <row r="100" spans="1:12">
      <c r="A100" s="12">
        <v>9</v>
      </c>
      <c r="B100" s="21">
        <f>EDATE(参数设置!$B$4,A100-1)</f>
        <v>46487</v>
      </c>
      <c r="C100" s="22">
        <f>参数设置!$B$5</f>
        <v>23400</v>
      </c>
      <c r="D100" s="12">
        <v>1</v>
      </c>
      <c r="E100" s="28">
        <f>IF(D100=1,B100,F99)</f>
        <v>46487</v>
      </c>
      <c r="F100" s="28">
        <f>IF(D100&lt;参数设置!$B$12,DATE(YEAR(EDATE(B100,D100+1)),MONTH(EDATE(B100,D100+1)),参数设置!$B$13),EDATE(B100,参数设置!$B$12))</f>
        <v>46543</v>
      </c>
      <c r="G100" s="20">
        <f>F100-E100</f>
        <v>56</v>
      </c>
      <c r="H100" s="25">
        <f>IF(D100=参数设置!$B$12,C100,0)</f>
        <v>0</v>
      </c>
      <c r="I100" s="25">
        <f>IF(L100=1,ROUND(C100*参数设置!$B$10*G100/参数设置!$B$11,参数设置!$B$14),0)</f>
        <v>120.12</v>
      </c>
      <c r="J100" s="25">
        <f>H100+I100</f>
        <v>120.12</v>
      </c>
      <c r="K100" s="28">
        <f>EDATE(B100,参数设置!$B$12)</f>
        <v>46853</v>
      </c>
      <c r="L100" s="20">
        <f>--(A100&lt;=参数设置!$B$6)</f>
        <v>1</v>
      </c>
    </row>
    <row r="101" spans="1:12">
      <c r="A101" s="12">
        <v>9</v>
      </c>
      <c r="B101" s="21">
        <f>EDATE(参数设置!$B$4,A101-1)</f>
        <v>46487</v>
      </c>
      <c r="C101" s="22">
        <f>参数设置!$B$5</f>
        <v>23400</v>
      </c>
      <c r="D101" s="12">
        <v>2</v>
      </c>
      <c r="E101" s="28">
        <f>IF(D101=1,B101,F100)</f>
        <v>46543</v>
      </c>
      <c r="F101" s="28">
        <f>IF(D101&lt;参数设置!$B$12,DATE(YEAR(EDATE(B101,D101+1)),MONTH(EDATE(B101,D101+1)),参数设置!$B$13),EDATE(B101,参数设置!$B$12))</f>
        <v>46573</v>
      </c>
      <c r="G101" s="20">
        <f>F101-E101</f>
        <v>30</v>
      </c>
      <c r="H101" s="25">
        <f>IF(D101=参数设置!$B$12,C101,0)</f>
        <v>0</v>
      </c>
      <c r="I101" s="25">
        <f>IF(L101=1,ROUND(C101*参数设置!$B$10*G101/参数设置!$B$11,参数设置!$B$14),0)</f>
        <v>64.349999999999994</v>
      </c>
      <c r="J101" s="25">
        <f>H101+I101</f>
        <v>64.349999999999994</v>
      </c>
      <c r="K101" s="28">
        <f>EDATE(B101,参数设置!$B$12)</f>
        <v>46853</v>
      </c>
      <c r="L101" s="20">
        <f>--(A101&lt;=参数设置!$B$6)</f>
        <v>1</v>
      </c>
    </row>
    <row r="102" spans="1:12">
      <c r="A102" s="12">
        <v>9</v>
      </c>
      <c r="B102" s="21">
        <f>EDATE(参数设置!$B$4,A102-1)</f>
        <v>46487</v>
      </c>
      <c r="C102" s="22">
        <f>参数设置!$B$5</f>
        <v>23400</v>
      </c>
      <c r="D102" s="12">
        <v>3</v>
      </c>
      <c r="E102" s="28">
        <f>IF(D102=1,B102,F101)</f>
        <v>46573</v>
      </c>
      <c r="F102" s="28">
        <f>IF(D102&lt;参数设置!$B$12,DATE(YEAR(EDATE(B102,D102+1)),MONTH(EDATE(B102,D102+1)),参数设置!$B$13),EDATE(B102,参数设置!$B$12))</f>
        <v>46604</v>
      </c>
      <c r="G102" s="20">
        <f>F102-E102</f>
        <v>31</v>
      </c>
      <c r="H102" s="25">
        <f>IF(D102=参数设置!$B$12,C102,0)</f>
        <v>0</v>
      </c>
      <c r="I102" s="25">
        <f>IF(L102=1,ROUND(C102*参数设置!$B$10*G102/参数设置!$B$11,参数设置!$B$14),0)</f>
        <v>66.5</v>
      </c>
      <c r="J102" s="25">
        <f>H102+I102</f>
        <v>66.5</v>
      </c>
      <c r="K102" s="28">
        <f>EDATE(B102,参数设置!$B$12)</f>
        <v>46853</v>
      </c>
      <c r="L102" s="20">
        <f>--(A102&lt;=参数设置!$B$6)</f>
        <v>1</v>
      </c>
    </row>
    <row r="103" spans="1:12">
      <c r="A103" s="12">
        <v>9</v>
      </c>
      <c r="B103" s="21">
        <f>EDATE(参数设置!$B$4,A103-1)</f>
        <v>46487</v>
      </c>
      <c r="C103" s="22">
        <f>参数设置!$B$5</f>
        <v>23400</v>
      </c>
      <c r="D103" s="12">
        <v>4</v>
      </c>
      <c r="E103" s="28">
        <f>IF(D103=1,B103,F102)</f>
        <v>46604</v>
      </c>
      <c r="F103" s="28">
        <f>IF(D103&lt;参数设置!$B$12,DATE(YEAR(EDATE(B103,D103+1)),MONTH(EDATE(B103,D103+1)),参数设置!$B$13),EDATE(B103,参数设置!$B$12))</f>
        <v>46635</v>
      </c>
      <c r="G103" s="20">
        <f>F103-E103</f>
        <v>31</v>
      </c>
      <c r="H103" s="25">
        <f>IF(D103=参数设置!$B$12,C103,0)</f>
        <v>0</v>
      </c>
      <c r="I103" s="25">
        <f>IF(L103=1,ROUND(C103*参数设置!$B$10*G103/参数设置!$B$11,参数设置!$B$14),0)</f>
        <v>66.5</v>
      </c>
      <c r="J103" s="25">
        <f>H103+I103</f>
        <v>66.5</v>
      </c>
      <c r="K103" s="28">
        <f>EDATE(B103,参数设置!$B$12)</f>
        <v>46853</v>
      </c>
      <c r="L103" s="20">
        <f>--(A103&lt;=参数设置!$B$6)</f>
        <v>1</v>
      </c>
    </row>
    <row r="104" spans="1:12">
      <c r="A104" s="12">
        <v>9</v>
      </c>
      <c r="B104" s="21">
        <f>EDATE(参数设置!$B$4,A104-1)</f>
        <v>46487</v>
      </c>
      <c r="C104" s="22">
        <f>参数设置!$B$5</f>
        <v>23400</v>
      </c>
      <c r="D104" s="12">
        <v>5</v>
      </c>
      <c r="E104" s="28">
        <f>IF(D104=1,B104,F103)</f>
        <v>46635</v>
      </c>
      <c r="F104" s="28">
        <f>IF(D104&lt;参数设置!$B$12,DATE(YEAR(EDATE(B104,D104+1)),MONTH(EDATE(B104,D104+1)),参数设置!$B$13),EDATE(B104,参数设置!$B$12))</f>
        <v>46665</v>
      </c>
      <c r="G104" s="20">
        <f>F104-E104</f>
        <v>30</v>
      </c>
      <c r="H104" s="25">
        <f>IF(D104=参数设置!$B$12,C104,0)</f>
        <v>0</v>
      </c>
      <c r="I104" s="25">
        <f>IF(L104=1,ROUND(C104*参数设置!$B$10*G104/参数设置!$B$11,参数设置!$B$14),0)</f>
        <v>64.349999999999994</v>
      </c>
      <c r="J104" s="25">
        <f>H104+I104</f>
        <v>64.349999999999994</v>
      </c>
      <c r="K104" s="28">
        <f>EDATE(B104,参数设置!$B$12)</f>
        <v>46853</v>
      </c>
      <c r="L104" s="20">
        <f>--(A104&lt;=参数设置!$B$6)</f>
        <v>1</v>
      </c>
    </row>
    <row r="105" spans="1:12">
      <c r="A105" s="12">
        <v>9</v>
      </c>
      <c r="B105" s="21">
        <f>EDATE(参数设置!$B$4,A105-1)</f>
        <v>46487</v>
      </c>
      <c r="C105" s="22">
        <f>参数设置!$B$5</f>
        <v>23400</v>
      </c>
      <c r="D105" s="12">
        <v>6</v>
      </c>
      <c r="E105" s="28">
        <f>IF(D105=1,B105,F104)</f>
        <v>46665</v>
      </c>
      <c r="F105" s="28">
        <f>IF(D105&lt;参数设置!$B$12,DATE(YEAR(EDATE(B105,D105+1)),MONTH(EDATE(B105,D105+1)),参数设置!$B$13),EDATE(B105,参数设置!$B$12))</f>
        <v>46696</v>
      </c>
      <c r="G105" s="20">
        <f>F105-E105</f>
        <v>31</v>
      </c>
      <c r="H105" s="25">
        <f>IF(D105=参数设置!$B$12,C105,0)</f>
        <v>0</v>
      </c>
      <c r="I105" s="25">
        <f>IF(L105=1,ROUND(C105*参数设置!$B$10*G105/参数设置!$B$11,参数设置!$B$14),0)</f>
        <v>66.5</v>
      </c>
      <c r="J105" s="25">
        <f>H105+I105</f>
        <v>66.5</v>
      </c>
      <c r="K105" s="28">
        <f>EDATE(B105,参数设置!$B$12)</f>
        <v>46853</v>
      </c>
      <c r="L105" s="20">
        <f>--(A105&lt;=参数设置!$B$6)</f>
        <v>1</v>
      </c>
    </row>
    <row r="106" spans="1:12">
      <c r="A106" s="12">
        <v>9</v>
      </c>
      <c r="B106" s="21">
        <f>EDATE(参数设置!$B$4,A106-1)</f>
        <v>46487</v>
      </c>
      <c r="C106" s="22">
        <f>参数设置!$B$5</f>
        <v>23400</v>
      </c>
      <c r="D106" s="12">
        <v>7</v>
      </c>
      <c r="E106" s="28">
        <f>IF(D106=1,B106,F105)</f>
        <v>46696</v>
      </c>
      <c r="F106" s="28">
        <f>IF(D106&lt;参数设置!$B$12,DATE(YEAR(EDATE(B106,D106+1)),MONTH(EDATE(B106,D106+1)),参数设置!$B$13),EDATE(B106,参数设置!$B$12))</f>
        <v>46726</v>
      </c>
      <c r="G106" s="20">
        <f>F106-E106</f>
        <v>30</v>
      </c>
      <c r="H106" s="25">
        <f>IF(D106=参数设置!$B$12,C106,0)</f>
        <v>0</v>
      </c>
      <c r="I106" s="25">
        <f>IF(L106=1,ROUND(C106*参数设置!$B$10*G106/参数设置!$B$11,参数设置!$B$14),0)</f>
        <v>64.349999999999994</v>
      </c>
      <c r="J106" s="25">
        <f>H106+I106</f>
        <v>64.349999999999994</v>
      </c>
      <c r="K106" s="28">
        <f>EDATE(B106,参数设置!$B$12)</f>
        <v>46853</v>
      </c>
      <c r="L106" s="20">
        <f>--(A106&lt;=参数设置!$B$6)</f>
        <v>1</v>
      </c>
    </row>
    <row r="107" spans="1:12">
      <c r="A107" s="12">
        <v>9</v>
      </c>
      <c r="B107" s="21">
        <f>EDATE(参数设置!$B$4,A107-1)</f>
        <v>46487</v>
      </c>
      <c r="C107" s="22">
        <f>参数设置!$B$5</f>
        <v>23400</v>
      </c>
      <c r="D107" s="12">
        <v>8</v>
      </c>
      <c r="E107" s="28">
        <f>IF(D107=1,B107,F106)</f>
        <v>46726</v>
      </c>
      <c r="F107" s="28">
        <f>IF(D107&lt;参数设置!$B$12,DATE(YEAR(EDATE(B107,D107+1)),MONTH(EDATE(B107,D107+1)),参数设置!$B$13),EDATE(B107,参数设置!$B$12))</f>
        <v>46757</v>
      </c>
      <c r="G107" s="20">
        <f>F107-E107</f>
        <v>31</v>
      </c>
      <c r="H107" s="25">
        <f>IF(D107=参数设置!$B$12,C107,0)</f>
        <v>0</v>
      </c>
      <c r="I107" s="25">
        <f>IF(L107=1,ROUND(C107*参数设置!$B$10*G107/参数设置!$B$11,参数设置!$B$14),0)</f>
        <v>66.5</v>
      </c>
      <c r="J107" s="25">
        <f>H107+I107</f>
        <v>66.5</v>
      </c>
      <c r="K107" s="28">
        <f>EDATE(B107,参数设置!$B$12)</f>
        <v>46853</v>
      </c>
      <c r="L107" s="20">
        <f>--(A107&lt;=参数设置!$B$6)</f>
        <v>1</v>
      </c>
    </row>
    <row r="108" spans="1:12">
      <c r="A108" s="12">
        <v>9</v>
      </c>
      <c r="B108" s="21">
        <f>EDATE(参数设置!$B$4,A108-1)</f>
        <v>46487</v>
      </c>
      <c r="C108" s="22">
        <f>参数设置!$B$5</f>
        <v>23400</v>
      </c>
      <c r="D108" s="12">
        <v>9</v>
      </c>
      <c r="E108" s="28">
        <f>IF(D108=1,B108,F107)</f>
        <v>46757</v>
      </c>
      <c r="F108" s="28">
        <f>IF(D108&lt;参数设置!$B$12,DATE(YEAR(EDATE(B108,D108+1)),MONTH(EDATE(B108,D108+1)),参数设置!$B$13),EDATE(B108,参数设置!$B$12))</f>
        <v>46788</v>
      </c>
      <c r="G108" s="20">
        <f>F108-E108</f>
        <v>31</v>
      </c>
      <c r="H108" s="25">
        <f>IF(D108=参数设置!$B$12,C108,0)</f>
        <v>0</v>
      </c>
      <c r="I108" s="25">
        <f>IF(L108=1,ROUND(C108*参数设置!$B$10*G108/参数设置!$B$11,参数设置!$B$14),0)</f>
        <v>66.5</v>
      </c>
      <c r="J108" s="25">
        <f>H108+I108</f>
        <v>66.5</v>
      </c>
      <c r="K108" s="28">
        <f>EDATE(B108,参数设置!$B$12)</f>
        <v>46853</v>
      </c>
      <c r="L108" s="20">
        <f>--(A108&lt;=参数设置!$B$6)</f>
        <v>1</v>
      </c>
    </row>
    <row r="109" spans="1:12">
      <c r="A109" s="12">
        <v>9</v>
      </c>
      <c r="B109" s="21">
        <f>EDATE(参数设置!$B$4,A109-1)</f>
        <v>46487</v>
      </c>
      <c r="C109" s="22">
        <f>参数设置!$B$5</f>
        <v>23400</v>
      </c>
      <c r="D109" s="12">
        <v>10</v>
      </c>
      <c r="E109" s="28">
        <f>IF(D109=1,B109,F108)</f>
        <v>46788</v>
      </c>
      <c r="F109" s="28">
        <f>IF(D109&lt;参数设置!$B$12,DATE(YEAR(EDATE(B109,D109+1)),MONTH(EDATE(B109,D109+1)),参数设置!$B$13),EDATE(B109,参数设置!$B$12))</f>
        <v>46817</v>
      </c>
      <c r="G109" s="20">
        <f>F109-E109</f>
        <v>29</v>
      </c>
      <c r="H109" s="25">
        <f>IF(D109=参数设置!$B$12,C109,0)</f>
        <v>0</v>
      </c>
      <c r="I109" s="25">
        <f>IF(L109=1,ROUND(C109*参数设置!$B$10*G109/参数设置!$B$11,参数设置!$B$14),0)</f>
        <v>62.21</v>
      </c>
      <c r="J109" s="25">
        <f>H109+I109</f>
        <v>62.21</v>
      </c>
      <c r="K109" s="28">
        <f>EDATE(B109,参数设置!$B$12)</f>
        <v>46853</v>
      </c>
      <c r="L109" s="20">
        <f>--(A109&lt;=参数设置!$B$6)</f>
        <v>1</v>
      </c>
    </row>
    <row r="110" spans="1:12">
      <c r="A110" s="12">
        <v>9</v>
      </c>
      <c r="B110" s="21">
        <f>EDATE(参数设置!$B$4,A110-1)</f>
        <v>46487</v>
      </c>
      <c r="C110" s="22">
        <f>参数设置!$B$5</f>
        <v>23400</v>
      </c>
      <c r="D110" s="12">
        <v>11</v>
      </c>
      <c r="E110" s="28">
        <f>IF(D110=1,B110,F109)</f>
        <v>46817</v>
      </c>
      <c r="F110" s="28">
        <f>IF(D110&lt;参数设置!$B$12,DATE(YEAR(EDATE(B110,D110+1)),MONTH(EDATE(B110,D110+1)),参数设置!$B$13),EDATE(B110,参数设置!$B$12))</f>
        <v>46848</v>
      </c>
      <c r="G110" s="20">
        <f>F110-E110</f>
        <v>31</v>
      </c>
      <c r="H110" s="25">
        <f>IF(D110=参数设置!$B$12,C110,0)</f>
        <v>0</v>
      </c>
      <c r="I110" s="25">
        <f>IF(L110=1,ROUND(C110*参数设置!$B$10*G110/参数设置!$B$11,参数设置!$B$14),0)</f>
        <v>66.5</v>
      </c>
      <c r="J110" s="25">
        <f>H110+I110</f>
        <v>66.5</v>
      </c>
      <c r="K110" s="28">
        <f>EDATE(B110,参数设置!$B$12)</f>
        <v>46853</v>
      </c>
      <c r="L110" s="20">
        <f>--(A110&lt;=参数设置!$B$6)</f>
        <v>1</v>
      </c>
    </row>
    <row r="111" spans="1:12">
      <c r="A111" s="12">
        <v>9</v>
      </c>
      <c r="B111" s="21">
        <f>EDATE(参数设置!$B$4,A111-1)</f>
        <v>46487</v>
      </c>
      <c r="C111" s="22">
        <f>参数设置!$B$5</f>
        <v>23400</v>
      </c>
      <c r="D111" s="12">
        <v>12</v>
      </c>
      <c r="E111" s="28">
        <f>IF(D111=1,B111,F110)</f>
        <v>46848</v>
      </c>
      <c r="F111" s="28">
        <f>IF(D111&lt;参数设置!$B$12,DATE(YEAR(EDATE(B111,D111+1)),MONTH(EDATE(B111,D111+1)),参数设置!$B$13),EDATE(B111,参数设置!$B$12))</f>
        <v>46853</v>
      </c>
      <c r="G111" s="20">
        <f>F111-E111</f>
        <v>5</v>
      </c>
      <c r="H111" s="25">
        <f>IF(D111=参数设置!$B$12,C111,0)</f>
        <v>23400</v>
      </c>
      <c r="I111" s="25">
        <f>IF(L111=1,ROUND(C111*参数设置!$B$10*G111/参数设置!$B$11,参数设置!$B$14),0)</f>
        <v>10.73</v>
      </c>
      <c r="J111" s="25">
        <f>H111+I111</f>
        <v>23410.73</v>
      </c>
      <c r="K111" s="28">
        <f>EDATE(B111,参数设置!$B$12)</f>
        <v>46853</v>
      </c>
      <c r="L111" s="20">
        <f>--(A111&lt;=参数设置!$B$6)</f>
        <v>1</v>
      </c>
    </row>
    <row r="112" spans="1:12">
      <c r="A112" s="12">
        <v>10</v>
      </c>
      <c r="B112" s="21">
        <f>EDATE(参数设置!$B$4,A112-1)</f>
        <v>46517</v>
      </c>
      <c r="C112" s="22">
        <f>参数设置!$B$5</f>
        <v>23400</v>
      </c>
      <c r="D112" s="12">
        <v>1</v>
      </c>
      <c r="E112" s="28">
        <f>IF(D112=1,B112,F111)</f>
        <v>46517</v>
      </c>
      <c r="F112" s="28">
        <f>IF(D112&lt;参数设置!$B$12,DATE(YEAR(EDATE(B112,D112+1)),MONTH(EDATE(B112,D112+1)),参数设置!$B$13),EDATE(B112,参数设置!$B$12))</f>
        <v>46573</v>
      </c>
      <c r="G112" s="20">
        <f>F112-E112</f>
        <v>56</v>
      </c>
      <c r="H112" s="25">
        <f>IF(D112=参数设置!$B$12,C112,0)</f>
        <v>0</v>
      </c>
      <c r="I112" s="25">
        <f>IF(L112=1,ROUND(C112*参数设置!$B$10*G112/参数设置!$B$11,参数设置!$B$14),0)</f>
        <v>120.12</v>
      </c>
      <c r="J112" s="25">
        <f>H112+I112</f>
        <v>120.12</v>
      </c>
      <c r="K112" s="28">
        <f>EDATE(B112,参数设置!$B$12)</f>
        <v>46883</v>
      </c>
      <c r="L112" s="20">
        <f>--(A112&lt;=参数设置!$B$6)</f>
        <v>1</v>
      </c>
    </row>
    <row r="113" spans="1:12">
      <c r="A113" s="12">
        <v>10</v>
      </c>
      <c r="B113" s="21">
        <f>EDATE(参数设置!$B$4,A113-1)</f>
        <v>46517</v>
      </c>
      <c r="C113" s="22">
        <f>参数设置!$B$5</f>
        <v>23400</v>
      </c>
      <c r="D113" s="12">
        <v>2</v>
      </c>
      <c r="E113" s="28">
        <f>IF(D113=1,B113,F112)</f>
        <v>46573</v>
      </c>
      <c r="F113" s="28">
        <f>IF(D113&lt;参数设置!$B$12,DATE(YEAR(EDATE(B113,D113+1)),MONTH(EDATE(B113,D113+1)),参数设置!$B$13),EDATE(B113,参数设置!$B$12))</f>
        <v>46604</v>
      </c>
      <c r="G113" s="20">
        <f>F113-E113</f>
        <v>31</v>
      </c>
      <c r="H113" s="25">
        <f>IF(D113=参数设置!$B$12,C113,0)</f>
        <v>0</v>
      </c>
      <c r="I113" s="25">
        <f>IF(L113=1,ROUND(C113*参数设置!$B$10*G113/参数设置!$B$11,参数设置!$B$14),0)</f>
        <v>66.5</v>
      </c>
      <c r="J113" s="25">
        <f>H113+I113</f>
        <v>66.5</v>
      </c>
      <c r="K113" s="28">
        <f>EDATE(B113,参数设置!$B$12)</f>
        <v>46883</v>
      </c>
      <c r="L113" s="20">
        <f>--(A113&lt;=参数设置!$B$6)</f>
        <v>1</v>
      </c>
    </row>
    <row r="114" spans="1:12">
      <c r="A114" s="12">
        <v>10</v>
      </c>
      <c r="B114" s="21">
        <f>EDATE(参数设置!$B$4,A114-1)</f>
        <v>46517</v>
      </c>
      <c r="C114" s="22">
        <f>参数设置!$B$5</f>
        <v>23400</v>
      </c>
      <c r="D114" s="12">
        <v>3</v>
      </c>
      <c r="E114" s="28">
        <f>IF(D114=1,B114,F113)</f>
        <v>46604</v>
      </c>
      <c r="F114" s="28">
        <f>IF(D114&lt;参数设置!$B$12,DATE(YEAR(EDATE(B114,D114+1)),MONTH(EDATE(B114,D114+1)),参数设置!$B$13),EDATE(B114,参数设置!$B$12))</f>
        <v>46635</v>
      </c>
      <c r="G114" s="20">
        <f>F114-E114</f>
        <v>31</v>
      </c>
      <c r="H114" s="25">
        <f>IF(D114=参数设置!$B$12,C114,0)</f>
        <v>0</v>
      </c>
      <c r="I114" s="25">
        <f>IF(L114=1,ROUND(C114*参数设置!$B$10*G114/参数设置!$B$11,参数设置!$B$14),0)</f>
        <v>66.5</v>
      </c>
      <c r="J114" s="25">
        <f>H114+I114</f>
        <v>66.5</v>
      </c>
      <c r="K114" s="28">
        <f>EDATE(B114,参数设置!$B$12)</f>
        <v>46883</v>
      </c>
      <c r="L114" s="20">
        <f>--(A114&lt;=参数设置!$B$6)</f>
        <v>1</v>
      </c>
    </row>
    <row r="115" spans="1:12">
      <c r="A115" s="12">
        <v>10</v>
      </c>
      <c r="B115" s="21">
        <f>EDATE(参数设置!$B$4,A115-1)</f>
        <v>46517</v>
      </c>
      <c r="C115" s="22">
        <f>参数设置!$B$5</f>
        <v>23400</v>
      </c>
      <c r="D115" s="12">
        <v>4</v>
      </c>
      <c r="E115" s="28">
        <f>IF(D115=1,B115,F114)</f>
        <v>46635</v>
      </c>
      <c r="F115" s="28">
        <f>IF(D115&lt;参数设置!$B$12,DATE(YEAR(EDATE(B115,D115+1)),MONTH(EDATE(B115,D115+1)),参数设置!$B$13),EDATE(B115,参数设置!$B$12))</f>
        <v>46665</v>
      </c>
      <c r="G115" s="20">
        <f>F115-E115</f>
        <v>30</v>
      </c>
      <c r="H115" s="25">
        <f>IF(D115=参数设置!$B$12,C115,0)</f>
        <v>0</v>
      </c>
      <c r="I115" s="25">
        <f>IF(L115=1,ROUND(C115*参数设置!$B$10*G115/参数设置!$B$11,参数设置!$B$14),0)</f>
        <v>64.349999999999994</v>
      </c>
      <c r="J115" s="25">
        <f>H115+I115</f>
        <v>64.349999999999994</v>
      </c>
      <c r="K115" s="28">
        <f>EDATE(B115,参数设置!$B$12)</f>
        <v>46883</v>
      </c>
      <c r="L115" s="20">
        <f>--(A115&lt;=参数设置!$B$6)</f>
        <v>1</v>
      </c>
    </row>
    <row r="116" spans="1:12">
      <c r="A116" s="12">
        <v>10</v>
      </c>
      <c r="B116" s="21">
        <f>EDATE(参数设置!$B$4,A116-1)</f>
        <v>46517</v>
      </c>
      <c r="C116" s="22">
        <f>参数设置!$B$5</f>
        <v>23400</v>
      </c>
      <c r="D116" s="12">
        <v>5</v>
      </c>
      <c r="E116" s="28">
        <f>IF(D116=1,B116,F115)</f>
        <v>46665</v>
      </c>
      <c r="F116" s="28">
        <f>IF(D116&lt;参数设置!$B$12,DATE(YEAR(EDATE(B116,D116+1)),MONTH(EDATE(B116,D116+1)),参数设置!$B$13),EDATE(B116,参数设置!$B$12))</f>
        <v>46696</v>
      </c>
      <c r="G116" s="20">
        <f>F116-E116</f>
        <v>31</v>
      </c>
      <c r="H116" s="25">
        <f>IF(D116=参数设置!$B$12,C116,0)</f>
        <v>0</v>
      </c>
      <c r="I116" s="25">
        <f>IF(L116=1,ROUND(C116*参数设置!$B$10*G116/参数设置!$B$11,参数设置!$B$14),0)</f>
        <v>66.5</v>
      </c>
      <c r="J116" s="25">
        <f>H116+I116</f>
        <v>66.5</v>
      </c>
      <c r="K116" s="28">
        <f>EDATE(B116,参数设置!$B$12)</f>
        <v>46883</v>
      </c>
      <c r="L116" s="20">
        <f>--(A116&lt;=参数设置!$B$6)</f>
        <v>1</v>
      </c>
    </row>
    <row r="117" spans="1:12">
      <c r="A117" s="12">
        <v>10</v>
      </c>
      <c r="B117" s="21">
        <f>EDATE(参数设置!$B$4,A117-1)</f>
        <v>46517</v>
      </c>
      <c r="C117" s="22">
        <f>参数设置!$B$5</f>
        <v>23400</v>
      </c>
      <c r="D117" s="12">
        <v>6</v>
      </c>
      <c r="E117" s="28">
        <f>IF(D117=1,B117,F116)</f>
        <v>46696</v>
      </c>
      <c r="F117" s="28">
        <f>IF(D117&lt;参数设置!$B$12,DATE(YEAR(EDATE(B117,D117+1)),MONTH(EDATE(B117,D117+1)),参数设置!$B$13),EDATE(B117,参数设置!$B$12))</f>
        <v>46726</v>
      </c>
      <c r="G117" s="20">
        <f>F117-E117</f>
        <v>30</v>
      </c>
      <c r="H117" s="25">
        <f>IF(D117=参数设置!$B$12,C117,0)</f>
        <v>0</v>
      </c>
      <c r="I117" s="25">
        <f>IF(L117=1,ROUND(C117*参数设置!$B$10*G117/参数设置!$B$11,参数设置!$B$14),0)</f>
        <v>64.349999999999994</v>
      </c>
      <c r="J117" s="25">
        <f>H117+I117</f>
        <v>64.349999999999994</v>
      </c>
      <c r="K117" s="28">
        <f>EDATE(B117,参数设置!$B$12)</f>
        <v>46883</v>
      </c>
      <c r="L117" s="20">
        <f>--(A117&lt;=参数设置!$B$6)</f>
        <v>1</v>
      </c>
    </row>
    <row r="118" spans="1:12">
      <c r="A118" s="12">
        <v>10</v>
      </c>
      <c r="B118" s="21">
        <f>EDATE(参数设置!$B$4,A118-1)</f>
        <v>46517</v>
      </c>
      <c r="C118" s="22">
        <f>参数设置!$B$5</f>
        <v>23400</v>
      </c>
      <c r="D118" s="12">
        <v>7</v>
      </c>
      <c r="E118" s="28">
        <f>IF(D118=1,B118,F117)</f>
        <v>46726</v>
      </c>
      <c r="F118" s="28">
        <f>IF(D118&lt;参数设置!$B$12,DATE(YEAR(EDATE(B118,D118+1)),MONTH(EDATE(B118,D118+1)),参数设置!$B$13),EDATE(B118,参数设置!$B$12))</f>
        <v>46757</v>
      </c>
      <c r="G118" s="20">
        <f>F118-E118</f>
        <v>31</v>
      </c>
      <c r="H118" s="25">
        <f>IF(D118=参数设置!$B$12,C118,0)</f>
        <v>0</v>
      </c>
      <c r="I118" s="25">
        <f>IF(L118=1,ROUND(C118*参数设置!$B$10*G118/参数设置!$B$11,参数设置!$B$14),0)</f>
        <v>66.5</v>
      </c>
      <c r="J118" s="25">
        <f>H118+I118</f>
        <v>66.5</v>
      </c>
      <c r="K118" s="28">
        <f>EDATE(B118,参数设置!$B$12)</f>
        <v>46883</v>
      </c>
      <c r="L118" s="20">
        <f>--(A118&lt;=参数设置!$B$6)</f>
        <v>1</v>
      </c>
    </row>
    <row r="119" spans="1:12">
      <c r="A119" s="12">
        <v>10</v>
      </c>
      <c r="B119" s="21">
        <f>EDATE(参数设置!$B$4,A119-1)</f>
        <v>46517</v>
      </c>
      <c r="C119" s="22">
        <f>参数设置!$B$5</f>
        <v>23400</v>
      </c>
      <c r="D119" s="12">
        <v>8</v>
      </c>
      <c r="E119" s="28">
        <f>IF(D119=1,B119,F118)</f>
        <v>46757</v>
      </c>
      <c r="F119" s="28">
        <f>IF(D119&lt;参数设置!$B$12,DATE(YEAR(EDATE(B119,D119+1)),MONTH(EDATE(B119,D119+1)),参数设置!$B$13),EDATE(B119,参数设置!$B$12))</f>
        <v>46788</v>
      </c>
      <c r="G119" s="20">
        <f>F119-E119</f>
        <v>31</v>
      </c>
      <c r="H119" s="25">
        <f>IF(D119=参数设置!$B$12,C119,0)</f>
        <v>0</v>
      </c>
      <c r="I119" s="25">
        <f>IF(L119=1,ROUND(C119*参数设置!$B$10*G119/参数设置!$B$11,参数设置!$B$14),0)</f>
        <v>66.5</v>
      </c>
      <c r="J119" s="25">
        <f>H119+I119</f>
        <v>66.5</v>
      </c>
      <c r="K119" s="28">
        <f>EDATE(B119,参数设置!$B$12)</f>
        <v>46883</v>
      </c>
      <c r="L119" s="20">
        <f>--(A119&lt;=参数设置!$B$6)</f>
        <v>1</v>
      </c>
    </row>
    <row r="120" spans="1:12">
      <c r="A120" s="12">
        <v>10</v>
      </c>
      <c r="B120" s="21">
        <f>EDATE(参数设置!$B$4,A120-1)</f>
        <v>46517</v>
      </c>
      <c r="C120" s="22">
        <f>参数设置!$B$5</f>
        <v>23400</v>
      </c>
      <c r="D120" s="12">
        <v>9</v>
      </c>
      <c r="E120" s="28">
        <f>IF(D120=1,B120,F119)</f>
        <v>46788</v>
      </c>
      <c r="F120" s="28">
        <f>IF(D120&lt;参数设置!$B$12,DATE(YEAR(EDATE(B120,D120+1)),MONTH(EDATE(B120,D120+1)),参数设置!$B$13),EDATE(B120,参数设置!$B$12))</f>
        <v>46817</v>
      </c>
      <c r="G120" s="20">
        <f>F120-E120</f>
        <v>29</v>
      </c>
      <c r="H120" s="25">
        <f>IF(D120=参数设置!$B$12,C120,0)</f>
        <v>0</v>
      </c>
      <c r="I120" s="25">
        <f>IF(L120=1,ROUND(C120*参数设置!$B$10*G120/参数设置!$B$11,参数设置!$B$14),0)</f>
        <v>62.21</v>
      </c>
      <c r="J120" s="25">
        <f>H120+I120</f>
        <v>62.21</v>
      </c>
      <c r="K120" s="28">
        <f>EDATE(B120,参数设置!$B$12)</f>
        <v>46883</v>
      </c>
      <c r="L120" s="20">
        <f>--(A120&lt;=参数设置!$B$6)</f>
        <v>1</v>
      </c>
    </row>
    <row r="121" spans="1:12">
      <c r="A121" s="12">
        <v>10</v>
      </c>
      <c r="B121" s="21">
        <f>EDATE(参数设置!$B$4,A121-1)</f>
        <v>46517</v>
      </c>
      <c r="C121" s="22">
        <f>参数设置!$B$5</f>
        <v>23400</v>
      </c>
      <c r="D121" s="12">
        <v>10</v>
      </c>
      <c r="E121" s="28">
        <f>IF(D121=1,B121,F120)</f>
        <v>46817</v>
      </c>
      <c r="F121" s="28">
        <f>IF(D121&lt;参数设置!$B$12,DATE(YEAR(EDATE(B121,D121+1)),MONTH(EDATE(B121,D121+1)),参数设置!$B$13),EDATE(B121,参数设置!$B$12))</f>
        <v>46848</v>
      </c>
      <c r="G121" s="20">
        <f>F121-E121</f>
        <v>31</v>
      </c>
      <c r="H121" s="25">
        <f>IF(D121=参数设置!$B$12,C121,0)</f>
        <v>0</v>
      </c>
      <c r="I121" s="25">
        <f>IF(L121=1,ROUND(C121*参数设置!$B$10*G121/参数设置!$B$11,参数设置!$B$14),0)</f>
        <v>66.5</v>
      </c>
      <c r="J121" s="25">
        <f>H121+I121</f>
        <v>66.5</v>
      </c>
      <c r="K121" s="28">
        <f>EDATE(B121,参数设置!$B$12)</f>
        <v>46883</v>
      </c>
      <c r="L121" s="20">
        <f>--(A121&lt;=参数设置!$B$6)</f>
        <v>1</v>
      </c>
    </row>
    <row r="122" spans="1:12">
      <c r="A122" s="12">
        <v>10</v>
      </c>
      <c r="B122" s="21">
        <f>EDATE(参数设置!$B$4,A122-1)</f>
        <v>46517</v>
      </c>
      <c r="C122" s="22">
        <f>参数设置!$B$5</f>
        <v>23400</v>
      </c>
      <c r="D122" s="12">
        <v>11</v>
      </c>
      <c r="E122" s="28">
        <f>IF(D122=1,B122,F121)</f>
        <v>46848</v>
      </c>
      <c r="F122" s="28">
        <f>IF(D122&lt;参数设置!$B$12,DATE(YEAR(EDATE(B122,D122+1)),MONTH(EDATE(B122,D122+1)),参数设置!$B$13),EDATE(B122,参数设置!$B$12))</f>
        <v>46878</v>
      </c>
      <c r="G122" s="20">
        <f>F122-E122</f>
        <v>30</v>
      </c>
      <c r="H122" s="25">
        <f>IF(D122=参数设置!$B$12,C122,0)</f>
        <v>0</v>
      </c>
      <c r="I122" s="25">
        <f>IF(L122=1,ROUND(C122*参数设置!$B$10*G122/参数设置!$B$11,参数设置!$B$14),0)</f>
        <v>64.349999999999994</v>
      </c>
      <c r="J122" s="25">
        <f>H122+I122</f>
        <v>64.349999999999994</v>
      </c>
      <c r="K122" s="28">
        <f>EDATE(B122,参数设置!$B$12)</f>
        <v>46883</v>
      </c>
      <c r="L122" s="20">
        <f>--(A122&lt;=参数设置!$B$6)</f>
        <v>1</v>
      </c>
    </row>
    <row r="123" spans="1:12">
      <c r="A123" s="12">
        <v>10</v>
      </c>
      <c r="B123" s="21">
        <f>EDATE(参数设置!$B$4,A123-1)</f>
        <v>46517</v>
      </c>
      <c r="C123" s="22">
        <f>参数设置!$B$5</f>
        <v>23400</v>
      </c>
      <c r="D123" s="12">
        <v>12</v>
      </c>
      <c r="E123" s="28">
        <f>IF(D123=1,B123,F122)</f>
        <v>46878</v>
      </c>
      <c r="F123" s="28">
        <f>IF(D123&lt;参数设置!$B$12,DATE(YEAR(EDATE(B123,D123+1)),MONTH(EDATE(B123,D123+1)),参数设置!$B$13),EDATE(B123,参数设置!$B$12))</f>
        <v>46883</v>
      </c>
      <c r="G123" s="20">
        <f>F123-E123</f>
        <v>5</v>
      </c>
      <c r="H123" s="25">
        <f>IF(D123=参数设置!$B$12,C123,0)</f>
        <v>23400</v>
      </c>
      <c r="I123" s="25">
        <f>IF(L123=1,ROUND(C123*参数设置!$B$10*G123/参数设置!$B$11,参数设置!$B$14),0)</f>
        <v>10.73</v>
      </c>
      <c r="J123" s="25">
        <f>H123+I123</f>
        <v>23410.73</v>
      </c>
      <c r="K123" s="28">
        <f>EDATE(B123,参数设置!$B$12)</f>
        <v>46883</v>
      </c>
      <c r="L123" s="20">
        <f>--(A123&lt;=参数设置!$B$6)</f>
        <v>1</v>
      </c>
    </row>
    <row r="124" spans="1:12">
      <c r="A124" s="12">
        <v>11</v>
      </c>
      <c r="B124" s="21">
        <f>EDATE(参数设置!$B$4,A124-1)</f>
        <v>46548</v>
      </c>
      <c r="C124" s="22">
        <f>参数设置!$B$5</f>
        <v>23400</v>
      </c>
      <c r="D124" s="12">
        <v>1</v>
      </c>
      <c r="E124" s="28">
        <f>IF(D124=1,B124,F123)</f>
        <v>46548</v>
      </c>
      <c r="F124" s="28">
        <f>IF(D124&lt;参数设置!$B$12,DATE(YEAR(EDATE(B124,D124+1)),MONTH(EDATE(B124,D124+1)),参数设置!$B$13),EDATE(B124,参数设置!$B$12))</f>
        <v>46604</v>
      </c>
      <c r="G124" s="20">
        <f>F124-E124</f>
        <v>56</v>
      </c>
      <c r="H124" s="25">
        <f>IF(D124=参数设置!$B$12,C124,0)</f>
        <v>0</v>
      </c>
      <c r="I124" s="25">
        <f>IF(L124=1,ROUND(C124*参数设置!$B$10*G124/参数设置!$B$11,参数设置!$B$14),0)</f>
        <v>120.12</v>
      </c>
      <c r="J124" s="25">
        <f>H124+I124</f>
        <v>120.12</v>
      </c>
      <c r="K124" s="28">
        <f>EDATE(B124,参数设置!$B$12)</f>
        <v>46914</v>
      </c>
      <c r="L124" s="20">
        <f>--(A124&lt;=参数设置!$B$6)</f>
        <v>1</v>
      </c>
    </row>
    <row r="125" spans="1:12">
      <c r="A125" s="12">
        <v>11</v>
      </c>
      <c r="B125" s="21">
        <f>EDATE(参数设置!$B$4,A125-1)</f>
        <v>46548</v>
      </c>
      <c r="C125" s="22">
        <f>参数设置!$B$5</f>
        <v>23400</v>
      </c>
      <c r="D125" s="12">
        <v>2</v>
      </c>
      <c r="E125" s="28">
        <f>IF(D125=1,B125,F124)</f>
        <v>46604</v>
      </c>
      <c r="F125" s="28">
        <f>IF(D125&lt;参数设置!$B$12,DATE(YEAR(EDATE(B125,D125+1)),MONTH(EDATE(B125,D125+1)),参数设置!$B$13),EDATE(B125,参数设置!$B$12))</f>
        <v>46635</v>
      </c>
      <c r="G125" s="20">
        <f>F125-E125</f>
        <v>31</v>
      </c>
      <c r="H125" s="25">
        <f>IF(D125=参数设置!$B$12,C125,0)</f>
        <v>0</v>
      </c>
      <c r="I125" s="25">
        <f>IF(L125=1,ROUND(C125*参数设置!$B$10*G125/参数设置!$B$11,参数设置!$B$14),0)</f>
        <v>66.5</v>
      </c>
      <c r="J125" s="25">
        <f>H125+I125</f>
        <v>66.5</v>
      </c>
      <c r="K125" s="28">
        <f>EDATE(B125,参数设置!$B$12)</f>
        <v>46914</v>
      </c>
      <c r="L125" s="20">
        <f>--(A125&lt;=参数设置!$B$6)</f>
        <v>1</v>
      </c>
    </row>
    <row r="126" spans="1:12">
      <c r="A126" s="12">
        <v>11</v>
      </c>
      <c r="B126" s="21">
        <f>EDATE(参数设置!$B$4,A126-1)</f>
        <v>46548</v>
      </c>
      <c r="C126" s="22">
        <f>参数设置!$B$5</f>
        <v>23400</v>
      </c>
      <c r="D126" s="12">
        <v>3</v>
      </c>
      <c r="E126" s="28">
        <f>IF(D126=1,B126,F125)</f>
        <v>46635</v>
      </c>
      <c r="F126" s="28">
        <f>IF(D126&lt;参数设置!$B$12,DATE(YEAR(EDATE(B126,D126+1)),MONTH(EDATE(B126,D126+1)),参数设置!$B$13),EDATE(B126,参数设置!$B$12))</f>
        <v>46665</v>
      </c>
      <c r="G126" s="20">
        <f>F126-E126</f>
        <v>30</v>
      </c>
      <c r="H126" s="25">
        <f>IF(D126=参数设置!$B$12,C126,0)</f>
        <v>0</v>
      </c>
      <c r="I126" s="25">
        <f>IF(L126=1,ROUND(C126*参数设置!$B$10*G126/参数设置!$B$11,参数设置!$B$14),0)</f>
        <v>64.349999999999994</v>
      </c>
      <c r="J126" s="25">
        <f>H126+I126</f>
        <v>64.349999999999994</v>
      </c>
      <c r="K126" s="28">
        <f>EDATE(B126,参数设置!$B$12)</f>
        <v>46914</v>
      </c>
      <c r="L126" s="20">
        <f>--(A126&lt;=参数设置!$B$6)</f>
        <v>1</v>
      </c>
    </row>
    <row r="127" spans="1:12">
      <c r="A127" s="12">
        <v>11</v>
      </c>
      <c r="B127" s="21">
        <f>EDATE(参数设置!$B$4,A127-1)</f>
        <v>46548</v>
      </c>
      <c r="C127" s="22">
        <f>参数设置!$B$5</f>
        <v>23400</v>
      </c>
      <c r="D127" s="12">
        <v>4</v>
      </c>
      <c r="E127" s="28">
        <f>IF(D127=1,B127,F126)</f>
        <v>46665</v>
      </c>
      <c r="F127" s="28">
        <f>IF(D127&lt;参数设置!$B$12,DATE(YEAR(EDATE(B127,D127+1)),MONTH(EDATE(B127,D127+1)),参数设置!$B$13),EDATE(B127,参数设置!$B$12))</f>
        <v>46696</v>
      </c>
      <c r="G127" s="20">
        <f>F127-E127</f>
        <v>31</v>
      </c>
      <c r="H127" s="25">
        <f>IF(D127=参数设置!$B$12,C127,0)</f>
        <v>0</v>
      </c>
      <c r="I127" s="25">
        <f>IF(L127=1,ROUND(C127*参数设置!$B$10*G127/参数设置!$B$11,参数设置!$B$14),0)</f>
        <v>66.5</v>
      </c>
      <c r="J127" s="25">
        <f>H127+I127</f>
        <v>66.5</v>
      </c>
      <c r="K127" s="28">
        <f>EDATE(B127,参数设置!$B$12)</f>
        <v>46914</v>
      </c>
      <c r="L127" s="20">
        <f>--(A127&lt;=参数设置!$B$6)</f>
        <v>1</v>
      </c>
    </row>
    <row r="128" spans="1:12">
      <c r="A128" s="12">
        <v>11</v>
      </c>
      <c r="B128" s="21">
        <f>EDATE(参数设置!$B$4,A128-1)</f>
        <v>46548</v>
      </c>
      <c r="C128" s="22">
        <f>参数设置!$B$5</f>
        <v>23400</v>
      </c>
      <c r="D128" s="12">
        <v>5</v>
      </c>
      <c r="E128" s="28">
        <f>IF(D128=1,B128,F127)</f>
        <v>46696</v>
      </c>
      <c r="F128" s="28">
        <f>IF(D128&lt;参数设置!$B$12,DATE(YEAR(EDATE(B128,D128+1)),MONTH(EDATE(B128,D128+1)),参数设置!$B$13),EDATE(B128,参数设置!$B$12))</f>
        <v>46726</v>
      </c>
      <c r="G128" s="20">
        <f>F128-E128</f>
        <v>30</v>
      </c>
      <c r="H128" s="25">
        <f>IF(D128=参数设置!$B$12,C128,0)</f>
        <v>0</v>
      </c>
      <c r="I128" s="25">
        <f>IF(L128=1,ROUND(C128*参数设置!$B$10*G128/参数设置!$B$11,参数设置!$B$14),0)</f>
        <v>64.349999999999994</v>
      </c>
      <c r="J128" s="25">
        <f>H128+I128</f>
        <v>64.349999999999994</v>
      </c>
      <c r="K128" s="28">
        <f>EDATE(B128,参数设置!$B$12)</f>
        <v>46914</v>
      </c>
      <c r="L128" s="20">
        <f>--(A128&lt;=参数设置!$B$6)</f>
        <v>1</v>
      </c>
    </row>
    <row r="129" spans="1:12">
      <c r="A129" s="12">
        <v>11</v>
      </c>
      <c r="B129" s="21">
        <f>EDATE(参数设置!$B$4,A129-1)</f>
        <v>46548</v>
      </c>
      <c r="C129" s="22">
        <f>参数设置!$B$5</f>
        <v>23400</v>
      </c>
      <c r="D129" s="12">
        <v>6</v>
      </c>
      <c r="E129" s="28">
        <f>IF(D129=1,B129,F128)</f>
        <v>46726</v>
      </c>
      <c r="F129" s="28">
        <f>IF(D129&lt;参数设置!$B$12,DATE(YEAR(EDATE(B129,D129+1)),MONTH(EDATE(B129,D129+1)),参数设置!$B$13),EDATE(B129,参数设置!$B$12))</f>
        <v>46757</v>
      </c>
      <c r="G129" s="20">
        <f>F129-E129</f>
        <v>31</v>
      </c>
      <c r="H129" s="25">
        <f>IF(D129=参数设置!$B$12,C129,0)</f>
        <v>0</v>
      </c>
      <c r="I129" s="25">
        <f>IF(L129=1,ROUND(C129*参数设置!$B$10*G129/参数设置!$B$11,参数设置!$B$14),0)</f>
        <v>66.5</v>
      </c>
      <c r="J129" s="25">
        <f>H129+I129</f>
        <v>66.5</v>
      </c>
      <c r="K129" s="28">
        <f>EDATE(B129,参数设置!$B$12)</f>
        <v>46914</v>
      </c>
      <c r="L129" s="20">
        <f>--(A129&lt;=参数设置!$B$6)</f>
        <v>1</v>
      </c>
    </row>
    <row r="130" spans="1:12">
      <c r="A130" s="12">
        <v>11</v>
      </c>
      <c r="B130" s="21">
        <f>EDATE(参数设置!$B$4,A130-1)</f>
        <v>46548</v>
      </c>
      <c r="C130" s="22">
        <f>参数设置!$B$5</f>
        <v>23400</v>
      </c>
      <c r="D130" s="12">
        <v>7</v>
      </c>
      <c r="E130" s="28">
        <f>IF(D130=1,B130,F129)</f>
        <v>46757</v>
      </c>
      <c r="F130" s="28">
        <f>IF(D130&lt;参数设置!$B$12,DATE(YEAR(EDATE(B130,D130+1)),MONTH(EDATE(B130,D130+1)),参数设置!$B$13),EDATE(B130,参数设置!$B$12))</f>
        <v>46788</v>
      </c>
      <c r="G130" s="20">
        <f>F130-E130</f>
        <v>31</v>
      </c>
      <c r="H130" s="25">
        <f>IF(D130=参数设置!$B$12,C130,0)</f>
        <v>0</v>
      </c>
      <c r="I130" s="25">
        <f>IF(L130=1,ROUND(C130*参数设置!$B$10*G130/参数设置!$B$11,参数设置!$B$14),0)</f>
        <v>66.5</v>
      </c>
      <c r="J130" s="25">
        <f>H130+I130</f>
        <v>66.5</v>
      </c>
      <c r="K130" s="28">
        <f>EDATE(B130,参数设置!$B$12)</f>
        <v>46914</v>
      </c>
      <c r="L130" s="20">
        <f>--(A130&lt;=参数设置!$B$6)</f>
        <v>1</v>
      </c>
    </row>
    <row r="131" spans="1:12">
      <c r="A131" s="12">
        <v>11</v>
      </c>
      <c r="B131" s="21">
        <f>EDATE(参数设置!$B$4,A131-1)</f>
        <v>46548</v>
      </c>
      <c r="C131" s="22">
        <f>参数设置!$B$5</f>
        <v>23400</v>
      </c>
      <c r="D131" s="12">
        <v>8</v>
      </c>
      <c r="E131" s="28">
        <f>IF(D131=1,B131,F130)</f>
        <v>46788</v>
      </c>
      <c r="F131" s="28">
        <f>IF(D131&lt;参数设置!$B$12,DATE(YEAR(EDATE(B131,D131+1)),MONTH(EDATE(B131,D131+1)),参数设置!$B$13),EDATE(B131,参数设置!$B$12))</f>
        <v>46817</v>
      </c>
      <c r="G131" s="20">
        <f>F131-E131</f>
        <v>29</v>
      </c>
      <c r="H131" s="25">
        <f>IF(D131=参数设置!$B$12,C131,0)</f>
        <v>0</v>
      </c>
      <c r="I131" s="25">
        <f>IF(L131=1,ROUND(C131*参数设置!$B$10*G131/参数设置!$B$11,参数设置!$B$14),0)</f>
        <v>62.21</v>
      </c>
      <c r="J131" s="25">
        <f>H131+I131</f>
        <v>62.21</v>
      </c>
      <c r="K131" s="28">
        <f>EDATE(B131,参数设置!$B$12)</f>
        <v>46914</v>
      </c>
      <c r="L131" s="20">
        <f>--(A131&lt;=参数设置!$B$6)</f>
        <v>1</v>
      </c>
    </row>
    <row r="132" spans="1:12">
      <c r="A132" s="12">
        <v>11</v>
      </c>
      <c r="B132" s="21">
        <f>EDATE(参数设置!$B$4,A132-1)</f>
        <v>46548</v>
      </c>
      <c r="C132" s="22">
        <f>参数设置!$B$5</f>
        <v>23400</v>
      </c>
      <c r="D132" s="12">
        <v>9</v>
      </c>
      <c r="E132" s="28">
        <f>IF(D132=1,B132,F131)</f>
        <v>46817</v>
      </c>
      <c r="F132" s="28">
        <f>IF(D132&lt;参数设置!$B$12,DATE(YEAR(EDATE(B132,D132+1)),MONTH(EDATE(B132,D132+1)),参数设置!$B$13),EDATE(B132,参数设置!$B$12))</f>
        <v>46848</v>
      </c>
      <c r="G132" s="20">
        <f>F132-E132</f>
        <v>31</v>
      </c>
      <c r="H132" s="25">
        <f>IF(D132=参数设置!$B$12,C132,0)</f>
        <v>0</v>
      </c>
      <c r="I132" s="25">
        <f>IF(L132=1,ROUND(C132*参数设置!$B$10*G132/参数设置!$B$11,参数设置!$B$14),0)</f>
        <v>66.5</v>
      </c>
      <c r="J132" s="25">
        <f>H132+I132</f>
        <v>66.5</v>
      </c>
      <c r="K132" s="28">
        <f>EDATE(B132,参数设置!$B$12)</f>
        <v>46914</v>
      </c>
      <c r="L132" s="20">
        <f>--(A132&lt;=参数设置!$B$6)</f>
        <v>1</v>
      </c>
    </row>
    <row r="133" spans="1:12">
      <c r="A133" s="12">
        <v>11</v>
      </c>
      <c r="B133" s="21">
        <f>EDATE(参数设置!$B$4,A133-1)</f>
        <v>46548</v>
      </c>
      <c r="C133" s="22">
        <f>参数设置!$B$5</f>
        <v>23400</v>
      </c>
      <c r="D133" s="12">
        <v>10</v>
      </c>
      <c r="E133" s="28">
        <f>IF(D133=1,B133,F132)</f>
        <v>46848</v>
      </c>
      <c r="F133" s="28">
        <f>IF(D133&lt;参数设置!$B$12,DATE(YEAR(EDATE(B133,D133+1)),MONTH(EDATE(B133,D133+1)),参数设置!$B$13),EDATE(B133,参数设置!$B$12))</f>
        <v>46878</v>
      </c>
      <c r="G133" s="20">
        <f>F133-E133</f>
        <v>30</v>
      </c>
      <c r="H133" s="25">
        <f>IF(D133=参数设置!$B$12,C133,0)</f>
        <v>0</v>
      </c>
      <c r="I133" s="25">
        <f>IF(L133=1,ROUND(C133*参数设置!$B$10*G133/参数设置!$B$11,参数设置!$B$14),0)</f>
        <v>64.349999999999994</v>
      </c>
      <c r="J133" s="25">
        <f>H133+I133</f>
        <v>64.349999999999994</v>
      </c>
      <c r="K133" s="28">
        <f>EDATE(B133,参数设置!$B$12)</f>
        <v>46914</v>
      </c>
      <c r="L133" s="20">
        <f>--(A133&lt;=参数设置!$B$6)</f>
        <v>1</v>
      </c>
    </row>
    <row r="134" spans="1:12">
      <c r="A134" s="12">
        <v>11</v>
      </c>
      <c r="B134" s="21">
        <f>EDATE(参数设置!$B$4,A134-1)</f>
        <v>46548</v>
      </c>
      <c r="C134" s="22">
        <f>参数设置!$B$5</f>
        <v>23400</v>
      </c>
      <c r="D134" s="12">
        <v>11</v>
      </c>
      <c r="E134" s="28">
        <f>IF(D134=1,B134,F133)</f>
        <v>46878</v>
      </c>
      <c r="F134" s="28">
        <f>IF(D134&lt;参数设置!$B$12,DATE(YEAR(EDATE(B134,D134+1)),MONTH(EDATE(B134,D134+1)),参数设置!$B$13),EDATE(B134,参数设置!$B$12))</f>
        <v>46909</v>
      </c>
      <c r="G134" s="20">
        <f>F134-E134</f>
        <v>31</v>
      </c>
      <c r="H134" s="25">
        <f>IF(D134=参数设置!$B$12,C134,0)</f>
        <v>0</v>
      </c>
      <c r="I134" s="25">
        <f>IF(L134=1,ROUND(C134*参数设置!$B$10*G134/参数设置!$B$11,参数设置!$B$14),0)</f>
        <v>66.5</v>
      </c>
      <c r="J134" s="25">
        <f>H134+I134</f>
        <v>66.5</v>
      </c>
      <c r="K134" s="28">
        <f>EDATE(B134,参数设置!$B$12)</f>
        <v>46914</v>
      </c>
      <c r="L134" s="20">
        <f>--(A134&lt;=参数设置!$B$6)</f>
        <v>1</v>
      </c>
    </row>
    <row r="135" spans="1:12">
      <c r="A135" s="12">
        <v>11</v>
      </c>
      <c r="B135" s="21">
        <f>EDATE(参数设置!$B$4,A135-1)</f>
        <v>46548</v>
      </c>
      <c r="C135" s="22">
        <f>参数设置!$B$5</f>
        <v>23400</v>
      </c>
      <c r="D135" s="12">
        <v>12</v>
      </c>
      <c r="E135" s="28">
        <f>IF(D135=1,B135,F134)</f>
        <v>46909</v>
      </c>
      <c r="F135" s="28">
        <f>IF(D135&lt;参数设置!$B$12,DATE(YEAR(EDATE(B135,D135+1)),MONTH(EDATE(B135,D135+1)),参数设置!$B$13),EDATE(B135,参数设置!$B$12))</f>
        <v>46914</v>
      </c>
      <c r="G135" s="20">
        <f>F135-E135</f>
        <v>5</v>
      </c>
      <c r="H135" s="25">
        <f>IF(D135=参数设置!$B$12,C135,0)</f>
        <v>23400</v>
      </c>
      <c r="I135" s="25">
        <f>IF(L135=1,ROUND(C135*参数设置!$B$10*G135/参数设置!$B$11,参数设置!$B$14),0)</f>
        <v>10.73</v>
      </c>
      <c r="J135" s="25">
        <f>H135+I135</f>
        <v>23410.73</v>
      </c>
      <c r="K135" s="28">
        <f>EDATE(B135,参数设置!$B$12)</f>
        <v>46914</v>
      </c>
      <c r="L135" s="20">
        <f>--(A135&lt;=参数设置!$B$6)</f>
        <v>1</v>
      </c>
    </row>
    <row r="136" spans="1:12">
      <c r="A136" s="12">
        <v>12</v>
      </c>
      <c r="B136" s="21">
        <f>EDATE(参数设置!$B$4,A136-1)</f>
        <v>46578</v>
      </c>
      <c r="C136" s="22">
        <f>参数设置!$B$5</f>
        <v>23400</v>
      </c>
      <c r="D136" s="12">
        <v>1</v>
      </c>
      <c r="E136" s="28">
        <f>IF(D136=1,B136,F135)</f>
        <v>46578</v>
      </c>
      <c r="F136" s="28">
        <f>IF(D136&lt;参数设置!$B$12,DATE(YEAR(EDATE(B136,D136+1)),MONTH(EDATE(B136,D136+1)),参数设置!$B$13),EDATE(B136,参数设置!$B$12))</f>
        <v>46635</v>
      </c>
      <c r="G136" s="20">
        <f>F136-E136</f>
        <v>57</v>
      </c>
      <c r="H136" s="25">
        <f>IF(D136=参数设置!$B$12,C136,0)</f>
        <v>0</v>
      </c>
      <c r="I136" s="25">
        <f>IF(L136=1,ROUND(C136*参数设置!$B$10*G136/参数设置!$B$11,参数设置!$B$14),0)</f>
        <v>122.27</v>
      </c>
      <c r="J136" s="25">
        <f>H136+I136</f>
        <v>122.27</v>
      </c>
      <c r="K136" s="28">
        <f>EDATE(B136,参数设置!$B$12)</f>
        <v>46944</v>
      </c>
      <c r="L136" s="20">
        <f>--(A136&lt;=参数设置!$B$6)</f>
        <v>1</v>
      </c>
    </row>
    <row r="137" spans="1:12">
      <c r="A137" s="12">
        <v>12</v>
      </c>
      <c r="B137" s="21">
        <f>EDATE(参数设置!$B$4,A137-1)</f>
        <v>46578</v>
      </c>
      <c r="C137" s="22">
        <f>参数设置!$B$5</f>
        <v>23400</v>
      </c>
      <c r="D137" s="12">
        <v>2</v>
      </c>
      <c r="E137" s="28">
        <f>IF(D137=1,B137,F136)</f>
        <v>46635</v>
      </c>
      <c r="F137" s="28">
        <f>IF(D137&lt;参数设置!$B$12,DATE(YEAR(EDATE(B137,D137+1)),MONTH(EDATE(B137,D137+1)),参数设置!$B$13),EDATE(B137,参数设置!$B$12))</f>
        <v>46665</v>
      </c>
      <c r="G137" s="20">
        <f>F137-E137</f>
        <v>30</v>
      </c>
      <c r="H137" s="25">
        <f>IF(D137=参数设置!$B$12,C137,0)</f>
        <v>0</v>
      </c>
      <c r="I137" s="25">
        <f>IF(L137=1,ROUND(C137*参数设置!$B$10*G137/参数设置!$B$11,参数设置!$B$14),0)</f>
        <v>64.349999999999994</v>
      </c>
      <c r="J137" s="25">
        <f>H137+I137</f>
        <v>64.349999999999994</v>
      </c>
      <c r="K137" s="28">
        <f>EDATE(B137,参数设置!$B$12)</f>
        <v>46944</v>
      </c>
      <c r="L137" s="20">
        <f>--(A137&lt;=参数设置!$B$6)</f>
        <v>1</v>
      </c>
    </row>
    <row r="138" spans="1:12">
      <c r="A138" s="12">
        <v>12</v>
      </c>
      <c r="B138" s="21">
        <f>EDATE(参数设置!$B$4,A138-1)</f>
        <v>46578</v>
      </c>
      <c r="C138" s="22">
        <f>参数设置!$B$5</f>
        <v>23400</v>
      </c>
      <c r="D138" s="12">
        <v>3</v>
      </c>
      <c r="E138" s="28">
        <f>IF(D138=1,B138,F137)</f>
        <v>46665</v>
      </c>
      <c r="F138" s="28">
        <f>IF(D138&lt;参数设置!$B$12,DATE(YEAR(EDATE(B138,D138+1)),MONTH(EDATE(B138,D138+1)),参数设置!$B$13),EDATE(B138,参数设置!$B$12))</f>
        <v>46696</v>
      </c>
      <c r="G138" s="20">
        <f>F138-E138</f>
        <v>31</v>
      </c>
      <c r="H138" s="25">
        <f>IF(D138=参数设置!$B$12,C138,0)</f>
        <v>0</v>
      </c>
      <c r="I138" s="25">
        <f>IF(L138=1,ROUND(C138*参数设置!$B$10*G138/参数设置!$B$11,参数设置!$B$14),0)</f>
        <v>66.5</v>
      </c>
      <c r="J138" s="25">
        <f>H138+I138</f>
        <v>66.5</v>
      </c>
      <c r="K138" s="28">
        <f>EDATE(B138,参数设置!$B$12)</f>
        <v>46944</v>
      </c>
      <c r="L138" s="20">
        <f>--(A138&lt;=参数设置!$B$6)</f>
        <v>1</v>
      </c>
    </row>
    <row r="139" spans="1:12">
      <c r="A139" s="12">
        <v>12</v>
      </c>
      <c r="B139" s="21">
        <f>EDATE(参数设置!$B$4,A139-1)</f>
        <v>46578</v>
      </c>
      <c r="C139" s="22">
        <f>参数设置!$B$5</f>
        <v>23400</v>
      </c>
      <c r="D139" s="12">
        <v>4</v>
      </c>
      <c r="E139" s="28">
        <f>IF(D139=1,B139,F138)</f>
        <v>46696</v>
      </c>
      <c r="F139" s="28">
        <f>IF(D139&lt;参数设置!$B$12,DATE(YEAR(EDATE(B139,D139+1)),MONTH(EDATE(B139,D139+1)),参数设置!$B$13),EDATE(B139,参数设置!$B$12))</f>
        <v>46726</v>
      </c>
      <c r="G139" s="20">
        <f>F139-E139</f>
        <v>30</v>
      </c>
      <c r="H139" s="25">
        <f>IF(D139=参数设置!$B$12,C139,0)</f>
        <v>0</v>
      </c>
      <c r="I139" s="25">
        <f>IF(L139=1,ROUND(C139*参数设置!$B$10*G139/参数设置!$B$11,参数设置!$B$14),0)</f>
        <v>64.349999999999994</v>
      </c>
      <c r="J139" s="25">
        <f>H139+I139</f>
        <v>64.349999999999994</v>
      </c>
      <c r="K139" s="28">
        <f>EDATE(B139,参数设置!$B$12)</f>
        <v>46944</v>
      </c>
      <c r="L139" s="20">
        <f>--(A139&lt;=参数设置!$B$6)</f>
        <v>1</v>
      </c>
    </row>
    <row r="140" spans="1:12">
      <c r="A140" s="12">
        <v>12</v>
      </c>
      <c r="B140" s="21">
        <f>EDATE(参数设置!$B$4,A140-1)</f>
        <v>46578</v>
      </c>
      <c r="C140" s="22">
        <f>参数设置!$B$5</f>
        <v>23400</v>
      </c>
      <c r="D140" s="12">
        <v>5</v>
      </c>
      <c r="E140" s="28">
        <f>IF(D140=1,B140,F139)</f>
        <v>46726</v>
      </c>
      <c r="F140" s="28">
        <f>IF(D140&lt;参数设置!$B$12,DATE(YEAR(EDATE(B140,D140+1)),MONTH(EDATE(B140,D140+1)),参数设置!$B$13),EDATE(B140,参数设置!$B$12))</f>
        <v>46757</v>
      </c>
      <c r="G140" s="20">
        <f>F140-E140</f>
        <v>31</v>
      </c>
      <c r="H140" s="25">
        <f>IF(D140=参数设置!$B$12,C140,0)</f>
        <v>0</v>
      </c>
      <c r="I140" s="25">
        <f>IF(L140=1,ROUND(C140*参数设置!$B$10*G140/参数设置!$B$11,参数设置!$B$14),0)</f>
        <v>66.5</v>
      </c>
      <c r="J140" s="25">
        <f>H140+I140</f>
        <v>66.5</v>
      </c>
      <c r="K140" s="28">
        <f>EDATE(B140,参数设置!$B$12)</f>
        <v>46944</v>
      </c>
      <c r="L140" s="20">
        <f>--(A140&lt;=参数设置!$B$6)</f>
        <v>1</v>
      </c>
    </row>
    <row r="141" spans="1:12">
      <c r="A141" s="12">
        <v>12</v>
      </c>
      <c r="B141" s="21">
        <f>EDATE(参数设置!$B$4,A141-1)</f>
        <v>46578</v>
      </c>
      <c r="C141" s="22">
        <f>参数设置!$B$5</f>
        <v>23400</v>
      </c>
      <c r="D141" s="12">
        <v>6</v>
      </c>
      <c r="E141" s="28">
        <f>IF(D141=1,B141,F140)</f>
        <v>46757</v>
      </c>
      <c r="F141" s="28">
        <f>IF(D141&lt;参数设置!$B$12,DATE(YEAR(EDATE(B141,D141+1)),MONTH(EDATE(B141,D141+1)),参数设置!$B$13),EDATE(B141,参数设置!$B$12))</f>
        <v>46788</v>
      </c>
      <c r="G141" s="20">
        <f>F141-E141</f>
        <v>31</v>
      </c>
      <c r="H141" s="25">
        <f>IF(D141=参数设置!$B$12,C141,0)</f>
        <v>0</v>
      </c>
      <c r="I141" s="25">
        <f>IF(L141=1,ROUND(C141*参数设置!$B$10*G141/参数设置!$B$11,参数设置!$B$14),0)</f>
        <v>66.5</v>
      </c>
      <c r="J141" s="25">
        <f>H141+I141</f>
        <v>66.5</v>
      </c>
      <c r="K141" s="28">
        <f>EDATE(B141,参数设置!$B$12)</f>
        <v>46944</v>
      </c>
      <c r="L141" s="20">
        <f>--(A141&lt;=参数设置!$B$6)</f>
        <v>1</v>
      </c>
    </row>
    <row r="142" spans="1:12">
      <c r="A142" s="12">
        <v>12</v>
      </c>
      <c r="B142" s="21">
        <f>EDATE(参数设置!$B$4,A142-1)</f>
        <v>46578</v>
      </c>
      <c r="C142" s="22">
        <f>参数设置!$B$5</f>
        <v>23400</v>
      </c>
      <c r="D142" s="12">
        <v>7</v>
      </c>
      <c r="E142" s="28">
        <f>IF(D142=1,B142,F141)</f>
        <v>46788</v>
      </c>
      <c r="F142" s="28">
        <f>IF(D142&lt;参数设置!$B$12,DATE(YEAR(EDATE(B142,D142+1)),MONTH(EDATE(B142,D142+1)),参数设置!$B$13),EDATE(B142,参数设置!$B$12))</f>
        <v>46817</v>
      </c>
      <c r="G142" s="20">
        <f>F142-E142</f>
        <v>29</v>
      </c>
      <c r="H142" s="25">
        <f>IF(D142=参数设置!$B$12,C142,0)</f>
        <v>0</v>
      </c>
      <c r="I142" s="25">
        <f>IF(L142=1,ROUND(C142*参数设置!$B$10*G142/参数设置!$B$11,参数设置!$B$14),0)</f>
        <v>62.21</v>
      </c>
      <c r="J142" s="25">
        <f>H142+I142</f>
        <v>62.21</v>
      </c>
      <c r="K142" s="28">
        <f>EDATE(B142,参数设置!$B$12)</f>
        <v>46944</v>
      </c>
      <c r="L142" s="20">
        <f>--(A142&lt;=参数设置!$B$6)</f>
        <v>1</v>
      </c>
    </row>
    <row r="143" spans="1:12">
      <c r="A143" s="12">
        <v>12</v>
      </c>
      <c r="B143" s="21">
        <f>EDATE(参数设置!$B$4,A143-1)</f>
        <v>46578</v>
      </c>
      <c r="C143" s="22">
        <f>参数设置!$B$5</f>
        <v>23400</v>
      </c>
      <c r="D143" s="12">
        <v>8</v>
      </c>
      <c r="E143" s="28">
        <f>IF(D143=1,B143,F142)</f>
        <v>46817</v>
      </c>
      <c r="F143" s="28">
        <f>IF(D143&lt;参数设置!$B$12,DATE(YEAR(EDATE(B143,D143+1)),MONTH(EDATE(B143,D143+1)),参数设置!$B$13),EDATE(B143,参数设置!$B$12))</f>
        <v>46848</v>
      </c>
      <c r="G143" s="20">
        <f>F143-E143</f>
        <v>31</v>
      </c>
      <c r="H143" s="25">
        <f>IF(D143=参数设置!$B$12,C143,0)</f>
        <v>0</v>
      </c>
      <c r="I143" s="25">
        <f>IF(L143=1,ROUND(C143*参数设置!$B$10*G143/参数设置!$B$11,参数设置!$B$14),0)</f>
        <v>66.5</v>
      </c>
      <c r="J143" s="25">
        <f>H143+I143</f>
        <v>66.5</v>
      </c>
      <c r="K143" s="28">
        <f>EDATE(B143,参数设置!$B$12)</f>
        <v>46944</v>
      </c>
      <c r="L143" s="20">
        <f>--(A143&lt;=参数设置!$B$6)</f>
        <v>1</v>
      </c>
    </row>
    <row r="144" spans="1:12">
      <c r="A144" s="12">
        <v>12</v>
      </c>
      <c r="B144" s="21">
        <f>EDATE(参数设置!$B$4,A144-1)</f>
        <v>46578</v>
      </c>
      <c r="C144" s="22">
        <f>参数设置!$B$5</f>
        <v>23400</v>
      </c>
      <c r="D144" s="12">
        <v>9</v>
      </c>
      <c r="E144" s="28">
        <f>IF(D144=1,B144,F143)</f>
        <v>46848</v>
      </c>
      <c r="F144" s="28">
        <f>IF(D144&lt;参数设置!$B$12,DATE(YEAR(EDATE(B144,D144+1)),MONTH(EDATE(B144,D144+1)),参数设置!$B$13),EDATE(B144,参数设置!$B$12))</f>
        <v>46878</v>
      </c>
      <c r="G144" s="20">
        <f>F144-E144</f>
        <v>30</v>
      </c>
      <c r="H144" s="25">
        <f>IF(D144=参数设置!$B$12,C144,0)</f>
        <v>0</v>
      </c>
      <c r="I144" s="25">
        <f>IF(L144=1,ROUND(C144*参数设置!$B$10*G144/参数设置!$B$11,参数设置!$B$14),0)</f>
        <v>64.349999999999994</v>
      </c>
      <c r="J144" s="25">
        <f>H144+I144</f>
        <v>64.349999999999994</v>
      </c>
      <c r="K144" s="28">
        <f>EDATE(B144,参数设置!$B$12)</f>
        <v>46944</v>
      </c>
      <c r="L144" s="20">
        <f>--(A144&lt;=参数设置!$B$6)</f>
        <v>1</v>
      </c>
    </row>
    <row r="145" spans="1:12">
      <c r="A145" s="12">
        <v>12</v>
      </c>
      <c r="B145" s="21">
        <f>EDATE(参数设置!$B$4,A145-1)</f>
        <v>46578</v>
      </c>
      <c r="C145" s="22">
        <f>参数设置!$B$5</f>
        <v>23400</v>
      </c>
      <c r="D145" s="12">
        <v>10</v>
      </c>
      <c r="E145" s="28">
        <f>IF(D145=1,B145,F144)</f>
        <v>46878</v>
      </c>
      <c r="F145" s="28">
        <f>IF(D145&lt;参数设置!$B$12,DATE(YEAR(EDATE(B145,D145+1)),MONTH(EDATE(B145,D145+1)),参数设置!$B$13),EDATE(B145,参数设置!$B$12))</f>
        <v>46909</v>
      </c>
      <c r="G145" s="20">
        <f>F145-E145</f>
        <v>31</v>
      </c>
      <c r="H145" s="25">
        <f>IF(D145=参数设置!$B$12,C145,0)</f>
        <v>0</v>
      </c>
      <c r="I145" s="25">
        <f>IF(L145=1,ROUND(C145*参数设置!$B$10*G145/参数设置!$B$11,参数设置!$B$14),0)</f>
        <v>66.5</v>
      </c>
      <c r="J145" s="25">
        <f>H145+I145</f>
        <v>66.5</v>
      </c>
      <c r="K145" s="28">
        <f>EDATE(B145,参数设置!$B$12)</f>
        <v>46944</v>
      </c>
      <c r="L145" s="20">
        <f>--(A145&lt;=参数设置!$B$6)</f>
        <v>1</v>
      </c>
    </row>
    <row r="146" spans="1:12">
      <c r="A146" s="12">
        <v>12</v>
      </c>
      <c r="B146" s="21">
        <f>EDATE(参数设置!$B$4,A146-1)</f>
        <v>46578</v>
      </c>
      <c r="C146" s="22">
        <f>参数设置!$B$5</f>
        <v>23400</v>
      </c>
      <c r="D146" s="12">
        <v>11</v>
      </c>
      <c r="E146" s="28">
        <f>IF(D146=1,B146,F145)</f>
        <v>46909</v>
      </c>
      <c r="F146" s="28">
        <f>IF(D146&lt;参数设置!$B$12,DATE(YEAR(EDATE(B146,D146+1)),MONTH(EDATE(B146,D146+1)),参数设置!$B$13),EDATE(B146,参数设置!$B$12))</f>
        <v>46939</v>
      </c>
      <c r="G146" s="20">
        <f>F146-E146</f>
        <v>30</v>
      </c>
      <c r="H146" s="25">
        <f>IF(D146=参数设置!$B$12,C146,0)</f>
        <v>0</v>
      </c>
      <c r="I146" s="25">
        <f>IF(L146=1,ROUND(C146*参数设置!$B$10*G146/参数设置!$B$11,参数设置!$B$14),0)</f>
        <v>64.349999999999994</v>
      </c>
      <c r="J146" s="25">
        <f>H146+I146</f>
        <v>64.349999999999994</v>
      </c>
      <c r="K146" s="28">
        <f>EDATE(B146,参数设置!$B$12)</f>
        <v>46944</v>
      </c>
      <c r="L146" s="20">
        <f>--(A146&lt;=参数设置!$B$6)</f>
        <v>1</v>
      </c>
    </row>
    <row r="147" spans="1:12">
      <c r="A147" s="12">
        <v>12</v>
      </c>
      <c r="B147" s="21">
        <f>EDATE(参数设置!$B$4,A147-1)</f>
        <v>46578</v>
      </c>
      <c r="C147" s="22">
        <f>参数设置!$B$5</f>
        <v>23400</v>
      </c>
      <c r="D147" s="12">
        <v>12</v>
      </c>
      <c r="E147" s="28">
        <f>IF(D147=1,B147,F146)</f>
        <v>46939</v>
      </c>
      <c r="F147" s="28">
        <f>IF(D147&lt;参数设置!$B$12,DATE(YEAR(EDATE(B147,D147+1)),MONTH(EDATE(B147,D147+1)),参数设置!$B$13),EDATE(B147,参数设置!$B$12))</f>
        <v>46944</v>
      </c>
      <c r="G147" s="20">
        <f>F147-E147</f>
        <v>5</v>
      </c>
      <c r="H147" s="25">
        <f>IF(D147=参数设置!$B$12,C147,0)</f>
        <v>23400</v>
      </c>
      <c r="I147" s="25">
        <f>IF(L147=1,ROUND(C147*参数设置!$B$10*G147/参数设置!$B$11,参数设置!$B$14),0)</f>
        <v>10.73</v>
      </c>
      <c r="J147" s="25">
        <f>H147+I147</f>
        <v>23410.73</v>
      </c>
      <c r="K147" s="28">
        <f>EDATE(B147,参数设置!$B$12)</f>
        <v>46944</v>
      </c>
      <c r="L147" s="20">
        <f>--(A147&lt;=参数设置!$B$6)</f>
        <v>1</v>
      </c>
    </row>
    <row r="148" spans="1:12">
      <c r="A148" s="12">
        <v>13</v>
      </c>
      <c r="B148" s="21">
        <f>EDATE(参数设置!$B$4,A148-1)</f>
        <v>46609</v>
      </c>
      <c r="C148" s="22">
        <f>参数设置!$B$5</f>
        <v>23400</v>
      </c>
      <c r="D148" s="12">
        <v>1</v>
      </c>
      <c r="E148" s="28">
        <f>IF(D148=1,B148,F147)</f>
        <v>46609</v>
      </c>
      <c r="F148" s="28">
        <f>IF(D148&lt;参数设置!$B$12,DATE(YEAR(EDATE(B148,D148+1)),MONTH(EDATE(B148,D148+1)),参数设置!$B$13),EDATE(B148,参数设置!$B$12))</f>
        <v>46665</v>
      </c>
      <c r="G148" s="20">
        <f>F148-E148</f>
        <v>56</v>
      </c>
      <c r="H148" s="25">
        <f>IF(D148=参数设置!$B$12,C148,0)</f>
        <v>0</v>
      </c>
      <c r="I148" s="25">
        <f>IF(L148=1,ROUND(C148*参数设置!$B$10*G148/参数设置!$B$11,参数设置!$B$14),0)</f>
        <v>120.12</v>
      </c>
      <c r="J148" s="25">
        <f>H148+I148</f>
        <v>120.12</v>
      </c>
      <c r="K148" s="28">
        <f>EDATE(B148,参数设置!$B$12)</f>
        <v>46975</v>
      </c>
      <c r="L148" s="20">
        <f>--(A148&lt;=参数设置!$B$6)</f>
        <v>1</v>
      </c>
    </row>
    <row r="149" spans="1:12">
      <c r="A149" s="12">
        <v>13</v>
      </c>
      <c r="B149" s="21">
        <f>EDATE(参数设置!$B$4,A149-1)</f>
        <v>46609</v>
      </c>
      <c r="C149" s="22">
        <f>参数设置!$B$5</f>
        <v>23400</v>
      </c>
      <c r="D149" s="12">
        <v>2</v>
      </c>
      <c r="E149" s="28">
        <f>IF(D149=1,B149,F148)</f>
        <v>46665</v>
      </c>
      <c r="F149" s="28">
        <f>IF(D149&lt;参数设置!$B$12,DATE(YEAR(EDATE(B149,D149+1)),MONTH(EDATE(B149,D149+1)),参数设置!$B$13),EDATE(B149,参数设置!$B$12))</f>
        <v>46696</v>
      </c>
      <c r="G149" s="20">
        <f>F149-E149</f>
        <v>31</v>
      </c>
      <c r="H149" s="25">
        <f>IF(D149=参数设置!$B$12,C149,0)</f>
        <v>0</v>
      </c>
      <c r="I149" s="25">
        <f>IF(L149=1,ROUND(C149*参数设置!$B$10*G149/参数设置!$B$11,参数设置!$B$14),0)</f>
        <v>66.5</v>
      </c>
      <c r="J149" s="25">
        <f>H149+I149</f>
        <v>66.5</v>
      </c>
      <c r="K149" s="28">
        <f>EDATE(B149,参数设置!$B$12)</f>
        <v>46975</v>
      </c>
      <c r="L149" s="20">
        <f>--(A149&lt;=参数设置!$B$6)</f>
        <v>1</v>
      </c>
    </row>
    <row r="150" spans="1:12">
      <c r="A150" s="12">
        <v>13</v>
      </c>
      <c r="B150" s="21">
        <f>EDATE(参数设置!$B$4,A150-1)</f>
        <v>46609</v>
      </c>
      <c r="C150" s="22">
        <f>参数设置!$B$5</f>
        <v>23400</v>
      </c>
      <c r="D150" s="12">
        <v>3</v>
      </c>
      <c r="E150" s="28">
        <f>IF(D150=1,B150,F149)</f>
        <v>46696</v>
      </c>
      <c r="F150" s="28">
        <f>IF(D150&lt;参数设置!$B$12,DATE(YEAR(EDATE(B150,D150+1)),MONTH(EDATE(B150,D150+1)),参数设置!$B$13),EDATE(B150,参数设置!$B$12))</f>
        <v>46726</v>
      </c>
      <c r="G150" s="20">
        <f>F150-E150</f>
        <v>30</v>
      </c>
      <c r="H150" s="25">
        <f>IF(D150=参数设置!$B$12,C150,0)</f>
        <v>0</v>
      </c>
      <c r="I150" s="25">
        <f>IF(L150=1,ROUND(C150*参数设置!$B$10*G150/参数设置!$B$11,参数设置!$B$14),0)</f>
        <v>64.349999999999994</v>
      </c>
      <c r="J150" s="25">
        <f>H150+I150</f>
        <v>64.349999999999994</v>
      </c>
      <c r="K150" s="28">
        <f>EDATE(B150,参数设置!$B$12)</f>
        <v>46975</v>
      </c>
      <c r="L150" s="20">
        <f>--(A150&lt;=参数设置!$B$6)</f>
        <v>1</v>
      </c>
    </row>
    <row r="151" spans="1:12">
      <c r="A151" s="12">
        <v>13</v>
      </c>
      <c r="B151" s="21">
        <f>EDATE(参数设置!$B$4,A151-1)</f>
        <v>46609</v>
      </c>
      <c r="C151" s="22">
        <f>参数设置!$B$5</f>
        <v>23400</v>
      </c>
      <c r="D151" s="12">
        <v>4</v>
      </c>
      <c r="E151" s="28">
        <f>IF(D151=1,B151,F150)</f>
        <v>46726</v>
      </c>
      <c r="F151" s="28">
        <f>IF(D151&lt;参数设置!$B$12,DATE(YEAR(EDATE(B151,D151+1)),MONTH(EDATE(B151,D151+1)),参数设置!$B$13),EDATE(B151,参数设置!$B$12))</f>
        <v>46757</v>
      </c>
      <c r="G151" s="20">
        <f>F151-E151</f>
        <v>31</v>
      </c>
      <c r="H151" s="25">
        <f>IF(D151=参数设置!$B$12,C151,0)</f>
        <v>0</v>
      </c>
      <c r="I151" s="25">
        <f>IF(L151=1,ROUND(C151*参数设置!$B$10*G151/参数设置!$B$11,参数设置!$B$14),0)</f>
        <v>66.5</v>
      </c>
      <c r="J151" s="25">
        <f>H151+I151</f>
        <v>66.5</v>
      </c>
      <c r="K151" s="28">
        <f>EDATE(B151,参数设置!$B$12)</f>
        <v>46975</v>
      </c>
      <c r="L151" s="20">
        <f>--(A151&lt;=参数设置!$B$6)</f>
        <v>1</v>
      </c>
    </row>
    <row r="152" spans="1:12">
      <c r="A152" s="12">
        <v>13</v>
      </c>
      <c r="B152" s="21">
        <f>EDATE(参数设置!$B$4,A152-1)</f>
        <v>46609</v>
      </c>
      <c r="C152" s="22">
        <f>参数设置!$B$5</f>
        <v>23400</v>
      </c>
      <c r="D152" s="12">
        <v>5</v>
      </c>
      <c r="E152" s="28">
        <f>IF(D152=1,B152,F151)</f>
        <v>46757</v>
      </c>
      <c r="F152" s="28">
        <f>IF(D152&lt;参数设置!$B$12,DATE(YEAR(EDATE(B152,D152+1)),MONTH(EDATE(B152,D152+1)),参数设置!$B$13),EDATE(B152,参数设置!$B$12))</f>
        <v>46788</v>
      </c>
      <c r="G152" s="20">
        <f>F152-E152</f>
        <v>31</v>
      </c>
      <c r="H152" s="25">
        <f>IF(D152=参数设置!$B$12,C152,0)</f>
        <v>0</v>
      </c>
      <c r="I152" s="25">
        <f>IF(L152=1,ROUND(C152*参数设置!$B$10*G152/参数设置!$B$11,参数设置!$B$14),0)</f>
        <v>66.5</v>
      </c>
      <c r="J152" s="25">
        <f>H152+I152</f>
        <v>66.5</v>
      </c>
      <c r="K152" s="28">
        <f>EDATE(B152,参数设置!$B$12)</f>
        <v>46975</v>
      </c>
      <c r="L152" s="20">
        <f>--(A152&lt;=参数设置!$B$6)</f>
        <v>1</v>
      </c>
    </row>
    <row r="153" spans="1:12">
      <c r="A153" s="12">
        <v>13</v>
      </c>
      <c r="B153" s="21">
        <f>EDATE(参数设置!$B$4,A153-1)</f>
        <v>46609</v>
      </c>
      <c r="C153" s="22">
        <f>参数设置!$B$5</f>
        <v>23400</v>
      </c>
      <c r="D153" s="12">
        <v>6</v>
      </c>
      <c r="E153" s="28">
        <f>IF(D153=1,B153,F152)</f>
        <v>46788</v>
      </c>
      <c r="F153" s="28">
        <f>IF(D153&lt;参数设置!$B$12,DATE(YEAR(EDATE(B153,D153+1)),MONTH(EDATE(B153,D153+1)),参数设置!$B$13),EDATE(B153,参数设置!$B$12))</f>
        <v>46817</v>
      </c>
      <c r="G153" s="20">
        <f>F153-E153</f>
        <v>29</v>
      </c>
      <c r="H153" s="25">
        <f>IF(D153=参数设置!$B$12,C153,0)</f>
        <v>0</v>
      </c>
      <c r="I153" s="25">
        <f>IF(L153=1,ROUND(C153*参数设置!$B$10*G153/参数设置!$B$11,参数设置!$B$14),0)</f>
        <v>62.21</v>
      </c>
      <c r="J153" s="25">
        <f>H153+I153</f>
        <v>62.21</v>
      </c>
      <c r="K153" s="28">
        <f>EDATE(B153,参数设置!$B$12)</f>
        <v>46975</v>
      </c>
      <c r="L153" s="20">
        <f>--(A153&lt;=参数设置!$B$6)</f>
        <v>1</v>
      </c>
    </row>
    <row r="154" spans="1:12">
      <c r="A154" s="12">
        <v>13</v>
      </c>
      <c r="B154" s="21">
        <f>EDATE(参数设置!$B$4,A154-1)</f>
        <v>46609</v>
      </c>
      <c r="C154" s="22">
        <f>参数设置!$B$5</f>
        <v>23400</v>
      </c>
      <c r="D154" s="12">
        <v>7</v>
      </c>
      <c r="E154" s="28">
        <f>IF(D154=1,B154,F153)</f>
        <v>46817</v>
      </c>
      <c r="F154" s="28">
        <f>IF(D154&lt;参数设置!$B$12,DATE(YEAR(EDATE(B154,D154+1)),MONTH(EDATE(B154,D154+1)),参数设置!$B$13),EDATE(B154,参数设置!$B$12))</f>
        <v>46848</v>
      </c>
      <c r="G154" s="20">
        <f>F154-E154</f>
        <v>31</v>
      </c>
      <c r="H154" s="25">
        <f>IF(D154=参数设置!$B$12,C154,0)</f>
        <v>0</v>
      </c>
      <c r="I154" s="25">
        <f>IF(L154=1,ROUND(C154*参数设置!$B$10*G154/参数设置!$B$11,参数设置!$B$14),0)</f>
        <v>66.5</v>
      </c>
      <c r="J154" s="25">
        <f>H154+I154</f>
        <v>66.5</v>
      </c>
      <c r="K154" s="28">
        <f>EDATE(B154,参数设置!$B$12)</f>
        <v>46975</v>
      </c>
      <c r="L154" s="20">
        <f>--(A154&lt;=参数设置!$B$6)</f>
        <v>1</v>
      </c>
    </row>
    <row r="155" spans="1:12">
      <c r="A155" s="12">
        <v>13</v>
      </c>
      <c r="B155" s="21">
        <f>EDATE(参数设置!$B$4,A155-1)</f>
        <v>46609</v>
      </c>
      <c r="C155" s="22">
        <f>参数设置!$B$5</f>
        <v>23400</v>
      </c>
      <c r="D155" s="12">
        <v>8</v>
      </c>
      <c r="E155" s="28">
        <f>IF(D155=1,B155,F154)</f>
        <v>46848</v>
      </c>
      <c r="F155" s="28">
        <f>IF(D155&lt;参数设置!$B$12,DATE(YEAR(EDATE(B155,D155+1)),MONTH(EDATE(B155,D155+1)),参数设置!$B$13),EDATE(B155,参数设置!$B$12))</f>
        <v>46878</v>
      </c>
      <c r="G155" s="20">
        <f>F155-E155</f>
        <v>30</v>
      </c>
      <c r="H155" s="25">
        <f>IF(D155=参数设置!$B$12,C155,0)</f>
        <v>0</v>
      </c>
      <c r="I155" s="25">
        <f>IF(L155=1,ROUND(C155*参数设置!$B$10*G155/参数设置!$B$11,参数设置!$B$14),0)</f>
        <v>64.349999999999994</v>
      </c>
      <c r="J155" s="25">
        <f>H155+I155</f>
        <v>64.349999999999994</v>
      </c>
      <c r="K155" s="28">
        <f>EDATE(B155,参数设置!$B$12)</f>
        <v>46975</v>
      </c>
      <c r="L155" s="20">
        <f>--(A155&lt;=参数设置!$B$6)</f>
        <v>1</v>
      </c>
    </row>
    <row r="156" spans="1:12">
      <c r="A156" s="12">
        <v>13</v>
      </c>
      <c r="B156" s="21">
        <f>EDATE(参数设置!$B$4,A156-1)</f>
        <v>46609</v>
      </c>
      <c r="C156" s="22">
        <f>参数设置!$B$5</f>
        <v>23400</v>
      </c>
      <c r="D156" s="12">
        <v>9</v>
      </c>
      <c r="E156" s="28">
        <f>IF(D156=1,B156,F155)</f>
        <v>46878</v>
      </c>
      <c r="F156" s="28">
        <f>IF(D156&lt;参数设置!$B$12,DATE(YEAR(EDATE(B156,D156+1)),MONTH(EDATE(B156,D156+1)),参数设置!$B$13),EDATE(B156,参数设置!$B$12))</f>
        <v>46909</v>
      </c>
      <c r="G156" s="20">
        <f>F156-E156</f>
        <v>31</v>
      </c>
      <c r="H156" s="25">
        <f>IF(D156=参数设置!$B$12,C156,0)</f>
        <v>0</v>
      </c>
      <c r="I156" s="25">
        <f>IF(L156=1,ROUND(C156*参数设置!$B$10*G156/参数设置!$B$11,参数设置!$B$14),0)</f>
        <v>66.5</v>
      </c>
      <c r="J156" s="25">
        <f>H156+I156</f>
        <v>66.5</v>
      </c>
      <c r="K156" s="28">
        <f>EDATE(B156,参数设置!$B$12)</f>
        <v>46975</v>
      </c>
      <c r="L156" s="20">
        <f>--(A156&lt;=参数设置!$B$6)</f>
        <v>1</v>
      </c>
    </row>
    <row r="157" spans="1:12">
      <c r="A157" s="12">
        <v>13</v>
      </c>
      <c r="B157" s="21">
        <f>EDATE(参数设置!$B$4,A157-1)</f>
        <v>46609</v>
      </c>
      <c r="C157" s="22">
        <f>参数设置!$B$5</f>
        <v>23400</v>
      </c>
      <c r="D157" s="12">
        <v>10</v>
      </c>
      <c r="E157" s="28">
        <f>IF(D157=1,B157,F156)</f>
        <v>46909</v>
      </c>
      <c r="F157" s="28">
        <f>IF(D157&lt;参数设置!$B$12,DATE(YEAR(EDATE(B157,D157+1)),MONTH(EDATE(B157,D157+1)),参数设置!$B$13),EDATE(B157,参数设置!$B$12))</f>
        <v>46939</v>
      </c>
      <c r="G157" s="20">
        <f>F157-E157</f>
        <v>30</v>
      </c>
      <c r="H157" s="25">
        <f>IF(D157=参数设置!$B$12,C157,0)</f>
        <v>0</v>
      </c>
      <c r="I157" s="25">
        <f>IF(L157=1,ROUND(C157*参数设置!$B$10*G157/参数设置!$B$11,参数设置!$B$14),0)</f>
        <v>64.349999999999994</v>
      </c>
      <c r="J157" s="25">
        <f>H157+I157</f>
        <v>64.349999999999994</v>
      </c>
      <c r="K157" s="28">
        <f>EDATE(B157,参数设置!$B$12)</f>
        <v>46975</v>
      </c>
      <c r="L157" s="20">
        <f>--(A157&lt;=参数设置!$B$6)</f>
        <v>1</v>
      </c>
    </row>
    <row r="158" spans="1:12">
      <c r="A158" s="12">
        <v>13</v>
      </c>
      <c r="B158" s="21">
        <f>EDATE(参数设置!$B$4,A158-1)</f>
        <v>46609</v>
      </c>
      <c r="C158" s="22">
        <f>参数设置!$B$5</f>
        <v>23400</v>
      </c>
      <c r="D158" s="12">
        <v>11</v>
      </c>
      <c r="E158" s="28">
        <f>IF(D158=1,B158,F157)</f>
        <v>46939</v>
      </c>
      <c r="F158" s="28">
        <f>IF(D158&lt;参数设置!$B$12,DATE(YEAR(EDATE(B158,D158+1)),MONTH(EDATE(B158,D158+1)),参数设置!$B$13),EDATE(B158,参数设置!$B$12))</f>
        <v>46970</v>
      </c>
      <c r="G158" s="20">
        <f>F158-E158</f>
        <v>31</v>
      </c>
      <c r="H158" s="25">
        <f>IF(D158=参数设置!$B$12,C158,0)</f>
        <v>0</v>
      </c>
      <c r="I158" s="25">
        <f>IF(L158=1,ROUND(C158*参数设置!$B$10*G158/参数设置!$B$11,参数设置!$B$14),0)</f>
        <v>66.5</v>
      </c>
      <c r="J158" s="25">
        <f>H158+I158</f>
        <v>66.5</v>
      </c>
      <c r="K158" s="28">
        <f>EDATE(B158,参数设置!$B$12)</f>
        <v>46975</v>
      </c>
      <c r="L158" s="20">
        <f>--(A158&lt;=参数设置!$B$6)</f>
        <v>1</v>
      </c>
    </row>
    <row r="159" spans="1:12">
      <c r="A159" s="12">
        <v>13</v>
      </c>
      <c r="B159" s="21">
        <f>EDATE(参数设置!$B$4,A159-1)</f>
        <v>46609</v>
      </c>
      <c r="C159" s="22">
        <f>参数设置!$B$5</f>
        <v>23400</v>
      </c>
      <c r="D159" s="12">
        <v>12</v>
      </c>
      <c r="E159" s="28">
        <f>IF(D159=1,B159,F158)</f>
        <v>46970</v>
      </c>
      <c r="F159" s="28">
        <f>IF(D159&lt;参数设置!$B$12,DATE(YEAR(EDATE(B159,D159+1)),MONTH(EDATE(B159,D159+1)),参数设置!$B$13),EDATE(B159,参数设置!$B$12))</f>
        <v>46975</v>
      </c>
      <c r="G159" s="20">
        <f>F159-E159</f>
        <v>5</v>
      </c>
      <c r="H159" s="25">
        <f>IF(D159=参数设置!$B$12,C159,0)</f>
        <v>23400</v>
      </c>
      <c r="I159" s="25">
        <f>IF(L159=1,ROUND(C159*参数设置!$B$10*G159/参数设置!$B$11,参数设置!$B$14),0)</f>
        <v>10.73</v>
      </c>
      <c r="J159" s="25">
        <f>H159+I159</f>
        <v>23410.73</v>
      </c>
      <c r="K159" s="28">
        <f>EDATE(B159,参数设置!$B$12)</f>
        <v>46975</v>
      </c>
      <c r="L159" s="20">
        <f>--(A159&lt;=参数设置!$B$6)</f>
        <v>1</v>
      </c>
    </row>
    <row r="160" spans="1:12">
      <c r="A160" s="12">
        <v>14</v>
      </c>
      <c r="B160" s="21">
        <f>EDATE(参数设置!$B$4,A160-1)</f>
        <v>46640</v>
      </c>
      <c r="C160" s="22">
        <f>参数设置!$B$5</f>
        <v>23400</v>
      </c>
      <c r="D160" s="12">
        <v>1</v>
      </c>
      <c r="E160" s="28">
        <f>IF(D160=1,B160,F159)</f>
        <v>46640</v>
      </c>
      <c r="F160" s="28">
        <f>IF(D160&lt;参数设置!$B$12,DATE(YEAR(EDATE(B160,D160+1)),MONTH(EDATE(B160,D160+1)),参数设置!$B$13),EDATE(B160,参数设置!$B$12))</f>
        <v>46696</v>
      </c>
      <c r="G160" s="20">
        <f>F160-E160</f>
        <v>56</v>
      </c>
      <c r="H160" s="25">
        <f>IF(D160=参数设置!$B$12,C160,0)</f>
        <v>0</v>
      </c>
      <c r="I160" s="25">
        <f>IF(L160=1,ROUND(C160*参数设置!$B$10*G160/参数设置!$B$11,参数设置!$B$14),0)</f>
        <v>120.12</v>
      </c>
      <c r="J160" s="25">
        <f>H160+I160</f>
        <v>120.12</v>
      </c>
      <c r="K160" s="28">
        <f>EDATE(B160,参数设置!$B$12)</f>
        <v>47006</v>
      </c>
      <c r="L160" s="20">
        <f>--(A160&lt;=参数设置!$B$6)</f>
        <v>1</v>
      </c>
    </row>
    <row r="161" spans="1:12">
      <c r="A161" s="12">
        <v>14</v>
      </c>
      <c r="B161" s="21">
        <f>EDATE(参数设置!$B$4,A161-1)</f>
        <v>46640</v>
      </c>
      <c r="C161" s="22">
        <f>参数设置!$B$5</f>
        <v>23400</v>
      </c>
      <c r="D161" s="12">
        <v>2</v>
      </c>
      <c r="E161" s="28">
        <f>IF(D161=1,B161,F160)</f>
        <v>46696</v>
      </c>
      <c r="F161" s="28">
        <f>IF(D161&lt;参数设置!$B$12,DATE(YEAR(EDATE(B161,D161+1)),MONTH(EDATE(B161,D161+1)),参数设置!$B$13),EDATE(B161,参数设置!$B$12))</f>
        <v>46726</v>
      </c>
      <c r="G161" s="20">
        <f>F161-E161</f>
        <v>30</v>
      </c>
      <c r="H161" s="25">
        <f>IF(D161=参数设置!$B$12,C161,0)</f>
        <v>0</v>
      </c>
      <c r="I161" s="25">
        <f>IF(L161=1,ROUND(C161*参数设置!$B$10*G161/参数设置!$B$11,参数设置!$B$14),0)</f>
        <v>64.349999999999994</v>
      </c>
      <c r="J161" s="25">
        <f>H161+I161</f>
        <v>64.349999999999994</v>
      </c>
      <c r="K161" s="28">
        <f>EDATE(B161,参数设置!$B$12)</f>
        <v>47006</v>
      </c>
      <c r="L161" s="20">
        <f>--(A161&lt;=参数设置!$B$6)</f>
        <v>1</v>
      </c>
    </row>
    <row r="162" spans="1:12">
      <c r="A162" s="12">
        <v>14</v>
      </c>
      <c r="B162" s="21">
        <f>EDATE(参数设置!$B$4,A162-1)</f>
        <v>46640</v>
      </c>
      <c r="C162" s="22">
        <f>参数设置!$B$5</f>
        <v>23400</v>
      </c>
      <c r="D162" s="12">
        <v>3</v>
      </c>
      <c r="E162" s="28">
        <f>IF(D162=1,B162,F161)</f>
        <v>46726</v>
      </c>
      <c r="F162" s="28">
        <f>IF(D162&lt;参数设置!$B$12,DATE(YEAR(EDATE(B162,D162+1)),MONTH(EDATE(B162,D162+1)),参数设置!$B$13),EDATE(B162,参数设置!$B$12))</f>
        <v>46757</v>
      </c>
      <c r="G162" s="20">
        <f>F162-E162</f>
        <v>31</v>
      </c>
      <c r="H162" s="25">
        <f>IF(D162=参数设置!$B$12,C162,0)</f>
        <v>0</v>
      </c>
      <c r="I162" s="25">
        <f>IF(L162=1,ROUND(C162*参数设置!$B$10*G162/参数设置!$B$11,参数设置!$B$14),0)</f>
        <v>66.5</v>
      </c>
      <c r="J162" s="25">
        <f>H162+I162</f>
        <v>66.5</v>
      </c>
      <c r="K162" s="28">
        <f>EDATE(B162,参数设置!$B$12)</f>
        <v>47006</v>
      </c>
      <c r="L162" s="20">
        <f>--(A162&lt;=参数设置!$B$6)</f>
        <v>1</v>
      </c>
    </row>
    <row r="163" spans="1:12">
      <c r="A163" s="12">
        <v>14</v>
      </c>
      <c r="B163" s="21">
        <f>EDATE(参数设置!$B$4,A163-1)</f>
        <v>46640</v>
      </c>
      <c r="C163" s="22">
        <f>参数设置!$B$5</f>
        <v>23400</v>
      </c>
      <c r="D163" s="12">
        <v>4</v>
      </c>
      <c r="E163" s="28">
        <f>IF(D163=1,B163,F162)</f>
        <v>46757</v>
      </c>
      <c r="F163" s="28">
        <f>IF(D163&lt;参数设置!$B$12,DATE(YEAR(EDATE(B163,D163+1)),MONTH(EDATE(B163,D163+1)),参数设置!$B$13),EDATE(B163,参数设置!$B$12))</f>
        <v>46788</v>
      </c>
      <c r="G163" s="20">
        <f>F163-E163</f>
        <v>31</v>
      </c>
      <c r="H163" s="25">
        <f>IF(D163=参数设置!$B$12,C163,0)</f>
        <v>0</v>
      </c>
      <c r="I163" s="25">
        <f>IF(L163=1,ROUND(C163*参数设置!$B$10*G163/参数设置!$B$11,参数设置!$B$14),0)</f>
        <v>66.5</v>
      </c>
      <c r="J163" s="25">
        <f>H163+I163</f>
        <v>66.5</v>
      </c>
      <c r="K163" s="28">
        <f>EDATE(B163,参数设置!$B$12)</f>
        <v>47006</v>
      </c>
      <c r="L163" s="20">
        <f>--(A163&lt;=参数设置!$B$6)</f>
        <v>1</v>
      </c>
    </row>
    <row r="164" spans="1:12">
      <c r="A164" s="12">
        <v>14</v>
      </c>
      <c r="B164" s="21">
        <f>EDATE(参数设置!$B$4,A164-1)</f>
        <v>46640</v>
      </c>
      <c r="C164" s="22">
        <f>参数设置!$B$5</f>
        <v>23400</v>
      </c>
      <c r="D164" s="12">
        <v>5</v>
      </c>
      <c r="E164" s="28">
        <f>IF(D164=1,B164,F163)</f>
        <v>46788</v>
      </c>
      <c r="F164" s="28">
        <f>IF(D164&lt;参数设置!$B$12,DATE(YEAR(EDATE(B164,D164+1)),MONTH(EDATE(B164,D164+1)),参数设置!$B$13),EDATE(B164,参数设置!$B$12))</f>
        <v>46817</v>
      </c>
      <c r="G164" s="20">
        <f>F164-E164</f>
        <v>29</v>
      </c>
      <c r="H164" s="25">
        <f>IF(D164=参数设置!$B$12,C164,0)</f>
        <v>0</v>
      </c>
      <c r="I164" s="25">
        <f>IF(L164=1,ROUND(C164*参数设置!$B$10*G164/参数设置!$B$11,参数设置!$B$14),0)</f>
        <v>62.21</v>
      </c>
      <c r="J164" s="25">
        <f>H164+I164</f>
        <v>62.21</v>
      </c>
      <c r="K164" s="28">
        <f>EDATE(B164,参数设置!$B$12)</f>
        <v>47006</v>
      </c>
      <c r="L164" s="20">
        <f>--(A164&lt;=参数设置!$B$6)</f>
        <v>1</v>
      </c>
    </row>
    <row r="165" spans="1:12">
      <c r="A165" s="12">
        <v>14</v>
      </c>
      <c r="B165" s="21">
        <f>EDATE(参数设置!$B$4,A165-1)</f>
        <v>46640</v>
      </c>
      <c r="C165" s="22">
        <f>参数设置!$B$5</f>
        <v>23400</v>
      </c>
      <c r="D165" s="12">
        <v>6</v>
      </c>
      <c r="E165" s="28">
        <f>IF(D165=1,B165,F164)</f>
        <v>46817</v>
      </c>
      <c r="F165" s="28">
        <f>IF(D165&lt;参数设置!$B$12,DATE(YEAR(EDATE(B165,D165+1)),MONTH(EDATE(B165,D165+1)),参数设置!$B$13),EDATE(B165,参数设置!$B$12))</f>
        <v>46848</v>
      </c>
      <c r="G165" s="20">
        <f>F165-E165</f>
        <v>31</v>
      </c>
      <c r="H165" s="25">
        <f>IF(D165=参数设置!$B$12,C165,0)</f>
        <v>0</v>
      </c>
      <c r="I165" s="25">
        <f>IF(L165=1,ROUND(C165*参数设置!$B$10*G165/参数设置!$B$11,参数设置!$B$14),0)</f>
        <v>66.5</v>
      </c>
      <c r="J165" s="25">
        <f>H165+I165</f>
        <v>66.5</v>
      </c>
      <c r="K165" s="28">
        <f>EDATE(B165,参数设置!$B$12)</f>
        <v>47006</v>
      </c>
      <c r="L165" s="20">
        <f>--(A165&lt;=参数设置!$B$6)</f>
        <v>1</v>
      </c>
    </row>
    <row r="166" spans="1:12">
      <c r="A166" s="12">
        <v>14</v>
      </c>
      <c r="B166" s="21">
        <f>EDATE(参数设置!$B$4,A166-1)</f>
        <v>46640</v>
      </c>
      <c r="C166" s="22">
        <f>参数设置!$B$5</f>
        <v>23400</v>
      </c>
      <c r="D166" s="12">
        <v>7</v>
      </c>
      <c r="E166" s="28">
        <f>IF(D166=1,B166,F165)</f>
        <v>46848</v>
      </c>
      <c r="F166" s="28">
        <f>IF(D166&lt;参数设置!$B$12,DATE(YEAR(EDATE(B166,D166+1)),MONTH(EDATE(B166,D166+1)),参数设置!$B$13),EDATE(B166,参数设置!$B$12))</f>
        <v>46878</v>
      </c>
      <c r="G166" s="20">
        <f>F166-E166</f>
        <v>30</v>
      </c>
      <c r="H166" s="25">
        <f>IF(D166=参数设置!$B$12,C166,0)</f>
        <v>0</v>
      </c>
      <c r="I166" s="25">
        <f>IF(L166=1,ROUND(C166*参数设置!$B$10*G166/参数设置!$B$11,参数设置!$B$14),0)</f>
        <v>64.349999999999994</v>
      </c>
      <c r="J166" s="25">
        <f>H166+I166</f>
        <v>64.349999999999994</v>
      </c>
      <c r="K166" s="28">
        <f>EDATE(B166,参数设置!$B$12)</f>
        <v>47006</v>
      </c>
      <c r="L166" s="20">
        <f>--(A166&lt;=参数设置!$B$6)</f>
        <v>1</v>
      </c>
    </row>
    <row r="167" spans="1:12">
      <c r="A167" s="12">
        <v>14</v>
      </c>
      <c r="B167" s="21">
        <f>EDATE(参数设置!$B$4,A167-1)</f>
        <v>46640</v>
      </c>
      <c r="C167" s="22">
        <f>参数设置!$B$5</f>
        <v>23400</v>
      </c>
      <c r="D167" s="12">
        <v>8</v>
      </c>
      <c r="E167" s="28">
        <f>IF(D167=1,B167,F166)</f>
        <v>46878</v>
      </c>
      <c r="F167" s="28">
        <f>IF(D167&lt;参数设置!$B$12,DATE(YEAR(EDATE(B167,D167+1)),MONTH(EDATE(B167,D167+1)),参数设置!$B$13),EDATE(B167,参数设置!$B$12))</f>
        <v>46909</v>
      </c>
      <c r="G167" s="20">
        <f>F167-E167</f>
        <v>31</v>
      </c>
      <c r="H167" s="25">
        <f>IF(D167=参数设置!$B$12,C167,0)</f>
        <v>0</v>
      </c>
      <c r="I167" s="25">
        <f>IF(L167=1,ROUND(C167*参数设置!$B$10*G167/参数设置!$B$11,参数设置!$B$14),0)</f>
        <v>66.5</v>
      </c>
      <c r="J167" s="25">
        <f>H167+I167</f>
        <v>66.5</v>
      </c>
      <c r="K167" s="28">
        <f>EDATE(B167,参数设置!$B$12)</f>
        <v>47006</v>
      </c>
      <c r="L167" s="20">
        <f>--(A167&lt;=参数设置!$B$6)</f>
        <v>1</v>
      </c>
    </row>
    <row r="168" spans="1:12">
      <c r="A168" s="12">
        <v>14</v>
      </c>
      <c r="B168" s="21">
        <f>EDATE(参数设置!$B$4,A168-1)</f>
        <v>46640</v>
      </c>
      <c r="C168" s="22">
        <f>参数设置!$B$5</f>
        <v>23400</v>
      </c>
      <c r="D168" s="12">
        <v>9</v>
      </c>
      <c r="E168" s="28">
        <f>IF(D168=1,B168,F167)</f>
        <v>46909</v>
      </c>
      <c r="F168" s="28">
        <f>IF(D168&lt;参数设置!$B$12,DATE(YEAR(EDATE(B168,D168+1)),MONTH(EDATE(B168,D168+1)),参数设置!$B$13),EDATE(B168,参数设置!$B$12))</f>
        <v>46939</v>
      </c>
      <c r="G168" s="20">
        <f>F168-E168</f>
        <v>30</v>
      </c>
      <c r="H168" s="25">
        <f>IF(D168=参数设置!$B$12,C168,0)</f>
        <v>0</v>
      </c>
      <c r="I168" s="25">
        <f>IF(L168=1,ROUND(C168*参数设置!$B$10*G168/参数设置!$B$11,参数设置!$B$14),0)</f>
        <v>64.349999999999994</v>
      </c>
      <c r="J168" s="25">
        <f>H168+I168</f>
        <v>64.349999999999994</v>
      </c>
      <c r="K168" s="28">
        <f>EDATE(B168,参数设置!$B$12)</f>
        <v>47006</v>
      </c>
      <c r="L168" s="20">
        <f>--(A168&lt;=参数设置!$B$6)</f>
        <v>1</v>
      </c>
    </row>
    <row r="169" spans="1:12">
      <c r="A169" s="12">
        <v>14</v>
      </c>
      <c r="B169" s="21">
        <f>EDATE(参数设置!$B$4,A169-1)</f>
        <v>46640</v>
      </c>
      <c r="C169" s="22">
        <f>参数设置!$B$5</f>
        <v>23400</v>
      </c>
      <c r="D169" s="12">
        <v>10</v>
      </c>
      <c r="E169" s="28">
        <f>IF(D169=1,B169,F168)</f>
        <v>46939</v>
      </c>
      <c r="F169" s="28">
        <f>IF(D169&lt;参数设置!$B$12,DATE(YEAR(EDATE(B169,D169+1)),MONTH(EDATE(B169,D169+1)),参数设置!$B$13),EDATE(B169,参数设置!$B$12))</f>
        <v>46970</v>
      </c>
      <c r="G169" s="20">
        <f>F169-E169</f>
        <v>31</v>
      </c>
      <c r="H169" s="25">
        <f>IF(D169=参数设置!$B$12,C169,0)</f>
        <v>0</v>
      </c>
      <c r="I169" s="25">
        <f>IF(L169=1,ROUND(C169*参数设置!$B$10*G169/参数设置!$B$11,参数设置!$B$14),0)</f>
        <v>66.5</v>
      </c>
      <c r="J169" s="25">
        <f>H169+I169</f>
        <v>66.5</v>
      </c>
      <c r="K169" s="28">
        <f>EDATE(B169,参数设置!$B$12)</f>
        <v>47006</v>
      </c>
      <c r="L169" s="20">
        <f>--(A169&lt;=参数设置!$B$6)</f>
        <v>1</v>
      </c>
    </row>
    <row r="170" spans="1:12">
      <c r="A170" s="12">
        <v>14</v>
      </c>
      <c r="B170" s="21">
        <f>EDATE(参数设置!$B$4,A170-1)</f>
        <v>46640</v>
      </c>
      <c r="C170" s="22">
        <f>参数设置!$B$5</f>
        <v>23400</v>
      </c>
      <c r="D170" s="12">
        <v>11</v>
      </c>
      <c r="E170" s="28">
        <f>IF(D170=1,B170,F169)</f>
        <v>46970</v>
      </c>
      <c r="F170" s="28">
        <f>IF(D170&lt;参数设置!$B$12,DATE(YEAR(EDATE(B170,D170+1)),MONTH(EDATE(B170,D170+1)),参数设置!$B$13),EDATE(B170,参数设置!$B$12))</f>
        <v>47001</v>
      </c>
      <c r="G170" s="20">
        <f>F170-E170</f>
        <v>31</v>
      </c>
      <c r="H170" s="25">
        <f>IF(D170=参数设置!$B$12,C170,0)</f>
        <v>0</v>
      </c>
      <c r="I170" s="25">
        <f>IF(L170=1,ROUND(C170*参数设置!$B$10*G170/参数设置!$B$11,参数设置!$B$14),0)</f>
        <v>66.5</v>
      </c>
      <c r="J170" s="25">
        <f>H170+I170</f>
        <v>66.5</v>
      </c>
      <c r="K170" s="28">
        <f>EDATE(B170,参数设置!$B$12)</f>
        <v>47006</v>
      </c>
      <c r="L170" s="20">
        <f>--(A170&lt;=参数设置!$B$6)</f>
        <v>1</v>
      </c>
    </row>
    <row r="171" spans="1:12">
      <c r="A171" s="12">
        <v>14</v>
      </c>
      <c r="B171" s="21">
        <f>EDATE(参数设置!$B$4,A171-1)</f>
        <v>46640</v>
      </c>
      <c r="C171" s="22">
        <f>参数设置!$B$5</f>
        <v>23400</v>
      </c>
      <c r="D171" s="12">
        <v>12</v>
      </c>
      <c r="E171" s="28">
        <f>IF(D171=1,B171,F170)</f>
        <v>47001</v>
      </c>
      <c r="F171" s="28">
        <f>IF(D171&lt;参数设置!$B$12,DATE(YEAR(EDATE(B171,D171+1)),MONTH(EDATE(B171,D171+1)),参数设置!$B$13),EDATE(B171,参数设置!$B$12))</f>
        <v>47006</v>
      </c>
      <c r="G171" s="20">
        <f>F171-E171</f>
        <v>5</v>
      </c>
      <c r="H171" s="25">
        <f>IF(D171=参数设置!$B$12,C171,0)</f>
        <v>23400</v>
      </c>
      <c r="I171" s="25">
        <f>IF(L171=1,ROUND(C171*参数设置!$B$10*G171/参数设置!$B$11,参数设置!$B$14),0)</f>
        <v>10.73</v>
      </c>
      <c r="J171" s="25">
        <f>H171+I171</f>
        <v>23410.73</v>
      </c>
      <c r="K171" s="28">
        <f>EDATE(B171,参数设置!$B$12)</f>
        <v>47006</v>
      </c>
      <c r="L171" s="20">
        <f>--(A171&lt;=参数设置!$B$6)</f>
        <v>1</v>
      </c>
    </row>
    <row r="172" spans="1:12">
      <c r="A172" s="12">
        <v>15</v>
      </c>
      <c r="B172" s="21">
        <f>EDATE(参数设置!$B$4,A172-1)</f>
        <v>46670</v>
      </c>
      <c r="C172" s="22">
        <f>参数设置!$B$5</f>
        <v>23400</v>
      </c>
      <c r="D172" s="12">
        <v>1</v>
      </c>
      <c r="E172" s="28">
        <f>IF(D172=1,B172,F171)</f>
        <v>46670</v>
      </c>
      <c r="F172" s="28">
        <f>IF(D172&lt;参数设置!$B$12,DATE(YEAR(EDATE(B172,D172+1)),MONTH(EDATE(B172,D172+1)),参数设置!$B$13),EDATE(B172,参数设置!$B$12))</f>
        <v>46726</v>
      </c>
      <c r="G172" s="20">
        <f>F172-E172</f>
        <v>56</v>
      </c>
      <c r="H172" s="25">
        <f>IF(D172=参数设置!$B$12,C172,0)</f>
        <v>0</v>
      </c>
      <c r="I172" s="25">
        <f>IF(L172=1,ROUND(C172*参数设置!$B$10*G172/参数设置!$B$11,参数设置!$B$14),0)</f>
        <v>120.12</v>
      </c>
      <c r="J172" s="25">
        <f>H172+I172</f>
        <v>120.12</v>
      </c>
      <c r="K172" s="28">
        <f>EDATE(B172,参数设置!$B$12)</f>
        <v>47036</v>
      </c>
      <c r="L172" s="20">
        <f>--(A172&lt;=参数设置!$B$6)</f>
        <v>1</v>
      </c>
    </row>
    <row r="173" spans="1:12">
      <c r="A173" s="12">
        <v>15</v>
      </c>
      <c r="B173" s="21">
        <f>EDATE(参数设置!$B$4,A173-1)</f>
        <v>46670</v>
      </c>
      <c r="C173" s="22">
        <f>参数设置!$B$5</f>
        <v>23400</v>
      </c>
      <c r="D173" s="12">
        <v>2</v>
      </c>
      <c r="E173" s="28">
        <f>IF(D173=1,B173,F172)</f>
        <v>46726</v>
      </c>
      <c r="F173" s="28">
        <f>IF(D173&lt;参数设置!$B$12,DATE(YEAR(EDATE(B173,D173+1)),MONTH(EDATE(B173,D173+1)),参数设置!$B$13),EDATE(B173,参数设置!$B$12))</f>
        <v>46757</v>
      </c>
      <c r="G173" s="20">
        <f>F173-E173</f>
        <v>31</v>
      </c>
      <c r="H173" s="25">
        <f>IF(D173=参数设置!$B$12,C173,0)</f>
        <v>0</v>
      </c>
      <c r="I173" s="25">
        <f>IF(L173=1,ROUND(C173*参数设置!$B$10*G173/参数设置!$B$11,参数设置!$B$14),0)</f>
        <v>66.5</v>
      </c>
      <c r="J173" s="25">
        <f>H173+I173</f>
        <v>66.5</v>
      </c>
      <c r="K173" s="28">
        <f>EDATE(B173,参数设置!$B$12)</f>
        <v>47036</v>
      </c>
      <c r="L173" s="20">
        <f>--(A173&lt;=参数设置!$B$6)</f>
        <v>1</v>
      </c>
    </row>
    <row r="174" spans="1:12">
      <c r="A174" s="12">
        <v>15</v>
      </c>
      <c r="B174" s="21">
        <f>EDATE(参数设置!$B$4,A174-1)</f>
        <v>46670</v>
      </c>
      <c r="C174" s="22">
        <f>参数设置!$B$5</f>
        <v>23400</v>
      </c>
      <c r="D174" s="12">
        <v>3</v>
      </c>
      <c r="E174" s="28">
        <f>IF(D174=1,B174,F173)</f>
        <v>46757</v>
      </c>
      <c r="F174" s="28">
        <f>IF(D174&lt;参数设置!$B$12,DATE(YEAR(EDATE(B174,D174+1)),MONTH(EDATE(B174,D174+1)),参数设置!$B$13),EDATE(B174,参数设置!$B$12))</f>
        <v>46788</v>
      </c>
      <c r="G174" s="20">
        <f>F174-E174</f>
        <v>31</v>
      </c>
      <c r="H174" s="25">
        <f>IF(D174=参数设置!$B$12,C174,0)</f>
        <v>0</v>
      </c>
      <c r="I174" s="25">
        <f>IF(L174=1,ROUND(C174*参数设置!$B$10*G174/参数设置!$B$11,参数设置!$B$14),0)</f>
        <v>66.5</v>
      </c>
      <c r="J174" s="25">
        <f>H174+I174</f>
        <v>66.5</v>
      </c>
      <c r="K174" s="28">
        <f>EDATE(B174,参数设置!$B$12)</f>
        <v>47036</v>
      </c>
      <c r="L174" s="20">
        <f>--(A174&lt;=参数设置!$B$6)</f>
        <v>1</v>
      </c>
    </row>
    <row r="175" spans="1:12">
      <c r="A175" s="12">
        <v>15</v>
      </c>
      <c r="B175" s="21">
        <f>EDATE(参数设置!$B$4,A175-1)</f>
        <v>46670</v>
      </c>
      <c r="C175" s="22">
        <f>参数设置!$B$5</f>
        <v>23400</v>
      </c>
      <c r="D175" s="12">
        <v>4</v>
      </c>
      <c r="E175" s="28">
        <f>IF(D175=1,B175,F174)</f>
        <v>46788</v>
      </c>
      <c r="F175" s="28">
        <f>IF(D175&lt;参数设置!$B$12,DATE(YEAR(EDATE(B175,D175+1)),MONTH(EDATE(B175,D175+1)),参数设置!$B$13),EDATE(B175,参数设置!$B$12))</f>
        <v>46817</v>
      </c>
      <c r="G175" s="20">
        <f>F175-E175</f>
        <v>29</v>
      </c>
      <c r="H175" s="25">
        <f>IF(D175=参数设置!$B$12,C175,0)</f>
        <v>0</v>
      </c>
      <c r="I175" s="25">
        <f>IF(L175=1,ROUND(C175*参数设置!$B$10*G175/参数设置!$B$11,参数设置!$B$14),0)</f>
        <v>62.21</v>
      </c>
      <c r="J175" s="25">
        <f>H175+I175</f>
        <v>62.21</v>
      </c>
      <c r="K175" s="28">
        <f>EDATE(B175,参数设置!$B$12)</f>
        <v>47036</v>
      </c>
      <c r="L175" s="20">
        <f>--(A175&lt;=参数设置!$B$6)</f>
        <v>1</v>
      </c>
    </row>
    <row r="176" spans="1:12">
      <c r="A176" s="12">
        <v>15</v>
      </c>
      <c r="B176" s="21">
        <f>EDATE(参数设置!$B$4,A176-1)</f>
        <v>46670</v>
      </c>
      <c r="C176" s="22">
        <f>参数设置!$B$5</f>
        <v>23400</v>
      </c>
      <c r="D176" s="12">
        <v>5</v>
      </c>
      <c r="E176" s="28">
        <f>IF(D176=1,B176,F175)</f>
        <v>46817</v>
      </c>
      <c r="F176" s="28">
        <f>IF(D176&lt;参数设置!$B$12,DATE(YEAR(EDATE(B176,D176+1)),MONTH(EDATE(B176,D176+1)),参数设置!$B$13),EDATE(B176,参数设置!$B$12))</f>
        <v>46848</v>
      </c>
      <c r="G176" s="20">
        <f>F176-E176</f>
        <v>31</v>
      </c>
      <c r="H176" s="25">
        <f>IF(D176=参数设置!$B$12,C176,0)</f>
        <v>0</v>
      </c>
      <c r="I176" s="25">
        <f>IF(L176=1,ROUND(C176*参数设置!$B$10*G176/参数设置!$B$11,参数设置!$B$14),0)</f>
        <v>66.5</v>
      </c>
      <c r="J176" s="25">
        <f>H176+I176</f>
        <v>66.5</v>
      </c>
      <c r="K176" s="28">
        <f>EDATE(B176,参数设置!$B$12)</f>
        <v>47036</v>
      </c>
      <c r="L176" s="20">
        <f>--(A176&lt;=参数设置!$B$6)</f>
        <v>1</v>
      </c>
    </row>
    <row r="177" spans="1:12">
      <c r="A177" s="12">
        <v>15</v>
      </c>
      <c r="B177" s="21">
        <f>EDATE(参数设置!$B$4,A177-1)</f>
        <v>46670</v>
      </c>
      <c r="C177" s="22">
        <f>参数设置!$B$5</f>
        <v>23400</v>
      </c>
      <c r="D177" s="12">
        <v>6</v>
      </c>
      <c r="E177" s="28">
        <f>IF(D177=1,B177,F176)</f>
        <v>46848</v>
      </c>
      <c r="F177" s="28">
        <f>IF(D177&lt;参数设置!$B$12,DATE(YEAR(EDATE(B177,D177+1)),MONTH(EDATE(B177,D177+1)),参数设置!$B$13),EDATE(B177,参数设置!$B$12))</f>
        <v>46878</v>
      </c>
      <c r="G177" s="20">
        <f>F177-E177</f>
        <v>30</v>
      </c>
      <c r="H177" s="25">
        <f>IF(D177=参数设置!$B$12,C177,0)</f>
        <v>0</v>
      </c>
      <c r="I177" s="25">
        <f>IF(L177=1,ROUND(C177*参数设置!$B$10*G177/参数设置!$B$11,参数设置!$B$14),0)</f>
        <v>64.349999999999994</v>
      </c>
      <c r="J177" s="25">
        <f>H177+I177</f>
        <v>64.349999999999994</v>
      </c>
      <c r="K177" s="28">
        <f>EDATE(B177,参数设置!$B$12)</f>
        <v>47036</v>
      </c>
      <c r="L177" s="20">
        <f>--(A177&lt;=参数设置!$B$6)</f>
        <v>1</v>
      </c>
    </row>
    <row r="178" spans="1:12">
      <c r="A178" s="12">
        <v>15</v>
      </c>
      <c r="B178" s="21">
        <f>EDATE(参数设置!$B$4,A178-1)</f>
        <v>46670</v>
      </c>
      <c r="C178" s="22">
        <f>参数设置!$B$5</f>
        <v>23400</v>
      </c>
      <c r="D178" s="12">
        <v>7</v>
      </c>
      <c r="E178" s="28">
        <f>IF(D178=1,B178,F177)</f>
        <v>46878</v>
      </c>
      <c r="F178" s="28">
        <f>IF(D178&lt;参数设置!$B$12,DATE(YEAR(EDATE(B178,D178+1)),MONTH(EDATE(B178,D178+1)),参数设置!$B$13),EDATE(B178,参数设置!$B$12))</f>
        <v>46909</v>
      </c>
      <c r="G178" s="20">
        <f>F178-E178</f>
        <v>31</v>
      </c>
      <c r="H178" s="25">
        <f>IF(D178=参数设置!$B$12,C178,0)</f>
        <v>0</v>
      </c>
      <c r="I178" s="25">
        <f>IF(L178=1,ROUND(C178*参数设置!$B$10*G178/参数设置!$B$11,参数设置!$B$14),0)</f>
        <v>66.5</v>
      </c>
      <c r="J178" s="25">
        <f>H178+I178</f>
        <v>66.5</v>
      </c>
      <c r="K178" s="28">
        <f>EDATE(B178,参数设置!$B$12)</f>
        <v>47036</v>
      </c>
      <c r="L178" s="20">
        <f>--(A178&lt;=参数设置!$B$6)</f>
        <v>1</v>
      </c>
    </row>
    <row r="179" spans="1:12">
      <c r="A179" s="12">
        <v>15</v>
      </c>
      <c r="B179" s="21">
        <f>EDATE(参数设置!$B$4,A179-1)</f>
        <v>46670</v>
      </c>
      <c r="C179" s="22">
        <f>参数设置!$B$5</f>
        <v>23400</v>
      </c>
      <c r="D179" s="12">
        <v>8</v>
      </c>
      <c r="E179" s="28">
        <f>IF(D179=1,B179,F178)</f>
        <v>46909</v>
      </c>
      <c r="F179" s="28">
        <f>IF(D179&lt;参数设置!$B$12,DATE(YEAR(EDATE(B179,D179+1)),MONTH(EDATE(B179,D179+1)),参数设置!$B$13),EDATE(B179,参数设置!$B$12))</f>
        <v>46939</v>
      </c>
      <c r="G179" s="20">
        <f>F179-E179</f>
        <v>30</v>
      </c>
      <c r="H179" s="25">
        <f>IF(D179=参数设置!$B$12,C179,0)</f>
        <v>0</v>
      </c>
      <c r="I179" s="25">
        <f>IF(L179=1,ROUND(C179*参数设置!$B$10*G179/参数设置!$B$11,参数设置!$B$14),0)</f>
        <v>64.349999999999994</v>
      </c>
      <c r="J179" s="25">
        <f>H179+I179</f>
        <v>64.349999999999994</v>
      </c>
      <c r="K179" s="28">
        <f>EDATE(B179,参数设置!$B$12)</f>
        <v>47036</v>
      </c>
      <c r="L179" s="20">
        <f>--(A179&lt;=参数设置!$B$6)</f>
        <v>1</v>
      </c>
    </row>
    <row r="180" spans="1:12">
      <c r="A180" s="12">
        <v>15</v>
      </c>
      <c r="B180" s="21">
        <f>EDATE(参数设置!$B$4,A180-1)</f>
        <v>46670</v>
      </c>
      <c r="C180" s="22">
        <f>参数设置!$B$5</f>
        <v>23400</v>
      </c>
      <c r="D180" s="12">
        <v>9</v>
      </c>
      <c r="E180" s="28">
        <f>IF(D180=1,B180,F179)</f>
        <v>46939</v>
      </c>
      <c r="F180" s="28">
        <f>IF(D180&lt;参数设置!$B$12,DATE(YEAR(EDATE(B180,D180+1)),MONTH(EDATE(B180,D180+1)),参数设置!$B$13),EDATE(B180,参数设置!$B$12))</f>
        <v>46970</v>
      </c>
      <c r="G180" s="20">
        <f>F180-E180</f>
        <v>31</v>
      </c>
      <c r="H180" s="25">
        <f>IF(D180=参数设置!$B$12,C180,0)</f>
        <v>0</v>
      </c>
      <c r="I180" s="25">
        <f>IF(L180=1,ROUND(C180*参数设置!$B$10*G180/参数设置!$B$11,参数设置!$B$14),0)</f>
        <v>66.5</v>
      </c>
      <c r="J180" s="25">
        <f>H180+I180</f>
        <v>66.5</v>
      </c>
      <c r="K180" s="28">
        <f>EDATE(B180,参数设置!$B$12)</f>
        <v>47036</v>
      </c>
      <c r="L180" s="20">
        <f>--(A180&lt;=参数设置!$B$6)</f>
        <v>1</v>
      </c>
    </row>
    <row r="181" spans="1:12">
      <c r="A181" s="12">
        <v>15</v>
      </c>
      <c r="B181" s="21">
        <f>EDATE(参数设置!$B$4,A181-1)</f>
        <v>46670</v>
      </c>
      <c r="C181" s="22">
        <f>参数设置!$B$5</f>
        <v>23400</v>
      </c>
      <c r="D181" s="12">
        <v>10</v>
      </c>
      <c r="E181" s="28">
        <f>IF(D181=1,B181,F180)</f>
        <v>46970</v>
      </c>
      <c r="F181" s="28">
        <f>IF(D181&lt;参数设置!$B$12,DATE(YEAR(EDATE(B181,D181+1)),MONTH(EDATE(B181,D181+1)),参数设置!$B$13),EDATE(B181,参数设置!$B$12))</f>
        <v>47001</v>
      </c>
      <c r="G181" s="20">
        <f>F181-E181</f>
        <v>31</v>
      </c>
      <c r="H181" s="25">
        <f>IF(D181=参数设置!$B$12,C181,0)</f>
        <v>0</v>
      </c>
      <c r="I181" s="25">
        <f>IF(L181=1,ROUND(C181*参数设置!$B$10*G181/参数设置!$B$11,参数设置!$B$14),0)</f>
        <v>66.5</v>
      </c>
      <c r="J181" s="25">
        <f>H181+I181</f>
        <v>66.5</v>
      </c>
      <c r="K181" s="28">
        <f>EDATE(B181,参数设置!$B$12)</f>
        <v>47036</v>
      </c>
      <c r="L181" s="20">
        <f>--(A181&lt;=参数设置!$B$6)</f>
        <v>1</v>
      </c>
    </row>
    <row r="182" spans="1:12">
      <c r="A182" s="12">
        <v>15</v>
      </c>
      <c r="B182" s="21">
        <f>EDATE(参数设置!$B$4,A182-1)</f>
        <v>46670</v>
      </c>
      <c r="C182" s="22">
        <f>参数设置!$B$5</f>
        <v>23400</v>
      </c>
      <c r="D182" s="12">
        <v>11</v>
      </c>
      <c r="E182" s="28">
        <f>IF(D182=1,B182,F181)</f>
        <v>47001</v>
      </c>
      <c r="F182" s="28">
        <f>IF(D182&lt;参数设置!$B$12,DATE(YEAR(EDATE(B182,D182+1)),MONTH(EDATE(B182,D182+1)),参数设置!$B$13),EDATE(B182,参数设置!$B$12))</f>
        <v>47031</v>
      </c>
      <c r="G182" s="20">
        <f>F182-E182</f>
        <v>30</v>
      </c>
      <c r="H182" s="25">
        <f>IF(D182=参数设置!$B$12,C182,0)</f>
        <v>0</v>
      </c>
      <c r="I182" s="25">
        <f>IF(L182=1,ROUND(C182*参数设置!$B$10*G182/参数设置!$B$11,参数设置!$B$14),0)</f>
        <v>64.349999999999994</v>
      </c>
      <c r="J182" s="25">
        <f>H182+I182</f>
        <v>64.349999999999994</v>
      </c>
      <c r="K182" s="28">
        <f>EDATE(B182,参数设置!$B$12)</f>
        <v>47036</v>
      </c>
      <c r="L182" s="20">
        <f>--(A182&lt;=参数设置!$B$6)</f>
        <v>1</v>
      </c>
    </row>
    <row r="183" spans="1:12">
      <c r="A183" s="12">
        <v>15</v>
      </c>
      <c r="B183" s="21">
        <f>EDATE(参数设置!$B$4,A183-1)</f>
        <v>46670</v>
      </c>
      <c r="C183" s="22">
        <f>参数设置!$B$5</f>
        <v>23400</v>
      </c>
      <c r="D183" s="12">
        <v>12</v>
      </c>
      <c r="E183" s="28">
        <f>IF(D183=1,B183,F182)</f>
        <v>47031</v>
      </c>
      <c r="F183" s="28">
        <f>IF(D183&lt;参数设置!$B$12,DATE(YEAR(EDATE(B183,D183+1)),MONTH(EDATE(B183,D183+1)),参数设置!$B$13),EDATE(B183,参数设置!$B$12))</f>
        <v>47036</v>
      </c>
      <c r="G183" s="20">
        <f>F183-E183</f>
        <v>5</v>
      </c>
      <c r="H183" s="25">
        <f>IF(D183=参数设置!$B$12,C183,0)</f>
        <v>23400</v>
      </c>
      <c r="I183" s="25">
        <f>IF(L183=1,ROUND(C183*参数设置!$B$10*G183/参数设置!$B$11,参数设置!$B$14),0)</f>
        <v>10.73</v>
      </c>
      <c r="J183" s="25">
        <f>H183+I183</f>
        <v>23410.73</v>
      </c>
      <c r="K183" s="28">
        <f>EDATE(B183,参数设置!$B$12)</f>
        <v>47036</v>
      </c>
      <c r="L183" s="20">
        <f>--(A183&lt;=参数设置!$B$6)</f>
        <v>1</v>
      </c>
    </row>
    <row r="184" spans="1:12">
      <c r="A184" s="12">
        <v>16</v>
      </c>
      <c r="B184" s="21">
        <f>EDATE(参数设置!$B$4,A184-1)</f>
        <v>46701</v>
      </c>
      <c r="C184" s="22">
        <f>参数设置!$B$5</f>
        <v>23400</v>
      </c>
      <c r="D184" s="12">
        <v>1</v>
      </c>
      <c r="E184" s="28">
        <f>IF(D184=1,B184,F183)</f>
        <v>46701</v>
      </c>
      <c r="F184" s="28">
        <f>IF(D184&lt;参数设置!$B$12,DATE(YEAR(EDATE(B184,D184+1)),MONTH(EDATE(B184,D184+1)),参数设置!$B$13),EDATE(B184,参数设置!$B$12))</f>
        <v>46757</v>
      </c>
      <c r="G184" s="20">
        <f>F184-E184</f>
        <v>56</v>
      </c>
      <c r="H184" s="25">
        <f>IF(D184=参数设置!$B$12,C184,0)</f>
        <v>0</v>
      </c>
      <c r="I184" s="25">
        <f>IF(L184=1,ROUND(C184*参数设置!$B$10*G184/参数设置!$B$11,参数设置!$B$14),0)</f>
        <v>120.12</v>
      </c>
      <c r="J184" s="25">
        <f>H184+I184</f>
        <v>120.12</v>
      </c>
      <c r="K184" s="28">
        <f>EDATE(B184,参数设置!$B$12)</f>
        <v>47067</v>
      </c>
      <c r="L184" s="20">
        <f>--(A184&lt;=参数设置!$B$6)</f>
        <v>1</v>
      </c>
    </row>
    <row r="185" spans="1:12">
      <c r="A185" s="12">
        <v>16</v>
      </c>
      <c r="B185" s="21">
        <f>EDATE(参数设置!$B$4,A185-1)</f>
        <v>46701</v>
      </c>
      <c r="C185" s="22">
        <f>参数设置!$B$5</f>
        <v>23400</v>
      </c>
      <c r="D185" s="12">
        <v>2</v>
      </c>
      <c r="E185" s="28">
        <f>IF(D185=1,B185,F184)</f>
        <v>46757</v>
      </c>
      <c r="F185" s="28">
        <f>IF(D185&lt;参数设置!$B$12,DATE(YEAR(EDATE(B185,D185+1)),MONTH(EDATE(B185,D185+1)),参数设置!$B$13),EDATE(B185,参数设置!$B$12))</f>
        <v>46788</v>
      </c>
      <c r="G185" s="20">
        <f>F185-E185</f>
        <v>31</v>
      </c>
      <c r="H185" s="25">
        <f>IF(D185=参数设置!$B$12,C185,0)</f>
        <v>0</v>
      </c>
      <c r="I185" s="25">
        <f>IF(L185=1,ROUND(C185*参数设置!$B$10*G185/参数设置!$B$11,参数设置!$B$14),0)</f>
        <v>66.5</v>
      </c>
      <c r="J185" s="25">
        <f>H185+I185</f>
        <v>66.5</v>
      </c>
      <c r="K185" s="28">
        <f>EDATE(B185,参数设置!$B$12)</f>
        <v>47067</v>
      </c>
      <c r="L185" s="20">
        <f>--(A185&lt;=参数设置!$B$6)</f>
        <v>1</v>
      </c>
    </row>
    <row r="186" spans="1:12">
      <c r="A186" s="12">
        <v>16</v>
      </c>
      <c r="B186" s="21">
        <f>EDATE(参数设置!$B$4,A186-1)</f>
        <v>46701</v>
      </c>
      <c r="C186" s="22">
        <f>参数设置!$B$5</f>
        <v>23400</v>
      </c>
      <c r="D186" s="12">
        <v>3</v>
      </c>
      <c r="E186" s="28">
        <f>IF(D186=1,B186,F185)</f>
        <v>46788</v>
      </c>
      <c r="F186" s="28">
        <f>IF(D186&lt;参数设置!$B$12,DATE(YEAR(EDATE(B186,D186+1)),MONTH(EDATE(B186,D186+1)),参数设置!$B$13),EDATE(B186,参数设置!$B$12))</f>
        <v>46817</v>
      </c>
      <c r="G186" s="20">
        <f>F186-E186</f>
        <v>29</v>
      </c>
      <c r="H186" s="25">
        <f>IF(D186=参数设置!$B$12,C186,0)</f>
        <v>0</v>
      </c>
      <c r="I186" s="25">
        <f>IF(L186=1,ROUND(C186*参数设置!$B$10*G186/参数设置!$B$11,参数设置!$B$14),0)</f>
        <v>62.21</v>
      </c>
      <c r="J186" s="25">
        <f>H186+I186</f>
        <v>62.21</v>
      </c>
      <c r="K186" s="28">
        <f>EDATE(B186,参数设置!$B$12)</f>
        <v>47067</v>
      </c>
      <c r="L186" s="20">
        <f>--(A186&lt;=参数设置!$B$6)</f>
        <v>1</v>
      </c>
    </row>
    <row r="187" spans="1:12">
      <c r="A187" s="12">
        <v>16</v>
      </c>
      <c r="B187" s="21">
        <f>EDATE(参数设置!$B$4,A187-1)</f>
        <v>46701</v>
      </c>
      <c r="C187" s="22">
        <f>参数设置!$B$5</f>
        <v>23400</v>
      </c>
      <c r="D187" s="12">
        <v>4</v>
      </c>
      <c r="E187" s="28">
        <f>IF(D187=1,B187,F186)</f>
        <v>46817</v>
      </c>
      <c r="F187" s="28">
        <f>IF(D187&lt;参数设置!$B$12,DATE(YEAR(EDATE(B187,D187+1)),MONTH(EDATE(B187,D187+1)),参数设置!$B$13),EDATE(B187,参数设置!$B$12))</f>
        <v>46848</v>
      </c>
      <c r="G187" s="20">
        <f>F187-E187</f>
        <v>31</v>
      </c>
      <c r="H187" s="25">
        <f>IF(D187=参数设置!$B$12,C187,0)</f>
        <v>0</v>
      </c>
      <c r="I187" s="25">
        <f>IF(L187=1,ROUND(C187*参数设置!$B$10*G187/参数设置!$B$11,参数设置!$B$14),0)</f>
        <v>66.5</v>
      </c>
      <c r="J187" s="25">
        <f>H187+I187</f>
        <v>66.5</v>
      </c>
      <c r="K187" s="28">
        <f>EDATE(B187,参数设置!$B$12)</f>
        <v>47067</v>
      </c>
      <c r="L187" s="20">
        <f>--(A187&lt;=参数设置!$B$6)</f>
        <v>1</v>
      </c>
    </row>
    <row r="188" spans="1:12">
      <c r="A188" s="12">
        <v>16</v>
      </c>
      <c r="B188" s="21">
        <f>EDATE(参数设置!$B$4,A188-1)</f>
        <v>46701</v>
      </c>
      <c r="C188" s="22">
        <f>参数设置!$B$5</f>
        <v>23400</v>
      </c>
      <c r="D188" s="12">
        <v>5</v>
      </c>
      <c r="E188" s="28">
        <f>IF(D188=1,B188,F187)</f>
        <v>46848</v>
      </c>
      <c r="F188" s="28">
        <f>IF(D188&lt;参数设置!$B$12,DATE(YEAR(EDATE(B188,D188+1)),MONTH(EDATE(B188,D188+1)),参数设置!$B$13),EDATE(B188,参数设置!$B$12))</f>
        <v>46878</v>
      </c>
      <c r="G188" s="20">
        <f>F188-E188</f>
        <v>30</v>
      </c>
      <c r="H188" s="25">
        <f>IF(D188=参数设置!$B$12,C188,0)</f>
        <v>0</v>
      </c>
      <c r="I188" s="25">
        <f>IF(L188=1,ROUND(C188*参数设置!$B$10*G188/参数设置!$B$11,参数设置!$B$14),0)</f>
        <v>64.349999999999994</v>
      </c>
      <c r="J188" s="25">
        <f>H188+I188</f>
        <v>64.349999999999994</v>
      </c>
      <c r="K188" s="28">
        <f>EDATE(B188,参数设置!$B$12)</f>
        <v>47067</v>
      </c>
      <c r="L188" s="20">
        <f>--(A188&lt;=参数设置!$B$6)</f>
        <v>1</v>
      </c>
    </row>
    <row r="189" spans="1:12">
      <c r="A189" s="12">
        <v>16</v>
      </c>
      <c r="B189" s="21">
        <f>EDATE(参数设置!$B$4,A189-1)</f>
        <v>46701</v>
      </c>
      <c r="C189" s="22">
        <f>参数设置!$B$5</f>
        <v>23400</v>
      </c>
      <c r="D189" s="12">
        <v>6</v>
      </c>
      <c r="E189" s="28">
        <f>IF(D189=1,B189,F188)</f>
        <v>46878</v>
      </c>
      <c r="F189" s="28">
        <f>IF(D189&lt;参数设置!$B$12,DATE(YEAR(EDATE(B189,D189+1)),MONTH(EDATE(B189,D189+1)),参数设置!$B$13),EDATE(B189,参数设置!$B$12))</f>
        <v>46909</v>
      </c>
      <c r="G189" s="20">
        <f>F189-E189</f>
        <v>31</v>
      </c>
      <c r="H189" s="25">
        <f>IF(D189=参数设置!$B$12,C189,0)</f>
        <v>0</v>
      </c>
      <c r="I189" s="25">
        <f>IF(L189=1,ROUND(C189*参数设置!$B$10*G189/参数设置!$B$11,参数设置!$B$14),0)</f>
        <v>66.5</v>
      </c>
      <c r="J189" s="25">
        <f>H189+I189</f>
        <v>66.5</v>
      </c>
      <c r="K189" s="28">
        <f>EDATE(B189,参数设置!$B$12)</f>
        <v>47067</v>
      </c>
      <c r="L189" s="20">
        <f>--(A189&lt;=参数设置!$B$6)</f>
        <v>1</v>
      </c>
    </row>
    <row r="190" spans="1:12">
      <c r="A190" s="12">
        <v>16</v>
      </c>
      <c r="B190" s="21">
        <f>EDATE(参数设置!$B$4,A190-1)</f>
        <v>46701</v>
      </c>
      <c r="C190" s="22">
        <f>参数设置!$B$5</f>
        <v>23400</v>
      </c>
      <c r="D190" s="12">
        <v>7</v>
      </c>
      <c r="E190" s="28">
        <f>IF(D190=1,B190,F189)</f>
        <v>46909</v>
      </c>
      <c r="F190" s="28">
        <f>IF(D190&lt;参数设置!$B$12,DATE(YEAR(EDATE(B190,D190+1)),MONTH(EDATE(B190,D190+1)),参数设置!$B$13),EDATE(B190,参数设置!$B$12))</f>
        <v>46939</v>
      </c>
      <c r="G190" s="20">
        <f>F190-E190</f>
        <v>30</v>
      </c>
      <c r="H190" s="25">
        <f>IF(D190=参数设置!$B$12,C190,0)</f>
        <v>0</v>
      </c>
      <c r="I190" s="25">
        <f>IF(L190=1,ROUND(C190*参数设置!$B$10*G190/参数设置!$B$11,参数设置!$B$14),0)</f>
        <v>64.349999999999994</v>
      </c>
      <c r="J190" s="25">
        <f>H190+I190</f>
        <v>64.349999999999994</v>
      </c>
      <c r="K190" s="28">
        <f>EDATE(B190,参数设置!$B$12)</f>
        <v>47067</v>
      </c>
      <c r="L190" s="20">
        <f>--(A190&lt;=参数设置!$B$6)</f>
        <v>1</v>
      </c>
    </row>
    <row r="191" spans="1:12">
      <c r="A191" s="12">
        <v>16</v>
      </c>
      <c r="B191" s="21">
        <f>EDATE(参数设置!$B$4,A191-1)</f>
        <v>46701</v>
      </c>
      <c r="C191" s="22">
        <f>参数设置!$B$5</f>
        <v>23400</v>
      </c>
      <c r="D191" s="12">
        <v>8</v>
      </c>
      <c r="E191" s="28">
        <f>IF(D191=1,B191,F190)</f>
        <v>46939</v>
      </c>
      <c r="F191" s="28">
        <f>IF(D191&lt;参数设置!$B$12,DATE(YEAR(EDATE(B191,D191+1)),MONTH(EDATE(B191,D191+1)),参数设置!$B$13),EDATE(B191,参数设置!$B$12))</f>
        <v>46970</v>
      </c>
      <c r="G191" s="20">
        <f>F191-E191</f>
        <v>31</v>
      </c>
      <c r="H191" s="25">
        <f>IF(D191=参数设置!$B$12,C191,0)</f>
        <v>0</v>
      </c>
      <c r="I191" s="25">
        <f>IF(L191=1,ROUND(C191*参数设置!$B$10*G191/参数设置!$B$11,参数设置!$B$14),0)</f>
        <v>66.5</v>
      </c>
      <c r="J191" s="25">
        <f>H191+I191</f>
        <v>66.5</v>
      </c>
      <c r="K191" s="28">
        <f>EDATE(B191,参数设置!$B$12)</f>
        <v>47067</v>
      </c>
      <c r="L191" s="20">
        <f>--(A191&lt;=参数设置!$B$6)</f>
        <v>1</v>
      </c>
    </row>
    <row r="192" spans="1:12">
      <c r="A192" s="12">
        <v>16</v>
      </c>
      <c r="B192" s="21">
        <f>EDATE(参数设置!$B$4,A192-1)</f>
        <v>46701</v>
      </c>
      <c r="C192" s="22">
        <f>参数设置!$B$5</f>
        <v>23400</v>
      </c>
      <c r="D192" s="12">
        <v>9</v>
      </c>
      <c r="E192" s="28">
        <f>IF(D192=1,B192,F191)</f>
        <v>46970</v>
      </c>
      <c r="F192" s="28">
        <f>IF(D192&lt;参数设置!$B$12,DATE(YEAR(EDATE(B192,D192+1)),MONTH(EDATE(B192,D192+1)),参数设置!$B$13),EDATE(B192,参数设置!$B$12))</f>
        <v>47001</v>
      </c>
      <c r="G192" s="20">
        <f>F192-E192</f>
        <v>31</v>
      </c>
      <c r="H192" s="25">
        <f>IF(D192=参数设置!$B$12,C192,0)</f>
        <v>0</v>
      </c>
      <c r="I192" s="25">
        <f>IF(L192=1,ROUND(C192*参数设置!$B$10*G192/参数设置!$B$11,参数设置!$B$14),0)</f>
        <v>66.5</v>
      </c>
      <c r="J192" s="25">
        <f>H192+I192</f>
        <v>66.5</v>
      </c>
      <c r="K192" s="28">
        <f>EDATE(B192,参数设置!$B$12)</f>
        <v>47067</v>
      </c>
      <c r="L192" s="20">
        <f>--(A192&lt;=参数设置!$B$6)</f>
        <v>1</v>
      </c>
    </row>
    <row r="193" spans="1:12">
      <c r="A193" s="12">
        <v>16</v>
      </c>
      <c r="B193" s="21">
        <f>EDATE(参数设置!$B$4,A193-1)</f>
        <v>46701</v>
      </c>
      <c r="C193" s="22">
        <f>参数设置!$B$5</f>
        <v>23400</v>
      </c>
      <c r="D193" s="12">
        <v>10</v>
      </c>
      <c r="E193" s="28">
        <f>IF(D193=1,B193,F192)</f>
        <v>47001</v>
      </c>
      <c r="F193" s="28">
        <f>IF(D193&lt;参数设置!$B$12,DATE(YEAR(EDATE(B193,D193+1)),MONTH(EDATE(B193,D193+1)),参数设置!$B$13),EDATE(B193,参数设置!$B$12))</f>
        <v>47031</v>
      </c>
      <c r="G193" s="20">
        <f>F193-E193</f>
        <v>30</v>
      </c>
      <c r="H193" s="25">
        <f>IF(D193=参数设置!$B$12,C193,0)</f>
        <v>0</v>
      </c>
      <c r="I193" s="25">
        <f>IF(L193=1,ROUND(C193*参数设置!$B$10*G193/参数设置!$B$11,参数设置!$B$14),0)</f>
        <v>64.349999999999994</v>
      </c>
      <c r="J193" s="25">
        <f>H193+I193</f>
        <v>64.349999999999994</v>
      </c>
      <c r="K193" s="28">
        <f>EDATE(B193,参数设置!$B$12)</f>
        <v>47067</v>
      </c>
      <c r="L193" s="20">
        <f>--(A193&lt;=参数设置!$B$6)</f>
        <v>1</v>
      </c>
    </row>
    <row r="194" spans="1:12">
      <c r="A194" s="12">
        <v>16</v>
      </c>
      <c r="B194" s="21">
        <f>EDATE(参数设置!$B$4,A194-1)</f>
        <v>46701</v>
      </c>
      <c r="C194" s="22">
        <f>参数设置!$B$5</f>
        <v>23400</v>
      </c>
      <c r="D194" s="12">
        <v>11</v>
      </c>
      <c r="E194" s="28">
        <f>IF(D194=1,B194,F193)</f>
        <v>47031</v>
      </c>
      <c r="F194" s="28">
        <f>IF(D194&lt;参数设置!$B$12,DATE(YEAR(EDATE(B194,D194+1)),MONTH(EDATE(B194,D194+1)),参数设置!$B$13),EDATE(B194,参数设置!$B$12))</f>
        <v>47062</v>
      </c>
      <c r="G194" s="20">
        <f>F194-E194</f>
        <v>31</v>
      </c>
      <c r="H194" s="25">
        <f>IF(D194=参数设置!$B$12,C194,0)</f>
        <v>0</v>
      </c>
      <c r="I194" s="25">
        <f>IF(L194=1,ROUND(C194*参数设置!$B$10*G194/参数设置!$B$11,参数设置!$B$14),0)</f>
        <v>66.5</v>
      </c>
      <c r="J194" s="25">
        <f>H194+I194</f>
        <v>66.5</v>
      </c>
      <c r="K194" s="28">
        <f>EDATE(B194,参数设置!$B$12)</f>
        <v>47067</v>
      </c>
      <c r="L194" s="20">
        <f>--(A194&lt;=参数设置!$B$6)</f>
        <v>1</v>
      </c>
    </row>
    <row r="195" spans="1:12">
      <c r="A195" s="12">
        <v>16</v>
      </c>
      <c r="B195" s="21">
        <f>EDATE(参数设置!$B$4,A195-1)</f>
        <v>46701</v>
      </c>
      <c r="C195" s="22">
        <f>参数设置!$B$5</f>
        <v>23400</v>
      </c>
      <c r="D195" s="12">
        <v>12</v>
      </c>
      <c r="E195" s="28">
        <f>IF(D195=1,B195,F194)</f>
        <v>47062</v>
      </c>
      <c r="F195" s="28">
        <f>IF(D195&lt;参数设置!$B$12,DATE(YEAR(EDATE(B195,D195+1)),MONTH(EDATE(B195,D195+1)),参数设置!$B$13),EDATE(B195,参数设置!$B$12))</f>
        <v>47067</v>
      </c>
      <c r="G195" s="20">
        <f>F195-E195</f>
        <v>5</v>
      </c>
      <c r="H195" s="25">
        <f>IF(D195=参数设置!$B$12,C195,0)</f>
        <v>23400</v>
      </c>
      <c r="I195" s="25">
        <f>IF(L195=1,ROUND(C195*参数设置!$B$10*G195/参数设置!$B$11,参数设置!$B$14),0)</f>
        <v>10.73</v>
      </c>
      <c r="J195" s="25">
        <f>H195+I195</f>
        <v>23410.73</v>
      </c>
      <c r="K195" s="28">
        <f>EDATE(B195,参数设置!$B$12)</f>
        <v>47067</v>
      </c>
      <c r="L195" s="20">
        <f>--(A195&lt;=参数设置!$B$6)</f>
        <v>1</v>
      </c>
    </row>
    <row r="196" spans="1:12">
      <c r="A196" s="12">
        <v>17</v>
      </c>
      <c r="B196" s="21">
        <f>EDATE(参数设置!$B$4,A196-1)</f>
        <v>46731</v>
      </c>
      <c r="C196" s="22">
        <f>参数设置!$B$5</f>
        <v>23400</v>
      </c>
      <c r="D196" s="12">
        <v>1</v>
      </c>
      <c r="E196" s="28">
        <f>IF(D196=1,B196,F195)</f>
        <v>46731</v>
      </c>
      <c r="F196" s="28">
        <f>IF(D196&lt;参数设置!$B$12,DATE(YEAR(EDATE(B196,D196+1)),MONTH(EDATE(B196,D196+1)),参数设置!$B$13),EDATE(B196,参数设置!$B$12))</f>
        <v>46788</v>
      </c>
      <c r="G196" s="20">
        <f>F196-E196</f>
        <v>57</v>
      </c>
      <c r="H196" s="25">
        <f>IF(D196=参数设置!$B$12,C196,0)</f>
        <v>0</v>
      </c>
      <c r="I196" s="25">
        <f>IF(L196=1,ROUND(C196*参数设置!$B$10*G196/参数设置!$B$11,参数设置!$B$14),0)</f>
        <v>122.27</v>
      </c>
      <c r="J196" s="25">
        <f>H196+I196</f>
        <v>122.27</v>
      </c>
      <c r="K196" s="28">
        <f>EDATE(B196,参数设置!$B$12)</f>
        <v>47097</v>
      </c>
      <c r="L196" s="20">
        <f>--(A196&lt;=参数设置!$B$6)</f>
        <v>1</v>
      </c>
    </row>
    <row r="197" spans="1:12">
      <c r="A197" s="12">
        <v>17</v>
      </c>
      <c r="B197" s="21">
        <f>EDATE(参数设置!$B$4,A197-1)</f>
        <v>46731</v>
      </c>
      <c r="C197" s="22">
        <f>参数设置!$B$5</f>
        <v>23400</v>
      </c>
      <c r="D197" s="12">
        <v>2</v>
      </c>
      <c r="E197" s="28">
        <f>IF(D197=1,B197,F196)</f>
        <v>46788</v>
      </c>
      <c r="F197" s="28">
        <f>IF(D197&lt;参数设置!$B$12,DATE(YEAR(EDATE(B197,D197+1)),MONTH(EDATE(B197,D197+1)),参数设置!$B$13),EDATE(B197,参数设置!$B$12))</f>
        <v>46817</v>
      </c>
      <c r="G197" s="20">
        <f>F197-E197</f>
        <v>29</v>
      </c>
      <c r="H197" s="25">
        <f>IF(D197=参数设置!$B$12,C197,0)</f>
        <v>0</v>
      </c>
      <c r="I197" s="25">
        <f>IF(L197=1,ROUND(C197*参数设置!$B$10*G197/参数设置!$B$11,参数设置!$B$14),0)</f>
        <v>62.21</v>
      </c>
      <c r="J197" s="25">
        <f>H197+I197</f>
        <v>62.21</v>
      </c>
      <c r="K197" s="28">
        <f>EDATE(B197,参数设置!$B$12)</f>
        <v>47097</v>
      </c>
      <c r="L197" s="20">
        <f>--(A197&lt;=参数设置!$B$6)</f>
        <v>1</v>
      </c>
    </row>
    <row r="198" spans="1:12">
      <c r="A198" s="12">
        <v>17</v>
      </c>
      <c r="B198" s="21">
        <f>EDATE(参数设置!$B$4,A198-1)</f>
        <v>46731</v>
      </c>
      <c r="C198" s="22">
        <f>参数设置!$B$5</f>
        <v>23400</v>
      </c>
      <c r="D198" s="12">
        <v>3</v>
      </c>
      <c r="E198" s="28">
        <f>IF(D198=1,B198,F197)</f>
        <v>46817</v>
      </c>
      <c r="F198" s="28">
        <f>IF(D198&lt;参数设置!$B$12,DATE(YEAR(EDATE(B198,D198+1)),MONTH(EDATE(B198,D198+1)),参数设置!$B$13),EDATE(B198,参数设置!$B$12))</f>
        <v>46848</v>
      </c>
      <c r="G198" s="20">
        <f>F198-E198</f>
        <v>31</v>
      </c>
      <c r="H198" s="25">
        <f>IF(D198=参数设置!$B$12,C198,0)</f>
        <v>0</v>
      </c>
      <c r="I198" s="25">
        <f>IF(L198=1,ROUND(C198*参数设置!$B$10*G198/参数设置!$B$11,参数设置!$B$14),0)</f>
        <v>66.5</v>
      </c>
      <c r="J198" s="25">
        <f>H198+I198</f>
        <v>66.5</v>
      </c>
      <c r="K198" s="28">
        <f>EDATE(B198,参数设置!$B$12)</f>
        <v>47097</v>
      </c>
      <c r="L198" s="20">
        <f>--(A198&lt;=参数设置!$B$6)</f>
        <v>1</v>
      </c>
    </row>
    <row r="199" spans="1:12">
      <c r="A199" s="12">
        <v>17</v>
      </c>
      <c r="B199" s="21">
        <f>EDATE(参数设置!$B$4,A199-1)</f>
        <v>46731</v>
      </c>
      <c r="C199" s="22">
        <f>参数设置!$B$5</f>
        <v>23400</v>
      </c>
      <c r="D199" s="12">
        <v>4</v>
      </c>
      <c r="E199" s="28">
        <f>IF(D199=1,B199,F198)</f>
        <v>46848</v>
      </c>
      <c r="F199" s="28">
        <f>IF(D199&lt;参数设置!$B$12,DATE(YEAR(EDATE(B199,D199+1)),MONTH(EDATE(B199,D199+1)),参数设置!$B$13),EDATE(B199,参数设置!$B$12))</f>
        <v>46878</v>
      </c>
      <c r="G199" s="20">
        <f>F199-E199</f>
        <v>30</v>
      </c>
      <c r="H199" s="25">
        <f>IF(D199=参数设置!$B$12,C199,0)</f>
        <v>0</v>
      </c>
      <c r="I199" s="25">
        <f>IF(L199=1,ROUND(C199*参数设置!$B$10*G199/参数设置!$B$11,参数设置!$B$14),0)</f>
        <v>64.349999999999994</v>
      </c>
      <c r="J199" s="25">
        <f>H199+I199</f>
        <v>64.349999999999994</v>
      </c>
      <c r="K199" s="28">
        <f>EDATE(B199,参数设置!$B$12)</f>
        <v>47097</v>
      </c>
      <c r="L199" s="20">
        <f>--(A199&lt;=参数设置!$B$6)</f>
        <v>1</v>
      </c>
    </row>
    <row r="200" spans="1:12">
      <c r="A200" s="12">
        <v>17</v>
      </c>
      <c r="B200" s="21">
        <f>EDATE(参数设置!$B$4,A200-1)</f>
        <v>46731</v>
      </c>
      <c r="C200" s="22">
        <f>参数设置!$B$5</f>
        <v>23400</v>
      </c>
      <c r="D200" s="12">
        <v>5</v>
      </c>
      <c r="E200" s="28">
        <f>IF(D200=1,B200,F199)</f>
        <v>46878</v>
      </c>
      <c r="F200" s="28">
        <f>IF(D200&lt;参数设置!$B$12,DATE(YEAR(EDATE(B200,D200+1)),MONTH(EDATE(B200,D200+1)),参数设置!$B$13),EDATE(B200,参数设置!$B$12))</f>
        <v>46909</v>
      </c>
      <c r="G200" s="20">
        <f>F200-E200</f>
        <v>31</v>
      </c>
      <c r="H200" s="25">
        <f>IF(D200=参数设置!$B$12,C200,0)</f>
        <v>0</v>
      </c>
      <c r="I200" s="25">
        <f>IF(L200=1,ROUND(C200*参数设置!$B$10*G200/参数设置!$B$11,参数设置!$B$14),0)</f>
        <v>66.5</v>
      </c>
      <c r="J200" s="25">
        <f>H200+I200</f>
        <v>66.5</v>
      </c>
      <c r="K200" s="28">
        <f>EDATE(B200,参数设置!$B$12)</f>
        <v>47097</v>
      </c>
      <c r="L200" s="20">
        <f>--(A200&lt;=参数设置!$B$6)</f>
        <v>1</v>
      </c>
    </row>
    <row r="201" spans="1:12">
      <c r="A201" s="12">
        <v>17</v>
      </c>
      <c r="B201" s="21">
        <f>EDATE(参数设置!$B$4,A201-1)</f>
        <v>46731</v>
      </c>
      <c r="C201" s="22">
        <f>参数设置!$B$5</f>
        <v>23400</v>
      </c>
      <c r="D201" s="12">
        <v>6</v>
      </c>
      <c r="E201" s="28">
        <f>IF(D201=1,B201,F200)</f>
        <v>46909</v>
      </c>
      <c r="F201" s="28">
        <f>IF(D201&lt;参数设置!$B$12,DATE(YEAR(EDATE(B201,D201+1)),MONTH(EDATE(B201,D201+1)),参数设置!$B$13),EDATE(B201,参数设置!$B$12))</f>
        <v>46939</v>
      </c>
      <c r="G201" s="20">
        <f>F201-E201</f>
        <v>30</v>
      </c>
      <c r="H201" s="25">
        <f>IF(D201=参数设置!$B$12,C201,0)</f>
        <v>0</v>
      </c>
      <c r="I201" s="25">
        <f>IF(L201=1,ROUND(C201*参数设置!$B$10*G201/参数设置!$B$11,参数设置!$B$14),0)</f>
        <v>64.349999999999994</v>
      </c>
      <c r="J201" s="25">
        <f>H201+I201</f>
        <v>64.349999999999994</v>
      </c>
      <c r="K201" s="28">
        <f>EDATE(B201,参数设置!$B$12)</f>
        <v>47097</v>
      </c>
      <c r="L201" s="20">
        <f>--(A201&lt;=参数设置!$B$6)</f>
        <v>1</v>
      </c>
    </row>
    <row r="202" spans="1:12">
      <c r="A202" s="12">
        <v>17</v>
      </c>
      <c r="B202" s="21">
        <f>EDATE(参数设置!$B$4,A202-1)</f>
        <v>46731</v>
      </c>
      <c r="C202" s="22">
        <f>参数设置!$B$5</f>
        <v>23400</v>
      </c>
      <c r="D202" s="12">
        <v>7</v>
      </c>
      <c r="E202" s="28">
        <f>IF(D202=1,B202,F201)</f>
        <v>46939</v>
      </c>
      <c r="F202" s="28">
        <f>IF(D202&lt;参数设置!$B$12,DATE(YEAR(EDATE(B202,D202+1)),MONTH(EDATE(B202,D202+1)),参数设置!$B$13),EDATE(B202,参数设置!$B$12))</f>
        <v>46970</v>
      </c>
      <c r="G202" s="20">
        <f>F202-E202</f>
        <v>31</v>
      </c>
      <c r="H202" s="25">
        <f>IF(D202=参数设置!$B$12,C202,0)</f>
        <v>0</v>
      </c>
      <c r="I202" s="25">
        <f>IF(L202=1,ROUND(C202*参数设置!$B$10*G202/参数设置!$B$11,参数设置!$B$14),0)</f>
        <v>66.5</v>
      </c>
      <c r="J202" s="25">
        <f>H202+I202</f>
        <v>66.5</v>
      </c>
      <c r="K202" s="28">
        <f>EDATE(B202,参数设置!$B$12)</f>
        <v>47097</v>
      </c>
      <c r="L202" s="20">
        <f>--(A202&lt;=参数设置!$B$6)</f>
        <v>1</v>
      </c>
    </row>
    <row r="203" spans="1:12">
      <c r="A203" s="12">
        <v>17</v>
      </c>
      <c r="B203" s="21">
        <f>EDATE(参数设置!$B$4,A203-1)</f>
        <v>46731</v>
      </c>
      <c r="C203" s="22">
        <f>参数设置!$B$5</f>
        <v>23400</v>
      </c>
      <c r="D203" s="12">
        <v>8</v>
      </c>
      <c r="E203" s="28">
        <f>IF(D203=1,B203,F202)</f>
        <v>46970</v>
      </c>
      <c r="F203" s="28">
        <f>IF(D203&lt;参数设置!$B$12,DATE(YEAR(EDATE(B203,D203+1)),MONTH(EDATE(B203,D203+1)),参数设置!$B$13),EDATE(B203,参数设置!$B$12))</f>
        <v>47001</v>
      </c>
      <c r="G203" s="20">
        <f>F203-E203</f>
        <v>31</v>
      </c>
      <c r="H203" s="25">
        <f>IF(D203=参数设置!$B$12,C203,0)</f>
        <v>0</v>
      </c>
      <c r="I203" s="25">
        <f>IF(L203=1,ROUND(C203*参数设置!$B$10*G203/参数设置!$B$11,参数设置!$B$14),0)</f>
        <v>66.5</v>
      </c>
      <c r="J203" s="25">
        <f>H203+I203</f>
        <v>66.5</v>
      </c>
      <c r="K203" s="28">
        <f>EDATE(B203,参数设置!$B$12)</f>
        <v>47097</v>
      </c>
      <c r="L203" s="20">
        <f>--(A203&lt;=参数设置!$B$6)</f>
        <v>1</v>
      </c>
    </row>
    <row r="204" spans="1:12">
      <c r="A204" s="12">
        <v>17</v>
      </c>
      <c r="B204" s="21">
        <f>EDATE(参数设置!$B$4,A204-1)</f>
        <v>46731</v>
      </c>
      <c r="C204" s="22">
        <f>参数设置!$B$5</f>
        <v>23400</v>
      </c>
      <c r="D204" s="12">
        <v>9</v>
      </c>
      <c r="E204" s="28">
        <f>IF(D204=1,B204,F203)</f>
        <v>47001</v>
      </c>
      <c r="F204" s="28">
        <f>IF(D204&lt;参数设置!$B$12,DATE(YEAR(EDATE(B204,D204+1)),MONTH(EDATE(B204,D204+1)),参数设置!$B$13),EDATE(B204,参数设置!$B$12))</f>
        <v>47031</v>
      </c>
      <c r="G204" s="20">
        <f>F204-E204</f>
        <v>30</v>
      </c>
      <c r="H204" s="25">
        <f>IF(D204=参数设置!$B$12,C204,0)</f>
        <v>0</v>
      </c>
      <c r="I204" s="25">
        <f>IF(L204=1,ROUND(C204*参数设置!$B$10*G204/参数设置!$B$11,参数设置!$B$14),0)</f>
        <v>64.349999999999994</v>
      </c>
      <c r="J204" s="25">
        <f>H204+I204</f>
        <v>64.349999999999994</v>
      </c>
      <c r="K204" s="28">
        <f>EDATE(B204,参数设置!$B$12)</f>
        <v>47097</v>
      </c>
      <c r="L204" s="20">
        <f>--(A204&lt;=参数设置!$B$6)</f>
        <v>1</v>
      </c>
    </row>
    <row r="205" spans="1:12">
      <c r="A205" s="12">
        <v>17</v>
      </c>
      <c r="B205" s="21">
        <f>EDATE(参数设置!$B$4,A205-1)</f>
        <v>46731</v>
      </c>
      <c r="C205" s="22">
        <f>参数设置!$B$5</f>
        <v>23400</v>
      </c>
      <c r="D205" s="12">
        <v>10</v>
      </c>
      <c r="E205" s="28">
        <f>IF(D205=1,B205,F204)</f>
        <v>47031</v>
      </c>
      <c r="F205" s="28">
        <f>IF(D205&lt;参数设置!$B$12,DATE(YEAR(EDATE(B205,D205+1)),MONTH(EDATE(B205,D205+1)),参数设置!$B$13),EDATE(B205,参数设置!$B$12))</f>
        <v>47062</v>
      </c>
      <c r="G205" s="20">
        <f>F205-E205</f>
        <v>31</v>
      </c>
      <c r="H205" s="25">
        <f>IF(D205=参数设置!$B$12,C205,0)</f>
        <v>0</v>
      </c>
      <c r="I205" s="25">
        <f>IF(L205=1,ROUND(C205*参数设置!$B$10*G205/参数设置!$B$11,参数设置!$B$14),0)</f>
        <v>66.5</v>
      </c>
      <c r="J205" s="25">
        <f>H205+I205</f>
        <v>66.5</v>
      </c>
      <c r="K205" s="28">
        <f>EDATE(B205,参数设置!$B$12)</f>
        <v>47097</v>
      </c>
      <c r="L205" s="20">
        <f>--(A205&lt;=参数设置!$B$6)</f>
        <v>1</v>
      </c>
    </row>
    <row r="206" spans="1:12">
      <c r="A206" s="12">
        <v>17</v>
      </c>
      <c r="B206" s="21">
        <f>EDATE(参数设置!$B$4,A206-1)</f>
        <v>46731</v>
      </c>
      <c r="C206" s="22">
        <f>参数设置!$B$5</f>
        <v>23400</v>
      </c>
      <c r="D206" s="12">
        <v>11</v>
      </c>
      <c r="E206" s="28">
        <f>IF(D206=1,B206,F205)</f>
        <v>47062</v>
      </c>
      <c r="F206" s="28">
        <f>IF(D206&lt;参数设置!$B$12,DATE(YEAR(EDATE(B206,D206+1)),MONTH(EDATE(B206,D206+1)),参数设置!$B$13),EDATE(B206,参数设置!$B$12))</f>
        <v>47092</v>
      </c>
      <c r="G206" s="20">
        <f>F206-E206</f>
        <v>30</v>
      </c>
      <c r="H206" s="25">
        <f>IF(D206=参数设置!$B$12,C206,0)</f>
        <v>0</v>
      </c>
      <c r="I206" s="25">
        <f>IF(L206=1,ROUND(C206*参数设置!$B$10*G206/参数设置!$B$11,参数设置!$B$14),0)</f>
        <v>64.349999999999994</v>
      </c>
      <c r="J206" s="25">
        <f>H206+I206</f>
        <v>64.349999999999994</v>
      </c>
      <c r="K206" s="28">
        <f>EDATE(B206,参数设置!$B$12)</f>
        <v>47097</v>
      </c>
      <c r="L206" s="20">
        <f>--(A206&lt;=参数设置!$B$6)</f>
        <v>1</v>
      </c>
    </row>
    <row r="207" spans="1:12">
      <c r="A207" s="12">
        <v>17</v>
      </c>
      <c r="B207" s="21">
        <f>EDATE(参数设置!$B$4,A207-1)</f>
        <v>46731</v>
      </c>
      <c r="C207" s="22">
        <f>参数设置!$B$5</f>
        <v>23400</v>
      </c>
      <c r="D207" s="12">
        <v>12</v>
      </c>
      <c r="E207" s="28">
        <f>IF(D207=1,B207,F206)</f>
        <v>47092</v>
      </c>
      <c r="F207" s="28">
        <f>IF(D207&lt;参数设置!$B$12,DATE(YEAR(EDATE(B207,D207+1)),MONTH(EDATE(B207,D207+1)),参数设置!$B$13),EDATE(B207,参数设置!$B$12))</f>
        <v>47097</v>
      </c>
      <c r="G207" s="20">
        <f>F207-E207</f>
        <v>5</v>
      </c>
      <c r="H207" s="25">
        <f>IF(D207=参数设置!$B$12,C207,0)</f>
        <v>23400</v>
      </c>
      <c r="I207" s="25">
        <f>IF(L207=1,ROUND(C207*参数设置!$B$10*G207/参数设置!$B$11,参数设置!$B$14),0)</f>
        <v>10.73</v>
      </c>
      <c r="J207" s="25">
        <f>H207+I207</f>
        <v>23410.73</v>
      </c>
      <c r="K207" s="28">
        <f>EDATE(B207,参数设置!$B$12)</f>
        <v>47097</v>
      </c>
      <c r="L207" s="20">
        <f>--(A207&lt;=参数设置!$B$6)</f>
        <v>1</v>
      </c>
    </row>
    <row r="208" spans="1:12">
      <c r="A208" s="12">
        <v>18</v>
      </c>
      <c r="B208" s="21">
        <f>EDATE(参数设置!$B$4,A208-1)</f>
        <v>46762</v>
      </c>
      <c r="C208" s="22">
        <f>参数设置!$B$5</f>
        <v>23400</v>
      </c>
      <c r="D208" s="12">
        <v>1</v>
      </c>
      <c r="E208" s="28">
        <f>IF(D208=1,B208,F207)</f>
        <v>46762</v>
      </c>
      <c r="F208" s="28">
        <f>IF(D208&lt;参数设置!$B$12,DATE(YEAR(EDATE(B208,D208+1)),MONTH(EDATE(B208,D208+1)),参数设置!$B$13),EDATE(B208,参数设置!$B$12))</f>
        <v>46817</v>
      </c>
      <c r="G208" s="20">
        <f>F208-E208</f>
        <v>55</v>
      </c>
      <c r="H208" s="25">
        <f>IF(D208=参数设置!$B$12,C208,0)</f>
        <v>0</v>
      </c>
      <c r="I208" s="25">
        <f>IF(L208=1,ROUND(C208*参数设置!$B$10*G208/参数设置!$B$11,参数设置!$B$14),0)</f>
        <v>117.98</v>
      </c>
      <c r="J208" s="25">
        <f>H208+I208</f>
        <v>117.98</v>
      </c>
      <c r="K208" s="28">
        <f>EDATE(B208,参数设置!$B$12)</f>
        <v>47128</v>
      </c>
      <c r="L208" s="20">
        <f>--(A208&lt;=参数设置!$B$6)</f>
        <v>1</v>
      </c>
    </row>
    <row r="209" spans="1:12">
      <c r="A209" s="12">
        <v>18</v>
      </c>
      <c r="B209" s="21">
        <f>EDATE(参数设置!$B$4,A209-1)</f>
        <v>46762</v>
      </c>
      <c r="C209" s="22">
        <f>参数设置!$B$5</f>
        <v>23400</v>
      </c>
      <c r="D209" s="12">
        <v>2</v>
      </c>
      <c r="E209" s="28">
        <f>IF(D209=1,B209,F208)</f>
        <v>46817</v>
      </c>
      <c r="F209" s="28">
        <f>IF(D209&lt;参数设置!$B$12,DATE(YEAR(EDATE(B209,D209+1)),MONTH(EDATE(B209,D209+1)),参数设置!$B$13),EDATE(B209,参数设置!$B$12))</f>
        <v>46848</v>
      </c>
      <c r="G209" s="20">
        <f>F209-E209</f>
        <v>31</v>
      </c>
      <c r="H209" s="25">
        <f>IF(D209=参数设置!$B$12,C209,0)</f>
        <v>0</v>
      </c>
      <c r="I209" s="25">
        <f>IF(L209=1,ROUND(C209*参数设置!$B$10*G209/参数设置!$B$11,参数设置!$B$14),0)</f>
        <v>66.5</v>
      </c>
      <c r="J209" s="25">
        <f>H209+I209</f>
        <v>66.5</v>
      </c>
      <c r="K209" s="28">
        <f>EDATE(B209,参数设置!$B$12)</f>
        <v>47128</v>
      </c>
      <c r="L209" s="20">
        <f>--(A209&lt;=参数设置!$B$6)</f>
        <v>1</v>
      </c>
    </row>
    <row r="210" spans="1:12">
      <c r="A210" s="12">
        <v>18</v>
      </c>
      <c r="B210" s="21">
        <f>EDATE(参数设置!$B$4,A210-1)</f>
        <v>46762</v>
      </c>
      <c r="C210" s="22">
        <f>参数设置!$B$5</f>
        <v>23400</v>
      </c>
      <c r="D210" s="12">
        <v>3</v>
      </c>
      <c r="E210" s="28">
        <f>IF(D210=1,B210,F209)</f>
        <v>46848</v>
      </c>
      <c r="F210" s="28">
        <f>IF(D210&lt;参数设置!$B$12,DATE(YEAR(EDATE(B210,D210+1)),MONTH(EDATE(B210,D210+1)),参数设置!$B$13),EDATE(B210,参数设置!$B$12))</f>
        <v>46878</v>
      </c>
      <c r="G210" s="20">
        <f>F210-E210</f>
        <v>30</v>
      </c>
      <c r="H210" s="25">
        <f>IF(D210=参数设置!$B$12,C210,0)</f>
        <v>0</v>
      </c>
      <c r="I210" s="25">
        <f>IF(L210=1,ROUND(C210*参数设置!$B$10*G210/参数设置!$B$11,参数设置!$B$14),0)</f>
        <v>64.349999999999994</v>
      </c>
      <c r="J210" s="25">
        <f>H210+I210</f>
        <v>64.349999999999994</v>
      </c>
      <c r="K210" s="28">
        <f>EDATE(B210,参数设置!$B$12)</f>
        <v>47128</v>
      </c>
      <c r="L210" s="20">
        <f>--(A210&lt;=参数设置!$B$6)</f>
        <v>1</v>
      </c>
    </row>
    <row r="211" spans="1:12">
      <c r="A211" s="12">
        <v>18</v>
      </c>
      <c r="B211" s="21">
        <f>EDATE(参数设置!$B$4,A211-1)</f>
        <v>46762</v>
      </c>
      <c r="C211" s="22">
        <f>参数设置!$B$5</f>
        <v>23400</v>
      </c>
      <c r="D211" s="12">
        <v>4</v>
      </c>
      <c r="E211" s="28">
        <f>IF(D211=1,B211,F210)</f>
        <v>46878</v>
      </c>
      <c r="F211" s="28">
        <f>IF(D211&lt;参数设置!$B$12,DATE(YEAR(EDATE(B211,D211+1)),MONTH(EDATE(B211,D211+1)),参数设置!$B$13),EDATE(B211,参数设置!$B$12))</f>
        <v>46909</v>
      </c>
      <c r="G211" s="20">
        <f>F211-E211</f>
        <v>31</v>
      </c>
      <c r="H211" s="25">
        <f>IF(D211=参数设置!$B$12,C211,0)</f>
        <v>0</v>
      </c>
      <c r="I211" s="25">
        <f>IF(L211=1,ROUND(C211*参数设置!$B$10*G211/参数设置!$B$11,参数设置!$B$14),0)</f>
        <v>66.5</v>
      </c>
      <c r="J211" s="25">
        <f>H211+I211</f>
        <v>66.5</v>
      </c>
      <c r="K211" s="28">
        <f>EDATE(B211,参数设置!$B$12)</f>
        <v>47128</v>
      </c>
      <c r="L211" s="20">
        <f>--(A211&lt;=参数设置!$B$6)</f>
        <v>1</v>
      </c>
    </row>
    <row r="212" spans="1:12">
      <c r="A212" s="12">
        <v>18</v>
      </c>
      <c r="B212" s="21">
        <f>EDATE(参数设置!$B$4,A212-1)</f>
        <v>46762</v>
      </c>
      <c r="C212" s="22">
        <f>参数设置!$B$5</f>
        <v>23400</v>
      </c>
      <c r="D212" s="12">
        <v>5</v>
      </c>
      <c r="E212" s="28">
        <f>IF(D212=1,B212,F211)</f>
        <v>46909</v>
      </c>
      <c r="F212" s="28">
        <f>IF(D212&lt;参数设置!$B$12,DATE(YEAR(EDATE(B212,D212+1)),MONTH(EDATE(B212,D212+1)),参数设置!$B$13),EDATE(B212,参数设置!$B$12))</f>
        <v>46939</v>
      </c>
      <c r="G212" s="20">
        <f>F212-E212</f>
        <v>30</v>
      </c>
      <c r="H212" s="25">
        <f>IF(D212=参数设置!$B$12,C212,0)</f>
        <v>0</v>
      </c>
      <c r="I212" s="25">
        <f>IF(L212=1,ROUND(C212*参数设置!$B$10*G212/参数设置!$B$11,参数设置!$B$14),0)</f>
        <v>64.349999999999994</v>
      </c>
      <c r="J212" s="25">
        <f>H212+I212</f>
        <v>64.349999999999994</v>
      </c>
      <c r="K212" s="28">
        <f>EDATE(B212,参数设置!$B$12)</f>
        <v>47128</v>
      </c>
      <c r="L212" s="20">
        <f>--(A212&lt;=参数设置!$B$6)</f>
        <v>1</v>
      </c>
    </row>
    <row r="213" spans="1:12">
      <c r="A213" s="12">
        <v>18</v>
      </c>
      <c r="B213" s="21">
        <f>EDATE(参数设置!$B$4,A213-1)</f>
        <v>46762</v>
      </c>
      <c r="C213" s="22">
        <f>参数设置!$B$5</f>
        <v>23400</v>
      </c>
      <c r="D213" s="12">
        <v>6</v>
      </c>
      <c r="E213" s="28">
        <f>IF(D213=1,B213,F212)</f>
        <v>46939</v>
      </c>
      <c r="F213" s="28">
        <f>IF(D213&lt;参数设置!$B$12,DATE(YEAR(EDATE(B213,D213+1)),MONTH(EDATE(B213,D213+1)),参数设置!$B$13),EDATE(B213,参数设置!$B$12))</f>
        <v>46970</v>
      </c>
      <c r="G213" s="20">
        <f>F213-E213</f>
        <v>31</v>
      </c>
      <c r="H213" s="25">
        <f>IF(D213=参数设置!$B$12,C213,0)</f>
        <v>0</v>
      </c>
      <c r="I213" s="25">
        <f>IF(L213=1,ROUND(C213*参数设置!$B$10*G213/参数设置!$B$11,参数设置!$B$14),0)</f>
        <v>66.5</v>
      </c>
      <c r="J213" s="25">
        <f>H213+I213</f>
        <v>66.5</v>
      </c>
      <c r="K213" s="28">
        <f>EDATE(B213,参数设置!$B$12)</f>
        <v>47128</v>
      </c>
      <c r="L213" s="20">
        <f>--(A213&lt;=参数设置!$B$6)</f>
        <v>1</v>
      </c>
    </row>
    <row r="214" spans="1:12">
      <c r="A214" s="12">
        <v>18</v>
      </c>
      <c r="B214" s="21">
        <f>EDATE(参数设置!$B$4,A214-1)</f>
        <v>46762</v>
      </c>
      <c r="C214" s="22">
        <f>参数设置!$B$5</f>
        <v>23400</v>
      </c>
      <c r="D214" s="12">
        <v>7</v>
      </c>
      <c r="E214" s="28">
        <f>IF(D214=1,B214,F213)</f>
        <v>46970</v>
      </c>
      <c r="F214" s="28">
        <f>IF(D214&lt;参数设置!$B$12,DATE(YEAR(EDATE(B214,D214+1)),MONTH(EDATE(B214,D214+1)),参数设置!$B$13),EDATE(B214,参数设置!$B$12))</f>
        <v>47001</v>
      </c>
      <c r="G214" s="20">
        <f>F214-E214</f>
        <v>31</v>
      </c>
      <c r="H214" s="25">
        <f>IF(D214=参数设置!$B$12,C214,0)</f>
        <v>0</v>
      </c>
      <c r="I214" s="25">
        <f>IF(L214=1,ROUND(C214*参数设置!$B$10*G214/参数设置!$B$11,参数设置!$B$14),0)</f>
        <v>66.5</v>
      </c>
      <c r="J214" s="25">
        <f>H214+I214</f>
        <v>66.5</v>
      </c>
      <c r="K214" s="28">
        <f>EDATE(B214,参数设置!$B$12)</f>
        <v>47128</v>
      </c>
      <c r="L214" s="20">
        <f>--(A214&lt;=参数设置!$B$6)</f>
        <v>1</v>
      </c>
    </row>
    <row r="215" spans="1:12">
      <c r="A215" s="12">
        <v>18</v>
      </c>
      <c r="B215" s="21">
        <f>EDATE(参数设置!$B$4,A215-1)</f>
        <v>46762</v>
      </c>
      <c r="C215" s="22">
        <f>参数设置!$B$5</f>
        <v>23400</v>
      </c>
      <c r="D215" s="12">
        <v>8</v>
      </c>
      <c r="E215" s="28">
        <f>IF(D215=1,B215,F214)</f>
        <v>47001</v>
      </c>
      <c r="F215" s="28">
        <f>IF(D215&lt;参数设置!$B$12,DATE(YEAR(EDATE(B215,D215+1)),MONTH(EDATE(B215,D215+1)),参数设置!$B$13),EDATE(B215,参数设置!$B$12))</f>
        <v>47031</v>
      </c>
      <c r="G215" s="20">
        <f>F215-E215</f>
        <v>30</v>
      </c>
      <c r="H215" s="25">
        <f>IF(D215=参数设置!$B$12,C215,0)</f>
        <v>0</v>
      </c>
      <c r="I215" s="25">
        <f>IF(L215=1,ROUND(C215*参数设置!$B$10*G215/参数设置!$B$11,参数设置!$B$14),0)</f>
        <v>64.349999999999994</v>
      </c>
      <c r="J215" s="25">
        <f>H215+I215</f>
        <v>64.349999999999994</v>
      </c>
      <c r="K215" s="28">
        <f>EDATE(B215,参数设置!$B$12)</f>
        <v>47128</v>
      </c>
      <c r="L215" s="20">
        <f>--(A215&lt;=参数设置!$B$6)</f>
        <v>1</v>
      </c>
    </row>
    <row r="216" spans="1:12">
      <c r="A216" s="12">
        <v>18</v>
      </c>
      <c r="B216" s="21">
        <f>EDATE(参数设置!$B$4,A216-1)</f>
        <v>46762</v>
      </c>
      <c r="C216" s="22">
        <f>参数设置!$B$5</f>
        <v>23400</v>
      </c>
      <c r="D216" s="12">
        <v>9</v>
      </c>
      <c r="E216" s="28">
        <f>IF(D216=1,B216,F215)</f>
        <v>47031</v>
      </c>
      <c r="F216" s="28">
        <f>IF(D216&lt;参数设置!$B$12,DATE(YEAR(EDATE(B216,D216+1)),MONTH(EDATE(B216,D216+1)),参数设置!$B$13),EDATE(B216,参数设置!$B$12))</f>
        <v>47062</v>
      </c>
      <c r="G216" s="20">
        <f>F216-E216</f>
        <v>31</v>
      </c>
      <c r="H216" s="25">
        <f>IF(D216=参数设置!$B$12,C216,0)</f>
        <v>0</v>
      </c>
      <c r="I216" s="25">
        <f>IF(L216=1,ROUND(C216*参数设置!$B$10*G216/参数设置!$B$11,参数设置!$B$14),0)</f>
        <v>66.5</v>
      </c>
      <c r="J216" s="25">
        <f>H216+I216</f>
        <v>66.5</v>
      </c>
      <c r="K216" s="28">
        <f>EDATE(B216,参数设置!$B$12)</f>
        <v>47128</v>
      </c>
      <c r="L216" s="20">
        <f>--(A216&lt;=参数设置!$B$6)</f>
        <v>1</v>
      </c>
    </row>
    <row r="217" spans="1:12">
      <c r="A217" s="12">
        <v>18</v>
      </c>
      <c r="B217" s="21">
        <f>EDATE(参数设置!$B$4,A217-1)</f>
        <v>46762</v>
      </c>
      <c r="C217" s="22">
        <f>参数设置!$B$5</f>
        <v>23400</v>
      </c>
      <c r="D217" s="12">
        <v>10</v>
      </c>
      <c r="E217" s="28">
        <f>IF(D217=1,B217,F216)</f>
        <v>47062</v>
      </c>
      <c r="F217" s="28">
        <f>IF(D217&lt;参数设置!$B$12,DATE(YEAR(EDATE(B217,D217+1)),MONTH(EDATE(B217,D217+1)),参数设置!$B$13),EDATE(B217,参数设置!$B$12))</f>
        <v>47092</v>
      </c>
      <c r="G217" s="20">
        <f>F217-E217</f>
        <v>30</v>
      </c>
      <c r="H217" s="25">
        <f>IF(D217=参数设置!$B$12,C217,0)</f>
        <v>0</v>
      </c>
      <c r="I217" s="25">
        <f>IF(L217=1,ROUND(C217*参数设置!$B$10*G217/参数设置!$B$11,参数设置!$B$14),0)</f>
        <v>64.349999999999994</v>
      </c>
      <c r="J217" s="25">
        <f>H217+I217</f>
        <v>64.349999999999994</v>
      </c>
      <c r="K217" s="28">
        <f>EDATE(B217,参数设置!$B$12)</f>
        <v>47128</v>
      </c>
      <c r="L217" s="20">
        <f>--(A217&lt;=参数设置!$B$6)</f>
        <v>1</v>
      </c>
    </row>
    <row r="218" spans="1:12">
      <c r="A218" s="12">
        <v>18</v>
      </c>
      <c r="B218" s="21">
        <f>EDATE(参数设置!$B$4,A218-1)</f>
        <v>46762</v>
      </c>
      <c r="C218" s="22">
        <f>参数设置!$B$5</f>
        <v>23400</v>
      </c>
      <c r="D218" s="12">
        <v>11</v>
      </c>
      <c r="E218" s="28">
        <f>IF(D218=1,B218,F217)</f>
        <v>47092</v>
      </c>
      <c r="F218" s="28">
        <f>IF(D218&lt;参数设置!$B$12,DATE(YEAR(EDATE(B218,D218+1)),MONTH(EDATE(B218,D218+1)),参数设置!$B$13),EDATE(B218,参数设置!$B$12))</f>
        <v>47123</v>
      </c>
      <c r="G218" s="20">
        <f>F218-E218</f>
        <v>31</v>
      </c>
      <c r="H218" s="25">
        <f>IF(D218=参数设置!$B$12,C218,0)</f>
        <v>0</v>
      </c>
      <c r="I218" s="25">
        <f>IF(L218=1,ROUND(C218*参数设置!$B$10*G218/参数设置!$B$11,参数设置!$B$14),0)</f>
        <v>66.5</v>
      </c>
      <c r="J218" s="25">
        <f>H218+I218</f>
        <v>66.5</v>
      </c>
      <c r="K218" s="28">
        <f>EDATE(B218,参数设置!$B$12)</f>
        <v>47128</v>
      </c>
      <c r="L218" s="20">
        <f>--(A218&lt;=参数设置!$B$6)</f>
        <v>1</v>
      </c>
    </row>
    <row r="219" spans="1:12">
      <c r="A219" s="12">
        <v>18</v>
      </c>
      <c r="B219" s="21">
        <f>EDATE(参数设置!$B$4,A219-1)</f>
        <v>46762</v>
      </c>
      <c r="C219" s="22">
        <f>参数设置!$B$5</f>
        <v>23400</v>
      </c>
      <c r="D219" s="12">
        <v>12</v>
      </c>
      <c r="E219" s="28">
        <f>IF(D219=1,B219,F218)</f>
        <v>47123</v>
      </c>
      <c r="F219" s="28">
        <f>IF(D219&lt;参数设置!$B$12,DATE(YEAR(EDATE(B219,D219+1)),MONTH(EDATE(B219,D219+1)),参数设置!$B$13),EDATE(B219,参数设置!$B$12))</f>
        <v>47128</v>
      </c>
      <c r="G219" s="20">
        <f>F219-E219</f>
        <v>5</v>
      </c>
      <c r="H219" s="25">
        <f>IF(D219=参数设置!$B$12,C219,0)</f>
        <v>23400</v>
      </c>
      <c r="I219" s="25">
        <f>IF(L219=1,ROUND(C219*参数设置!$B$10*G219/参数设置!$B$11,参数设置!$B$14),0)</f>
        <v>10.73</v>
      </c>
      <c r="J219" s="25">
        <f>H219+I219</f>
        <v>23410.73</v>
      </c>
      <c r="K219" s="28">
        <f>EDATE(B219,参数设置!$B$12)</f>
        <v>47128</v>
      </c>
      <c r="L219" s="20">
        <f>--(A219&lt;=参数设置!$B$6)</f>
        <v>1</v>
      </c>
    </row>
    <row r="220" spans="1:12">
      <c r="A220" s="12">
        <v>19</v>
      </c>
      <c r="B220" s="21">
        <f>EDATE(参数设置!$B$4,A220-1)</f>
        <v>46793</v>
      </c>
      <c r="C220" s="22">
        <f>参数设置!$B$5</f>
        <v>23400</v>
      </c>
      <c r="D220" s="12">
        <v>1</v>
      </c>
      <c r="E220" s="28">
        <f>IF(D220=1,B220,F219)</f>
        <v>46793</v>
      </c>
      <c r="F220" s="28">
        <f>IF(D220&lt;参数设置!$B$12,DATE(YEAR(EDATE(B220,D220+1)),MONTH(EDATE(B220,D220+1)),参数设置!$B$13),EDATE(B220,参数设置!$B$12))</f>
        <v>46848</v>
      </c>
      <c r="G220" s="20">
        <f>F220-E220</f>
        <v>55</v>
      </c>
      <c r="H220" s="25">
        <f>IF(D220=参数设置!$B$12,C220,0)</f>
        <v>0</v>
      </c>
      <c r="I220" s="25">
        <f>IF(L220=1,ROUND(C220*参数设置!$B$10*G220/参数设置!$B$11,参数设置!$B$14),0)</f>
        <v>117.98</v>
      </c>
      <c r="J220" s="25">
        <f>H220+I220</f>
        <v>117.98</v>
      </c>
      <c r="K220" s="28">
        <f>EDATE(B220,参数设置!$B$12)</f>
        <v>47159</v>
      </c>
      <c r="L220" s="20">
        <f>--(A220&lt;=参数设置!$B$6)</f>
        <v>1</v>
      </c>
    </row>
    <row r="221" spans="1:12">
      <c r="A221" s="12">
        <v>19</v>
      </c>
      <c r="B221" s="21">
        <f>EDATE(参数设置!$B$4,A221-1)</f>
        <v>46793</v>
      </c>
      <c r="C221" s="22">
        <f>参数设置!$B$5</f>
        <v>23400</v>
      </c>
      <c r="D221" s="12">
        <v>2</v>
      </c>
      <c r="E221" s="28">
        <f>IF(D221=1,B221,F220)</f>
        <v>46848</v>
      </c>
      <c r="F221" s="28">
        <f>IF(D221&lt;参数设置!$B$12,DATE(YEAR(EDATE(B221,D221+1)),MONTH(EDATE(B221,D221+1)),参数设置!$B$13),EDATE(B221,参数设置!$B$12))</f>
        <v>46878</v>
      </c>
      <c r="G221" s="20">
        <f>F221-E221</f>
        <v>30</v>
      </c>
      <c r="H221" s="25">
        <f>IF(D221=参数设置!$B$12,C221,0)</f>
        <v>0</v>
      </c>
      <c r="I221" s="25">
        <f>IF(L221=1,ROUND(C221*参数设置!$B$10*G221/参数设置!$B$11,参数设置!$B$14),0)</f>
        <v>64.349999999999994</v>
      </c>
      <c r="J221" s="25">
        <f>H221+I221</f>
        <v>64.349999999999994</v>
      </c>
      <c r="K221" s="28">
        <f>EDATE(B221,参数设置!$B$12)</f>
        <v>47159</v>
      </c>
      <c r="L221" s="20">
        <f>--(A221&lt;=参数设置!$B$6)</f>
        <v>1</v>
      </c>
    </row>
    <row r="222" spans="1:12">
      <c r="A222" s="12">
        <v>19</v>
      </c>
      <c r="B222" s="21">
        <f>EDATE(参数设置!$B$4,A222-1)</f>
        <v>46793</v>
      </c>
      <c r="C222" s="22">
        <f>参数设置!$B$5</f>
        <v>23400</v>
      </c>
      <c r="D222" s="12">
        <v>3</v>
      </c>
      <c r="E222" s="28">
        <f>IF(D222=1,B222,F221)</f>
        <v>46878</v>
      </c>
      <c r="F222" s="28">
        <f>IF(D222&lt;参数设置!$B$12,DATE(YEAR(EDATE(B222,D222+1)),MONTH(EDATE(B222,D222+1)),参数设置!$B$13),EDATE(B222,参数设置!$B$12))</f>
        <v>46909</v>
      </c>
      <c r="G222" s="20">
        <f>F222-E222</f>
        <v>31</v>
      </c>
      <c r="H222" s="25">
        <f>IF(D222=参数设置!$B$12,C222,0)</f>
        <v>0</v>
      </c>
      <c r="I222" s="25">
        <f>IF(L222=1,ROUND(C222*参数设置!$B$10*G222/参数设置!$B$11,参数设置!$B$14),0)</f>
        <v>66.5</v>
      </c>
      <c r="J222" s="25">
        <f>H222+I222</f>
        <v>66.5</v>
      </c>
      <c r="K222" s="28">
        <f>EDATE(B222,参数设置!$B$12)</f>
        <v>47159</v>
      </c>
      <c r="L222" s="20">
        <f>--(A222&lt;=参数设置!$B$6)</f>
        <v>1</v>
      </c>
    </row>
    <row r="223" spans="1:12">
      <c r="A223" s="12">
        <v>19</v>
      </c>
      <c r="B223" s="21">
        <f>EDATE(参数设置!$B$4,A223-1)</f>
        <v>46793</v>
      </c>
      <c r="C223" s="22">
        <f>参数设置!$B$5</f>
        <v>23400</v>
      </c>
      <c r="D223" s="12">
        <v>4</v>
      </c>
      <c r="E223" s="28">
        <f>IF(D223=1,B223,F222)</f>
        <v>46909</v>
      </c>
      <c r="F223" s="28">
        <f>IF(D223&lt;参数设置!$B$12,DATE(YEAR(EDATE(B223,D223+1)),MONTH(EDATE(B223,D223+1)),参数设置!$B$13),EDATE(B223,参数设置!$B$12))</f>
        <v>46939</v>
      </c>
      <c r="G223" s="20">
        <f>F223-E223</f>
        <v>30</v>
      </c>
      <c r="H223" s="25">
        <f>IF(D223=参数设置!$B$12,C223,0)</f>
        <v>0</v>
      </c>
      <c r="I223" s="25">
        <f>IF(L223=1,ROUND(C223*参数设置!$B$10*G223/参数设置!$B$11,参数设置!$B$14),0)</f>
        <v>64.349999999999994</v>
      </c>
      <c r="J223" s="25">
        <f>H223+I223</f>
        <v>64.349999999999994</v>
      </c>
      <c r="K223" s="28">
        <f>EDATE(B223,参数设置!$B$12)</f>
        <v>47159</v>
      </c>
      <c r="L223" s="20">
        <f>--(A223&lt;=参数设置!$B$6)</f>
        <v>1</v>
      </c>
    </row>
    <row r="224" spans="1:12">
      <c r="A224" s="12">
        <v>19</v>
      </c>
      <c r="B224" s="21">
        <f>EDATE(参数设置!$B$4,A224-1)</f>
        <v>46793</v>
      </c>
      <c r="C224" s="22">
        <f>参数设置!$B$5</f>
        <v>23400</v>
      </c>
      <c r="D224" s="12">
        <v>5</v>
      </c>
      <c r="E224" s="28">
        <f>IF(D224=1,B224,F223)</f>
        <v>46939</v>
      </c>
      <c r="F224" s="28">
        <f>IF(D224&lt;参数设置!$B$12,DATE(YEAR(EDATE(B224,D224+1)),MONTH(EDATE(B224,D224+1)),参数设置!$B$13),EDATE(B224,参数设置!$B$12))</f>
        <v>46970</v>
      </c>
      <c r="G224" s="20">
        <f>F224-E224</f>
        <v>31</v>
      </c>
      <c r="H224" s="25">
        <f>IF(D224=参数设置!$B$12,C224,0)</f>
        <v>0</v>
      </c>
      <c r="I224" s="25">
        <f>IF(L224=1,ROUND(C224*参数设置!$B$10*G224/参数设置!$B$11,参数设置!$B$14),0)</f>
        <v>66.5</v>
      </c>
      <c r="J224" s="25">
        <f>H224+I224</f>
        <v>66.5</v>
      </c>
      <c r="K224" s="28">
        <f>EDATE(B224,参数设置!$B$12)</f>
        <v>47159</v>
      </c>
      <c r="L224" s="20">
        <f>--(A224&lt;=参数设置!$B$6)</f>
        <v>1</v>
      </c>
    </row>
    <row r="225" spans="1:12">
      <c r="A225" s="12">
        <v>19</v>
      </c>
      <c r="B225" s="21">
        <f>EDATE(参数设置!$B$4,A225-1)</f>
        <v>46793</v>
      </c>
      <c r="C225" s="22">
        <f>参数设置!$B$5</f>
        <v>23400</v>
      </c>
      <c r="D225" s="12">
        <v>6</v>
      </c>
      <c r="E225" s="28">
        <f>IF(D225=1,B225,F224)</f>
        <v>46970</v>
      </c>
      <c r="F225" s="28">
        <f>IF(D225&lt;参数设置!$B$12,DATE(YEAR(EDATE(B225,D225+1)),MONTH(EDATE(B225,D225+1)),参数设置!$B$13),EDATE(B225,参数设置!$B$12))</f>
        <v>47001</v>
      </c>
      <c r="G225" s="20">
        <f>F225-E225</f>
        <v>31</v>
      </c>
      <c r="H225" s="25">
        <f>IF(D225=参数设置!$B$12,C225,0)</f>
        <v>0</v>
      </c>
      <c r="I225" s="25">
        <f>IF(L225=1,ROUND(C225*参数设置!$B$10*G225/参数设置!$B$11,参数设置!$B$14),0)</f>
        <v>66.5</v>
      </c>
      <c r="J225" s="25">
        <f>H225+I225</f>
        <v>66.5</v>
      </c>
      <c r="K225" s="28">
        <f>EDATE(B225,参数设置!$B$12)</f>
        <v>47159</v>
      </c>
      <c r="L225" s="20">
        <f>--(A225&lt;=参数设置!$B$6)</f>
        <v>1</v>
      </c>
    </row>
    <row r="226" spans="1:12">
      <c r="A226" s="12">
        <v>19</v>
      </c>
      <c r="B226" s="21">
        <f>EDATE(参数设置!$B$4,A226-1)</f>
        <v>46793</v>
      </c>
      <c r="C226" s="22">
        <f>参数设置!$B$5</f>
        <v>23400</v>
      </c>
      <c r="D226" s="12">
        <v>7</v>
      </c>
      <c r="E226" s="28">
        <f>IF(D226=1,B226,F225)</f>
        <v>47001</v>
      </c>
      <c r="F226" s="28">
        <f>IF(D226&lt;参数设置!$B$12,DATE(YEAR(EDATE(B226,D226+1)),MONTH(EDATE(B226,D226+1)),参数设置!$B$13),EDATE(B226,参数设置!$B$12))</f>
        <v>47031</v>
      </c>
      <c r="G226" s="20">
        <f>F226-E226</f>
        <v>30</v>
      </c>
      <c r="H226" s="25">
        <f>IF(D226=参数设置!$B$12,C226,0)</f>
        <v>0</v>
      </c>
      <c r="I226" s="25">
        <f>IF(L226=1,ROUND(C226*参数设置!$B$10*G226/参数设置!$B$11,参数设置!$B$14),0)</f>
        <v>64.349999999999994</v>
      </c>
      <c r="J226" s="25">
        <f>H226+I226</f>
        <v>64.349999999999994</v>
      </c>
      <c r="K226" s="28">
        <f>EDATE(B226,参数设置!$B$12)</f>
        <v>47159</v>
      </c>
      <c r="L226" s="20">
        <f>--(A226&lt;=参数设置!$B$6)</f>
        <v>1</v>
      </c>
    </row>
    <row r="227" spans="1:12">
      <c r="A227" s="12">
        <v>19</v>
      </c>
      <c r="B227" s="21">
        <f>EDATE(参数设置!$B$4,A227-1)</f>
        <v>46793</v>
      </c>
      <c r="C227" s="22">
        <f>参数设置!$B$5</f>
        <v>23400</v>
      </c>
      <c r="D227" s="12">
        <v>8</v>
      </c>
      <c r="E227" s="28">
        <f>IF(D227=1,B227,F226)</f>
        <v>47031</v>
      </c>
      <c r="F227" s="28">
        <f>IF(D227&lt;参数设置!$B$12,DATE(YEAR(EDATE(B227,D227+1)),MONTH(EDATE(B227,D227+1)),参数设置!$B$13),EDATE(B227,参数设置!$B$12))</f>
        <v>47062</v>
      </c>
      <c r="G227" s="20">
        <f>F227-E227</f>
        <v>31</v>
      </c>
      <c r="H227" s="25">
        <f>IF(D227=参数设置!$B$12,C227,0)</f>
        <v>0</v>
      </c>
      <c r="I227" s="25">
        <f>IF(L227=1,ROUND(C227*参数设置!$B$10*G227/参数设置!$B$11,参数设置!$B$14),0)</f>
        <v>66.5</v>
      </c>
      <c r="J227" s="25">
        <f>H227+I227</f>
        <v>66.5</v>
      </c>
      <c r="K227" s="28">
        <f>EDATE(B227,参数设置!$B$12)</f>
        <v>47159</v>
      </c>
      <c r="L227" s="20">
        <f>--(A227&lt;=参数设置!$B$6)</f>
        <v>1</v>
      </c>
    </row>
    <row r="228" spans="1:12">
      <c r="A228" s="12">
        <v>19</v>
      </c>
      <c r="B228" s="21">
        <f>EDATE(参数设置!$B$4,A228-1)</f>
        <v>46793</v>
      </c>
      <c r="C228" s="22">
        <f>参数设置!$B$5</f>
        <v>23400</v>
      </c>
      <c r="D228" s="12">
        <v>9</v>
      </c>
      <c r="E228" s="28">
        <f>IF(D228=1,B228,F227)</f>
        <v>47062</v>
      </c>
      <c r="F228" s="28">
        <f>IF(D228&lt;参数设置!$B$12,DATE(YEAR(EDATE(B228,D228+1)),MONTH(EDATE(B228,D228+1)),参数设置!$B$13),EDATE(B228,参数设置!$B$12))</f>
        <v>47092</v>
      </c>
      <c r="G228" s="20">
        <f>F228-E228</f>
        <v>30</v>
      </c>
      <c r="H228" s="25">
        <f>IF(D228=参数设置!$B$12,C228,0)</f>
        <v>0</v>
      </c>
      <c r="I228" s="25">
        <f>IF(L228=1,ROUND(C228*参数设置!$B$10*G228/参数设置!$B$11,参数设置!$B$14),0)</f>
        <v>64.349999999999994</v>
      </c>
      <c r="J228" s="25">
        <f>H228+I228</f>
        <v>64.349999999999994</v>
      </c>
      <c r="K228" s="28">
        <f>EDATE(B228,参数设置!$B$12)</f>
        <v>47159</v>
      </c>
      <c r="L228" s="20">
        <f>--(A228&lt;=参数设置!$B$6)</f>
        <v>1</v>
      </c>
    </row>
    <row r="229" spans="1:12">
      <c r="A229" s="12">
        <v>19</v>
      </c>
      <c r="B229" s="21">
        <f>EDATE(参数设置!$B$4,A229-1)</f>
        <v>46793</v>
      </c>
      <c r="C229" s="22">
        <f>参数设置!$B$5</f>
        <v>23400</v>
      </c>
      <c r="D229" s="12">
        <v>10</v>
      </c>
      <c r="E229" s="28">
        <f>IF(D229=1,B229,F228)</f>
        <v>47092</v>
      </c>
      <c r="F229" s="28">
        <f>IF(D229&lt;参数设置!$B$12,DATE(YEAR(EDATE(B229,D229+1)),MONTH(EDATE(B229,D229+1)),参数设置!$B$13),EDATE(B229,参数设置!$B$12))</f>
        <v>47123</v>
      </c>
      <c r="G229" s="20">
        <f>F229-E229</f>
        <v>31</v>
      </c>
      <c r="H229" s="25">
        <f>IF(D229=参数设置!$B$12,C229,0)</f>
        <v>0</v>
      </c>
      <c r="I229" s="25">
        <f>IF(L229=1,ROUND(C229*参数设置!$B$10*G229/参数设置!$B$11,参数设置!$B$14),0)</f>
        <v>66.5</v>
      </c>
      <c r="J229" s="25">
        <f>H229+I229</f>
        <v>66.5</v>
      </c>
      <c r="K229" s="28">
        <f>EDATE(B229,参数设置!$B$12)</f>
        <v>47159</v>
      </c>
      <c r="L229" s="20">
        <f>--(A229&lt;=参数设置!$B$6)</f>
        <v>1</v>
      </c>
    </row>
    <row r="230" spans="1:12">
      <c r="A230" s="12">
        <v>19</v>
      </c>
      <c r="B230" s="21">
        <f>EDATE(参数设置!$B$4,A230-1)</f>
        <v>46793</v>
      </c>
      <c r="C230" s="22">
        <f>参数设置!$B$5</f>
        <v>23400</v>
      </c>
      <c r="D230" s="12">
        <v>11</v>
      </c>
      <c r="E230" s="28">
        <f>IF(D230=1,B230,F229)</f>
        <v>47123</v>
      </c>
      <c r="F230" s="28">
        <f>IF(D230&lt;参数设置!$B$12,DATE(YEAR(EDATE(B230,D230+1)),MONTH(EDATE(B230,D230+1)),参数设置!$B$13),EDATE(B230,参数设置!$B$12))</f>
        <v>47154</v>
      </c>
      <c r="G230" s="20">
        <f>F230-E230</f>
        <v>31</v>
      </c>
      <c r="H230" s="25">
        <f>IF(D230=参数设置!$B$12,C230,0)</f>
        <v>0</v>
      </c>
      <c r="I230" s="25">
        <f>IF(L230=1,ROUND(C230*参数设置!$B$10*G230/参数设置!$B$11,参数设置!$B$14),0)</f>
        <v>66.5</v>
      </c>
      <c r="J230" s="25">
        <f>H230+I230</f>
        <v>66.5</v>
      </c>
      <c r="K230" s="28">
        <f>EDATE(B230,参数设置!$B$12)</f>
        <v>47159</v>
      </c>
      <c r="L230" s="20">
        <f>--(A230&lt;=参数设置!$B$6)</f>
        <v>1</v>
      </c>
    </row>
    <row r="231" spans="1:12">
      <c r="A231" s="12">
        <v>19</v>
      </c>
      <c r="B231" s="21">
        <f>EDATE(参数设置!$B$4,A231-1)</f>
        <v>46793</v>
      </c>
      <c r="C231" s="22">
        <f>参数设置!$B$5</f>
        <v>23400</v>
      </c>
      <c r="D231" s="12">
        <v>12</v>
      </c>
      <c r="E231" s="28">
        <f>IF(D231=1,B231,F230)</f>
        <v>47154</v>
      </c>
      <c r="F231" s="28">
        <f>IF(D231&lt;参数设置!$B$12,DATE(YEAR(EDATE(B231,D231+1)),MONTH(EDATE(B231,D231+1)),参数设置!$B$13),EDATE(B231,参数设置!$B$12))</f>
        <v>47159</v>
      </c>
      <c r="G231" s="20">
        <f>F231-E231</f>
        <v>5</v>
      </c>
      <c r="H231" s="25">
        <f>IF(D231=参数设置!$B$12,C231,0)</f>
        <v>23400</v>
      </c>
      <c r="I231" s="25">
        <f>IF(L231=1,ROUND(C231*参数设置!$B$10*G231/参数设置!$B$11,参数设置!$B$14),0)</f>
        <v>10.73</v>
      </c>
      <c r="J231" s="25">
        <f>H231+I231</f>
        <v>23410.73</v>
      </c>
      <c r="K231" s="28">
        <f>EDATE(B231,参数设置!$B$12)</f>
        <v>47159</v>
      </c>
      <c r="L231" s="20">
        <f>--(A231&lt;=参数设置!$B$6)</f>
        <v>1</v>
      </c>
    </row>
    <row r="232" spans="1:12">
      <c r="A232" s="12">
        <v>20</v>
      </c>
      <c r="B232" s="21">
        <f>EDATE(参数设置!$B$4,A232-1)</f>
        <v>46822</v>
      </c>
      <c r="C232" s="22">
        <f>参数设置!$B$5</f>
        <v>23400</v>
      </c>
      <c r="D232" s="12">
        <v>1</v>
      </c>
      <c r="E232" s="28">
        <f>IF(D232=1,B232,F231)</f>
        <v>46822</v>
      </c>
      <c r="F232" s="28">
        <f>IF(D232&lt;参数设置!$B$12,DATE(YEAR(EDATE(B232,D232+1)),MONTH(EDATE(B232,D232+1)),参数设置!$B$13),EDATE(B232,参数设置!$B$12))</f>
        <v>46878</v>
      </c>
      <c r="G232" s="20">
        <f>F232-E232</f>
        <v>56</v>
      </c>
      <c r="H232" s="25">
        <f>IF(D232=参数设置!$B$12,C232,0)</f>
        <v>0</v>
      </c>
      <c r="I232" s="25">
        <f>IF(L232=1,ROUND(C232*参数设置!$B$10*G232/参数设置!$B$11,参数设置!$B$14),0)</f>
        <v>120.12</v>
      </c>
      <c r="J232" s="25">
        <f>H232+I232</f>
        <v>120.12</v>
      </c>
      <c r="K232" s="28">
        <f>EDATE(B232,参数设置!$B$12)</f>
        <v>47187</v>
      </c>
      <c r="L232" s="20">
        <f>--(A232&lt;=参数设置!$B$6)</f>
        <v>1</v>
      </c>
    </row>
    <row r="233" spans="1:12">
      <c r="A233" s="12">
        <v>20</v>
      </c>
      <c r="B233" s="21">
        <f>EDATE(参数设置!$B$4,A233-1)</f>
        <v>46822</v>
      </c>
      <c r="C233" s="22">
        <f>参数设置!$B$5</f>
        <v>23400</v>
      </c>
      <c r="D233" s="12">
        <v>2</v>
      </c>
      <c r="E233" s="28">
        <f>IF(D233=1,B233,F232)</f>
        <v>46878</v>
      </c>
      <c r="F233" s="28">
        <f>IF(D233&lt;参数设置!$B$12,DATE(YEAR(EDATE(B233,D233+1)),MONTH(EDATE(B233,D233+1)),参数设置!$B$13),EDATE(B233,参数设置!$B$12))</f>
        <v>46909</v>
      </c>
      <c r="G233" s="20">
        <f>F233-E233</f>
        <v>31</v>
      </c>
      <c r="H233" s="25">
        <f>IF(D233=参数设置!$B$12,C233,0)</f>
        <v>0</v>
      </c>
      <c r="I233" s="25">
        <f>IF(L233=1,ROUND(C233*参数设置!$B$10*G233/参数设置!$B$11,参数设置!$B$14),0)</f>
        <v>66.5</v>
      </c>
      <c r="J233" s="25">
        <f>H233+I233</f>
        <v>66.5</v>
      </c>
      <c r="K233" s="28">
        <f>EDATE(B233,参数设置!$B$12)</f>
        <v>47187</v>
      </c>
      <c r="L233" s="20">
        <f>--(A233&lt;=参数设置!$B$6)</f>
        <v>1</v>
      </c>
    </row>
    <row r="234" spans="1:12">
      <c r="A234" s="12">
        <v>20</v>
      </c>
      <c r="B234" s="21">
        <f>EDATE(参数设置!$B$4,A234-1)</f>
        <v>46822</v>
      </c>
      <c r="C234" s="22">
        <f>参数设置!$B$5</f>
        <v>23400</v>
      </c>
      <c r="D234" s="12">
        <v>3</v>
      </c>
      <c r="E234" s="28">
        <f>IF(D234=1,B234,F233)</f>
        <v>46909</v>
      </c>
      <c r="F234" s="28">
        <f>IF(D234&lt;参数设置!$B$12,DATE(YEAR(EDATE(B234,D234+1)),MONTH(EDATE(B234,D234+1)),参数设置!$B$13),EDATE(B234,参数设置!$B$12))</f>
        <v>46939</v>
      </c>
      <c r="G234" s="20">
        <f>F234-E234</f>
        <v>30</v>
      </c>
      <c r="H234" s="25">
        <f>IF(D234=参数设置!$B$12,C234,0)</f>
        <v>0</v>
      </c>
      <c r="I234" s="25">
        <f>IF(L234=1,ROUND(C234*参数设置!$B$10*G234/参数设置!$B$11,参数设置!$B$14),0)</f>
        <v>64.349999999999994</v>
      </c>
      <c r="J234" s="25">
        <f>H234+I234</f>
        <v>64.349999999999994</v>
      </c>
      <c r="K234" s="28">
        <f>EDATE(B234,参数设置!$B$12)</f>
        <v>47187</v>
      </c>
      <c r="L234" s="20">
        <f>--(A234&lt;=参数设置!$B$6)</f>
        <v>1</v>
      </c>
    </row>
    <row r="235" spans="1:12">
      <c r="A235" s="12">
        <v>20</v>
      </c>
      <c r="B235" s="21">
        <f>EDATE(参数设置!$B$4,A235-1)</f>
        <v>46822</v>
      </c>
      <c r="C235" s="22">
        <f>参数设置!$B$5</f>
        <v>23400</v>
      </c>
      <c r="D235" s="12">
        <v>4</v>
      </c>
      <c r="E235" s="28">
        <f>IF(D235=1,B235,F234)</f>
        <v>46939</v>
      </c>
      <c r="F235" s="28">
        <f>IF(D235&lt;参数设置!$B$12,DATE(YEAR(EDATE(B235,D235+1)),MONTH(EDATE(B235,D235+1)),参数设置!$B$13),EDATE(B235,参数设置!$B$12))</f>
        <v>46970</v>
      </c>
      <c r="G235" s="20">
        <f>F235-E235</f>
        <v>31</v>
      </c>
      <c r="H235" s="25">
        <f>IF(D235=参数设置!$B$12,C235,0)</f>
        <v>0</v>
      </c>
      <c r="I235" s="25">
        <f>IF(L235=1,ROUND(C235*参数设置!$B$10*G235/参数设置!$B$11,参数设置!$B$14),0)</f>
        <v>66.5</v>
      </c>
      <c r="J235" s="25">
        <f>H235+I235</f>
        <v>66.5</v>
      </c>
      <c r="K235" s="28">
        <f>EDATE(B235,参数设置!$B$12)</f>
        <v>47187</v>
      </c>
      <c r="L235" s="20">
        <f>--(A235&lt;=参数设置!$B$6)</f>
        <v>1</v>
      </c>
    </row>
    <row r="236" spans="1:12">
      <c r="A236" s="12">
        <v>20</v>
      </c>
      <c r="B236" s="21">
        <f>EDATE(参数设置!$B$4,A236-1)</f>
        <v>46822</v>
      </c>
      <c r="C236" s="22">
        <f>参数设置!$B$5</f>
        <v>23400</v>
      </c>
      <c r="D236" s="12">
        <v>5</v>
      </c>
      <c r="E236" s="28">
        <f>IF(D236=1,B236,F235)</f>
        <v>46970</v>
      </c>
      <c r="F236" s="28">
        <f>IF(D236&lt;参数设置!$B$12,DATE(YEAR(EDATE(B236,D236+1)),MONTH(EDATE(B236,D236+1)),参数设置!$B$13),EDATE(B236,参数设置!$B$12))</f>
        <v>47001</v>
      </c>
      <c r="G236" s="20">
        <f>F236-E236</f>
        <v>31</v>
      </c>
      <c r="H236" s="25">
        <f>IF(D236=参数设置!$B$12,C236,0)</f>
        <v>0</v>
      </c>
      <c r="I236" s="25">
        <f>IF(L236=1,ROUND(C236*参数设置!$B$10*G236/参数设置!$B$11,参数设置!$B$14),0)</f>
        <v>66.5</v>
      </c>
      <c r="J236" s="25">
        <f>H236+I236</f>
        <v>66.5</v>
      </c>
      <c r="K236" s="28">
        <f>EDATE(B236,参数设置!$B$12)</f>
        <v>47187</v>
      </c>
      <c r="L236" s="20">
        <f>--(A236&lt;=参数设置!$B$6)</f>
        <v>1</v>
      </c>
    </row>
    <row r="237" spans="1:12">
      <c r="A237" s="12">
        <v>20</v>
      </c>
      <c r="B237" s="21">
        <f>EDATE(参数设置!$B$4,A237-1)</f>
        <v>46822</v>
      </c>
      <c r="C237" s="22">
        <f>参数设置!$B$5</f>
        <v>23400</v>
      </c>
      <c r="D237" s="12">
        <v>6</v>
      </c>
      <c r="E237" s="28">
        <f>IF(D237=1,B237,F236)</f>
        <v>47001</v>
      </c>
      <c r="F237" s="28">
        <f>IF(D237&lt;参数设置!$B$12,DATE(YEAR(EDATE(B237,D237+1)),MONTH(EDATE(B237,D237+1)),参数设置!$B$13),EDATE(B237,参数设置!$B$12))</f>
        <v>47031</v>
      </c>
      <c r="G237" s="20">
        <f>F237-E237</f>
        <v>30</v>
      </c>
      <c r="H237" s="25">
        <f>IF(D237=参数设置!$B$12,C237,0)</f>
        <v>0</v>
      </c>
      <c r="I237" s="25">
        <f>IF(L237=1,ROUND(C237*参数设置!$B$10*G237/参数设置!$B$11,参数设置!$B$14),0)</f>
        <v>64.349999999999994</v>
      </c>
      <c r="J237" s="25">
        <f>H237+I237</f>
        <v>64.349999999999994</v>
      </c>
      <c r="K237" s="28">
        <f>EDATE(B237,参数设置!$B$12)</f>
        <v>47187</v>
      </c>
      <c r="L237" s="20">
        <f>--(A237&lt;=参数设置!$B$6)</f>
        <v>1</v>
      </c>
    </row>
    <row r="238" spans="1:12">
      <c r="A238" s="12">
        <v>20</v>
      </c>
      <c r="B238" s="21">
        <f>EDATE(参数设置!$B$4,A238-1)</f>
        <v>46822</v>
      </c>
      <c r="C238" s="22">
        <f>参数设置!$B$5</f>
        <v>23400</v>
      </c>
      <c r="D238" s="12">
        <v>7</v>
      </c>
      <c r="E238" s="28">
        <f>IF(D238=1,B238,F237)</f>
        <v>47031</v>
      </c>
      <c r="F238" s="28">
        <f>IF(D238&lt;参数设置!$B$12,DATE(YEAR(EDATE(B238,D238+1)),MONTH(EDATE(B238,D238+1)),参数设置!$B$13),EDATE(B238,参数设置!$B$12))</f>
        <v>47062</v>
      </c>
      <c r="G238" s="20">
        <f>F238-E238</f>
        <v>31</v>
      </c>
      <c r="H238" s="25">
        <f>IF(D238=参数设置!$B$12,C238,0)</f>
        <v>0</v>
      </c>
      <c r="I238" s="25">
        <f>IF(L238=1,ROUND(C238*参数设置!$B$10*G238/参数设置!$B$11,参数设置!$B$14),0)</f>
        <v>66.5</v>
      </c>
      <c r="J238" s="25">
        <f>H238+I238</f>
        <v>66.5</v>
      </c>
      <c r="K238" s="28">
        <f>EDATE(B238,参数设置!$B$12)</f>
        <v>47187</v>
      </c>
      <c r="L238" s="20">
        <f>--(A238&lt;=参数设置!$B$6)</f>
        <v>1</v>
      </c>
    </row>
    <row r="239" spans="1:12">
      <c r="A239" s="12">
        <v>20</v>
      </c>
      <c r="B239" s="21">
        <f>EDATE(参数设置!$B$4,A239-1)</f>
        <v>46822</v>
      </c>
      <c r="C239" s="22">
        <f>参数设置!$B$5</f>
        <v>23400</v>
      </c>
      <c r="D239" s="12">
        <v>8</v>
      </c>
      <c r="E239" s="28">
        <f>IF(D239=1,B239,F238)</f>
        <v>47062</v>
      </c>
      <c r="F239" s="28">
        <f>IF(D239&lt;参数设置!$B$12,DATE(YEAR(EDATE(B239,D239+1)),MONTH(EDATE(B239,D239+1)),参数设置!$B$13),EDATE(B239,参数设置!$B$12))</f>
        <v>47092</v>
      </c>
      <c r="G239" s="20">
        <f>F239-E239</f>
        <v>30</v>
      </c>
      <c r="H239" s="25">
        <f>IF(D239=参数设置!$B$12,C239,0)</f>
        <v>0</v>
      </c>
      <c r="I239" s="25">
        <f>IF(L239=1,ROUND(C239*参数设置!$B$10*G239/参数设置!$B$11,参数设置!$B$14),0)</f>
        <v>64.349999999999994</v>
      </c>
      <c r="J239" s="25">
        <f>H239+I239</f>
        <v>64.349999999999994</v>
      </c>
      <c r="K239" s="28">
        <f>EDATE(B239,参数设置!$B$12)</f>
        <v>47187</v>
      </c>
      <c r="L239" s="20">
        <f>--(A239&lt;=参数设置!$B$6)</f>
        <v>1</v>
      </c>
    </row>
    <row r="240" spans="1:12">
      <c r="A240" s="12">
        <v>20</v>
      </c>
      <c r="B240" s="21">
        <f>EDATE(参数设置!$B$4,A240-1)</f>
        <v>46822</v>
      </c>
      <c r="C240" s="22">
        <f>参数设置!$B$5</f>
        <v>23400</v>
      </c>
      <c r="D240" s="12">
        <v>9</v>
      </c>
      <c r="E240" s="28">
        <f>IF(D240=1,B240,F239)</f>
        <v>47092</v>
      </c>
      <c r="F240" s="28">
        <f>IF(D240&lt;参数设置!$B$12,DATE(YEAR(EDATE(B240,D240+1)),MONTH(EDATE(B240,D240+1)),参数设置!$B$13),EDATE(B240,参数设置!$B$12))</f>
        <v>47123</v>
      </c>
      <c r="G240" s="20">
        <f>F240-E240</f>
        <v>31</v>
      </c>
      <c r="H240" s="25">
        <f>IF(D240=参数设置!$B$12,C240,0)</f>
        <v>0</v>
      </c>
      <c r="I240" s="25">
        <f>IF(L240=1,ROUND(C240*参数设置!$B$10*G240/参数设置!$B$11,参数设置!$B$14),0)</f>
        <v>66.5</v>
      </c>
      <c r="J240" s="25">
        <f>H240+I240</f>
        <v>66.5</v>
      </c>
      <c r="K240" s="28">
        <f>EDATE(B240,参数设置!$B$12)</f>
        <v>47187</v>
      </c>
      <c r="L240" s="20">
        <f>--(A240&lt;=参数设置!$B$6)</f>
        <v>1</v>
      </c>
    </row>
    <row r="241" spans="1:12">
      <c r="A241" s="12">
        <v>20</v>
      </c>
      <c r="B241" s="21">
        <f>EDATE(参数设置!$B$4,A241-1)</f>
        <v>46822</v>
      </c>
      <c r="C241" s="22">
        <f>参数设置!$B$5</f>
        <v>23400</v>
      </c>
      <c r="D241" s="12">
        <v>10</v>
      </c>
      <c r="E241" s="28">
        <f>IF(D241=1,B241,F240)</f>
        <v>47123</v>
      </c>
      <c r="F241" s="28">
        <f>IF(D241&lt;参数设置!$B$12,DATE(YEAR(EDATE(B241,D241+1)),MONTH(EDATE(B241,D241+1)),参数设置!$B$13),EDATE(B241,参数设置!$B$12))</f>
        <v>47154</v>
      </c>
      <c r="G241" s="20">
        <f>F241-E241</f>
        <v>31</v>
      </c>
      <c r="H241" s="25">
        <f>IF(D241=参数设置!$B$12,C241,0)</f>
        <v>0</v>
      </c>
      <c r="I241" s="25">
        <f>IF(L241=1,ROUND(C241*参数设置!$B$10*G241/参数设置!$B$11,参数设置!$B$14),0)</f>
        <v>66.5</v>
      </c>
      <c r="J241" s="25">
        <f>H241+I241</f>
        <v>66.5</v>
      </c>
      <c r="K241" s="28">
        <f>EDATE(B241,参数设置!$B$12)</f>
        <v>47187</v>
      </c>
      <c r="L241" s="20">
        <f>--(A241&lt;=参数设置!$B$6)</f>
        <v>1</v>
      </c>
    </row>
    <row r="242" spans="1:12">
      <c r="A242" s="12">
        <v>20</v>
      </c>
      <c r="B242" s="21">
        <f>EDATE(参数设置!$B$4,A242-1)</f>
        <v>46822</v>
      </c>
      <c r="C242" s="22">
        <f>参数设置!$B$5</f>
        <v>23400</v>
      </c>
      <c r="D242" s="12">
        <v>11</v>
      </c>
      <c r="E242" s="28">
        <f>IF(D242=1,B242,F241)</f>
        <v>47154</v>
      </c>
      <c r="F242" s="28">
        <f>IF(D242&lt;参数设置!$B$12,DATE(YEAR(EDATE(B242,D242+1)),MONTH(EDATE(B242,D242+1)),参数设置!$B$13),EDATE(B242,参数设置!$B$12))</f>
        <v>47182</v>
      </c>
      <c r="G242" s="20">
        <f>F242-E242</f>
        <v>28</v>
      </c>
      <c r="H242" s="25">
        <f>IF(D242=参数设置!$B$12,C242,0)</f>
        <v>0</v>
      </c>
      <c r="I242" s="25">
        <f>IF(L242=1,ROUND(C242*参数设置!$B$10*G242/参数设置!$B$11,参数设置!$B$14),0)</f>
        <v>60.06</v>
      </c>
      <c r="J242" s="25">
        <f>H242+I242</f>
        <v>60.06</v>
      </c>
      <c r="K242" s="28">
        <f>EDATE(B242,参数设置!$B$12)</f>
        <v>47187</v>
      </c>
      <c r="L242" s="20">
        <f>--(A242&lt;=参数设置!$B$6)</f>
        <v>1</v>
      </c>
    </row>
    <row r="243" spans="1:12">
      <c r="A243" s="12">
        <v>20</v>
      </c>
      <c r="B243" s="21">
        <f>EDATE(参数设置!$B$4,A243-1)</f>
        <v>46822</v>
      </c>
      <c r="C243" s="22">
        <f>参数设置!$B$5</f>
        <v>23400</v>
      </c>
      <c r="D243" s="12">
        <v>12</v>
      </c>
      <c r="E243" s="28">
        <f>IF(D243=1,B243,F242)</f>
        <v>47182</v>
      </c>
      <c r="F243" s="28">
        <f>IF(D243&lt;参数设置!$B$12,DATE(YEAR(EDATE(B243,D243+1)),MONTH(EDATE(B243,D243+1)),参数设置!$B$13),EDATE(B243,参数设置!$B$12))</f>
        <v>47187</v>
      </c>
      <c r="G243" s="20">
        <f>F243-E243</f>
        <v>5</v>
      </c>
      <c r="H243" s="25">
        <f>IF(D243=参数设置!$B$12,C243,0)</f>
        <v>23400</v>
      </c>
      <c r="I243" s="25">
        <f>IF(L243=1,ROUND(C243*参数设置!$B$10*G243/参数设置!$B$11,参数设置!$B$14),0)</f>
        <v>10.73</v>
      </c>
      <c r="J243" s="25">
        <f>H243+I243</f>
        <v>23410.73</v>
      </c>
      <c r="K243" s="28">
        <f>EDATE(B243,参数设置!$B$12)</f>
        <v>47187</v>
      </c>
      <c r="L243" s="20">
        <f>--(A243&lt;=参数设置!$B$6)</f>
        <v>1</v>
      </c>
    </row>
    <row r="244" spans="1:12">
      <c r="A244" s="12">
        <v>21</v>
      </c>
      <c r="B244" s="21">
        <f>EDATE(参数设置!$B$4,A244-1)</f>
        <v>46853</v>
      </c>
      <c r="C244" s="22">
        <f>参数设置!$B$5</f>
        <v>23400</v>
      </c>
      <c r="D244" s="12">
        <v>1</v>
      </c>
      <c r="E244" s="28">
        <f>IF(D244=1,B244,F243)</f>
        <v>46853</v>
      </c>
      <c r="F244" s="28">
        <f>IF(D244&lt;参数设置!$B$12,DATE(YEAR(EDATE(B244,D244+1)),MONTH(EDATE(B244,D244+1)),参数设置!$B$13),EDATE(B244,参数设置!$B$12))</f>
        <v>46909</v>
      </c>
      <c r="G244" s="20">
        <f>F244-E244</f>
        <v>56</v>
      </c>
      <c r="H244" s="25">
        <f>IF(D244=参数设置!$B$12,C244,0)</f>
        <v>0</v>
      </c>
      <c r="I244" s="25">
        <f>IF(L244=1,ROUND(C244*参数设置!$B$10*G244/参数设置!$B$11,参数设置!$B$14),0)</f>
        <v>120.12</v>
      </c>
      <c r="J244" s="25">
        <f>H244+I244</f>
        <v>120.12</v>
      </c>
      <c r="K244" s="28">
        <f>EDATE(B244,参数设置!$B$12)</f>
        <v>47218</v>
      </c>
      <c r="L244" s="20">
        <f>--(A244&lt;=参数设置!$B$6)</f>
        <v>1</v>
      </c>
    </row>
    <row r="245" spans="1:12">
      <c r="A245" s="12">
        <v>21</v>
      </c>
      <c r="B245" s="21">
        <f>EDATE(参数设置!$B$4,A245-1)</f>
        <v>46853</v>
      </c>
      <c r="C245" s="22">
        <f>参数设置!$B$5</f>
        <v>23400</v>
      </c>
      <c r="D245" s="12">
        <v>2</v>
      </c>
      <c r="E245" s="28">
        <f>IF(D245=1,B245,F244)</f>
        <v>46909</v>
      </c>
      <c r="F245" s="28">
        <f>IF(D245&lt;参数设置!$B$12,DATE(YEAR(EDATE(B245,D245+1)),MONTH(EDATE(B245,D245+1)),参数设置!$B$13),EDATE(B245,参数设置!$B$12))</f>
        <v>46939</v>
      </c>
      <c r="G245" s="20">
        <f>F245-E245</f>
        <v>30</v>
      </c>
      <c r="H245" s="25">
        <f>IF(D245=参数设置!$B$12,C245,0)</f>
        <v>0</v>
      </c>
      <c r="I245" s="25">
        <f>IF(L245=1,ROUND(C245*参数设置!$B$10*G245/参数设置!$B$11,参数设置!$B$14),0)</f>
        <v>64.349999999999994</v>
      </c>
      <c r="J245" s="25">
        <f>H245+I245</f>
        <v>64.349999999999994</v>
      </c>
      <c r="K245" s="28">
        <f>EDATE(B245,参数设置!$B$12)</f>
        <v>47218</v>
      </c>
      <c r="L245" s="20">
        <f>--(A245&lt;=参数设置!$B$6)</f>
        <v>1</v>
      </c>
    </row>
    <row r="246" spans="1:12">
      <c r="A246" s="12">
        <v>21</v>
      </c>
      <c r="B246" s="21">
        <f>EDATE(参数设置!$B$4,A246-1)</f>
        <v>46853</v>
      </c>
      <c r="C246" s="22">
        <f>参数设置!$B$5</f>
        <v>23400</v>
      </c>
      <c r="D246" s="12">
        <v>3</v>
      </c>
      <c r="E246" s="28">
        <f>IF(D246=1,B246,F245)</f>
        <v>46939</v>
      </c>
      <c r="F246" s="28">
        <f>IF(D246&lt;参数设置!$B$12,DATE(YEAR(EDATE(B246,D246+1)),MONTH(EDATE(B246,D246+1)),参数设置!$B$13),EDATE(B246,参数设置!$B$12))</f>
        <v>46970</v>
      </c>
      <c r="G246" s="20">
        <f>F246-E246</f>
        <v>31</v>
      </c>
      <c r="H246" s="25">
        <f>IF(D246=参数设置!$B$12,C246,0)</f>
        <v>0</v>
      </c>
      <c r="I246" s="25">
        <f>IF(L246=1,ROUND(C246*参数设置!$B$10*G246/参数设置!$B$11,参数设置!$B$14),0)</f>
        <v>66.5</v>
      </c>
      <c r="J246" s="25">
        <f>H246+I246</f>
        <v>66.5</v>
      </c>
      <c r="K246" s="28">
        <f>EDATE(B246,参数设置!$B$12)</f>
        <v>47218</v>
      </c>
      <c r="L246" s="20">
        <f>--(A246&lt;=参数设置!$B$6)</f>
        <v>1</v>
      </c>
    </row>
    <row r="247" spans="1:12">
      <c r="A247" s="12">
        <v>21</v>
      </c>
      <c r="B247" s="21">
        <f>EDATE(参数设置!$B$4,A247-1)</f>
        <v>46853</v>
      </c>
      <c r="C247" s="22">
        <f>参数设置!$B$5</f>
        <v>23400</v>
      </c>
      <c r="D247" s="12">
        <v>4</v>
      </c>
      <c r="E247" s="28">
        <f>IF(D247=1,B247,F246)</f>
        <v>46970</v>
      </c>
      <c r="F247" s="28">
        <f>IF(D247&lt;参数设置!$B$12,DATE(YEAR(EDATE(B247,D247+1)),MONTH(EDATE(B247,D247+1)),参数设置!$B$13),EDATE(B247,参数设置!$B$12))</f>
        <v>47001</v>
      </c>
      <c r="G247" s="20">
        <f>F247-E247</f>
        <v>31</v>
      </c>
      <c r="H247" s="25">
        <f>IF(D247=参数设置!$B$12,C247,0)</f>
        <v>0</v>
      </c>
      <c r="I247" s="25">
        <f>IF(L247=1,ROUND(C247*参数设置!$B$10*G247/参数设置!$B$11,参数设置!$B$14),0)</f>
        <v>66.5</v>
      </c>
      <c r="J247" s="25">
        <f>H247+I247</f>
        <v>66.5</v>
      </c>
      <c r="K247" s="28">
        <f>EDATE(B247,参数设置!$B$12)</f>
        <v>47218</v>
      </c>
      <c r="L247" s="20">
        <f>--(A247&lt;=参数设置!$B$6)</f>
        <v>1</v>
      </c>
    </row>
    <row r="248" spans="1:12">
      <c r="A248" s="12">
        <v>21</v>
      </c>
      <c r="B248" s="21">
        <f>EDATE(参数设置!$B$4,A248-1)</f>
        <v>46853</v>
      </c>
      <c r="C248" s="22">
        <f>参数设置!$B$5</f>
        <v>23400</v>
      </c>
      <c r="D248" s="12">
        <v>5</v>
      </c>
      <c r="E248" s="28">
        <f>IF(D248=1,B248,F247)</f>
        <v>47001</v>
      </c>
      <c r="F248" s="28">
        <f>IF(D248&lt;参数设置!$B$12,DATE(YEAR(EDATE(B248,D248+1)),MONTH(EDATE(B248,D248+1)),参数设置!$B$13),EDATE(B248,参数设置!$B$12))</f>
        <v>47031</v>
      </c>
      <c r="G248" s="20">
        <f>F248-E248</f>
        <v>30</v>
      </c>
      <c r="H248" s="25">
        <f>IF(D248=参数设置!$B$12,C248,0)</f>
        <v>0</v>
      </c>
      <c r="I248" s="25">
        <f>IF(L248=1,ROUND(C248*参数设置!$B$10*G248/参数设置!$B$11,参数设置!$B$14),0)</f>
        <v>64.349999999999994</v>
      </c>
      <c r="J248" s="25">
        <f>H248+I248</f>
        <v>64.349999999999994</v>
      </c>
      <c r="K248" s="28">
        <f>EDATE(B248,参数设置!$B$12)</f>
        <v>47218</v>
      </c>
      <c r="L248" s="20">
        <f>--(A248&lt;=参数设置!$B$6)</f>
        <v>1</v>
      </c>
    </row>
    <row r="249" spans="1:12">
      <c r="A249" s="12">
        <v>21</v>
      </c>
      <c r="B249" s="21">
        <f>EDATE(参数设置!$B$4,A249-1)</f>
        <v>46853</v>
      </c>
      <c r="C249" s="22">
        <f>参数设置!$B$5</f>
        <v>23400</v>
      </c>
      <c r="D249" s="12">
        <v>6</v>
      </c>
      <c r="E249" s="28">
        <f>IF(D249=1,B249,F248)</f>
        <v>47031</v>
      </c>
      <c r="F249" s="28">
        <f>IF(D249&lt;参数设置!$B$12,DATE(YEAR(EDATE(B249,D249+1)),MONTH(EDATE(B249,D249+1)),参数设置!$B$13),EDATE(B249,参数设置!$B$12))</f>
        <v>47062</v>
      </c>
      <c r="G249" s="20">
        <f>F249-E249</f>
        <v>31</v>
      </c>
      <c r="H249" s="25">
        <f>IF(D249=参数设置!$B$12,C249,0)</f>
        <v>0</v>
      </c>
      <c r="I249" s="25">
        <f>IF(L249=1,ROUND(C249*参数设置!$B$10*G249/参数设置!$B$11,参数设置!$B$14),0)</f>
        <v>66.5</v>
      </c>
      <c r="J249" s="25">
        <f>H249+I249</f>
        <v>66.5</v>
      </c>
      <c r="K249" s="28">
        <f>EDATE(B249,参数设置!$B$12)</f>
        <v>47218</v>
      </c>
      <c r="L249" s="20">
        <f>--(A249&lt;=参数设置!$B$6)</f>
        <v>1</v>
      </c>
    </row>
    <row r="250" spans="1:12">
      <c r="A250" s="12">
        <v>21</v>
      </c>
      <c r="B250" s="21">
        <f>EDATE(参数设置!$B$4,A250-1)</f>
        <v>46853</v>
      </c>
      <c r="C250" s="22">
        <f>参数设置!$B$5</f>
        <v>23400</v>
      </c>
      <c r="D250" s="12">
        <v>7</v>
      </c>
      <c r="E250" s="28">
        <f>IF(D250=1,B250,F249)</f>
        <v>47062</v>
      </c>
      <c r="F250" s="28">
        <f>IF(D250&lt;参数设置!$B$12,DATE(YEAR(EDATE(B250,D250+1)),MONTH(EDATE(B250,D250+1)),参数设置!$B$13),EDATE(B250,参数设置!$B$12))</f>
        <v>47092</v>
      </c>
      <c r="G250" s="20">
        <f>F250-E250</f>
        <v>30</v>
      </c>
      <c r="H250" s="25">
        <f>IF(D250=参数设置!$B$12,C250,0)</f>
        <v>0</v>
      </c>
      <c r="I250" s="25">
        <f>IF(L250=1,ROUND(C250*参数设置!$B$10*G250/参数设置!$B$11,参数设置!$B$14),0)</f>
        <v>64.349999999999994</v>
      </c>
      <c r="J250" s="25">
        <f>H250+I250</f>
        <v>64.349999999999994</v>
      </c>
      <c r="K250" s="28">
        <f>EDATE(B250,参数设置!$B$12)</f>
        <v>47218</v>
      </c>
      <c r="L250" s="20">
        <f>--(A250&lt;=参数设置!$B$6)</f>
        <v>1</v>
      </c>
    </row>
    <row r="251" spans="1:12">
      <c r="A251" s="12">
        <v>21</v>
      </c>
      <c r="B251" s="21">
        <f>EDATE(参数设置!$B$4,A251-1)</f>
        <v>46853</v>
      </c>
      <c r="C251" s="22">
        <f>参数设置!$B$5</f>
        <v>23400</v>
      </c>
      <c r="D251" s="12">
        <v>8</v>
      </c>
      <c r="E251" s="28">
        <f>IF(D251=1,B251,F250)</f>
        <v>47092</v>
      </c>
      <c r="F251" s="28">
        <f>IF(D251&lt;参数设置!$B$12,DATE(YEAR(EDATE(B251,D251+1)),MONTH(EDATE(B251,D251+1)),参数设置!$B$13),EDATE(B251,参数设置!$B$12))</f>
        <v>47123</v>
      </c>
      <c r="G251" s="20">
        <f>F251-E251</f>
        <v>31</v>
      </c>
      <c r="H251" s="25">
        <f>IF(D251=参数设置!$B$12,C251,0)</f>
        <v>0</v>
      </c>
      <c r="I251" s="25">
        <f>IF(L251=1,ROUND(C251*参数设置!$B$10*G251/参数设置!$B$11,参数设置!$B$14),0)</f>
        <v>66.5</v>
      </c>
      <c r="J251" s="25">
        <f>H251+I251</f>
        <v>66.5</v>
      </c>
      <c r="K251" s="28">
        <f>EDATE(B251,参数设置!$B$12)</f>
        <v>47218</v>
      </c>
      <c r="L251" s="20">
        <f>--(A251&lt;=参数设置!$B$6)</f>
        <v>1</v>
      </c>
    </row>
    <row r="252" spans="1:12">
      <c r="A252" s="12">
        <v>21</v>
      </c>
      <c r="B252" s="21">
        <f>EDATE(参数设置!$B$4,A252-1)</f>
        <v>46853</v>
      </c>
      <c r="C252" s="22">
        <f>参数设置!$B$5</f>
        <v>23400</v>
      </c>
      <c r="D252" s="12">
        <v>9</v>
      </c>
      <c r="E252" s="28">
        <f>IF(D252=1,B252,F251)</f>
        <v>47123</v>
      </c>
      <c r="F252" s="28">
        <f>IF(D252&lt;参数设置!$B$12,DATE(YEAR(EDATE(B252,D252+1)),MONTH(EDATE(B252,D252+1)),参数设置!$B$13),EDATE(B252,参数设置!$B$12))</f>
        <v>47154</v>
      </c>
      <c r="G252" s="20">
        <f>F252-E252</f>
        <v>31</v>
      </c>
      <c r="H252" s="25">
        <f>IF(D252=参数设置!$B$12,C252,0)</f>
        <v>0</v>
      </c>
      <c r="I252" s="25">
        <f>IF(L252=1,ROUND(C252*参数设置!$B$10*G252/参数设置!$B$11,参数设置!$B$14),0)</f>
        <v>66.5</v>
      </c>
      <c r="J252" s="25">
        <f>H252+I252</f>
        <v>66.5</v>
      </c>
      <c r="K252" s="28">
        <f>EDATE(B252,参数设置!$B$12)</f>
        <v>47218</v>
      </c>
      <c r="L252" s="20">
        <f>--(A252&lt;=参数设置!$B$6)</f>
        <v>1</v>
      </c>
    </row>
    <row r="253" spans="1:12">
      <c r="A253" s="12">
        <v>21</v>
      </c>
      <c r="B253" s="21">
        <f>EDATE(参数设置!$B$4,A253-1)</f>
        <v>46853</v>
      </c>
      <c r="C253" s="22">
        <f>参数设置!$B$5</f>
        <v>23400</v>
      </c>
      <c r="D253" s="12">
        <v>10</v>
      </c>
      <c r="E253" s="28">
        <f>IF(D253=1,B253,F252)</f>
        <v>47154</v>
      </c>
      <c r="F253" s="28">
        <f>IF(D253&lt;参数设置!$B$12,DATE(YEAR(EDATE(B253,D253+1)),MONTH(EDATE(B253,D253+1)),参数设置!$B$13),EDATE(B253,参数设置!$B$12))</f>
        <v>47182</v>
      </c>
      <c r="G253" s="20">
        <f>F253-E253</f>
        <v>28</v>
      </c>
      <c r="H253" s="25">
        <f>IF(D253=参数设置!$B$12,C253,0)</f>
        <v>0</v>
      </c>
      <c r="I253" s="25">
        <f>IF(L253=1,ROUND(C253*参数设置!$B$10*G253/参数设置!$B$11,参数设置!$B$14),0)</f>
        <v>60.06</v>
      </c>
      <c r="J253" s="25">
        <f>H253+I253</f>
        <v>60.06</v>
      </c>
      <c r="K253" s="28">
        <f>EDATE(B253,参数设置!$B$12)</f>
        <v>47218</v>
      </c>
      <c r="L253" s="20">
        <f>--(A253&lt;=参数设置!$B$6)</f>
        <v>1</v>
      </c>
    </row>
    <row r="254" spans="1:12">
      <c r="A254" s="12">
        <v>21</v>
      </c>
      <c r="B254" s="21">
        <f>EDATE(参数设置!$B$4,A254-1)</f>
        <v>46853</v>
      </c>
      <c r="C254" s="22">
        <f>参数设置!$B$5</f>
        <v>23400</v>
      </c>
      <c r="D254" s="12">
        <v>11</v>
      </c>
      <c r="E254" s="28">
        <f>IF(D254=1,B254,F253)</f>
        <v>47182</v>
      </c>
      <c r="F254" s="28">
        <f>IF(D254&lt;参数设置!$B$12,DATE(YEAR(EDATE(B254,D254+1)),MONTH(EDATE(B254,D254+1)),参数设置!$B$13),EDATE(B254,参数设置!$B$12))</f>
        <v>47213</v>
      </c>
      <c r="G254" s="20">
        <f>F254-E254</f>
        <v>31</v>
      </c>
      <c r="H254" s="25">
        <f>IF(D254=参数设置!$B$12,C254,0)</f>
        <v>0</v>
      </c>
      <c r="I254" s="25">
        <f>IF(L254=1,ROUND(C254*参数设置!$B$10*G254/参数设置!$B$11,参数设置!$B$14),0)</f>
        <v>66.5</v>
      </c>
      <c r="J254" s="25">
        <f>H254+I254</f>
        <v>66.5</v>
      </c>
      <c r="K254" s="28">
        <f>EDATE(B254,参数设置!$B$12)</f>
        <v>47218</v>
      </c>
      <c r="L254" s="20">
        <f>--(A254&lt;=参数设置!$B$6)</f>
        <v>1</v>
      </c>
    </row>
    <row r="255" spans="1:12">
      <c r="A255" s="12">
        <v>21</v>
      </c>
      <c r="B255" s="21">
        <f>EDATE(参数设置!$B$4,A255-1)</f>
        <v>46853</v>
      </c>
      <c r="C255" s="22">
        <f>参数设置!$B$5</f>
        <v>23400</v>
      </c>
      <c r="D255" s="12">
        <v>12</v>
      </c>
      <c r="E255" s="28">
        <f>IF(D255=1,B255,F254)</f>
        <v>47213</v>
      </c>
      <c r="F255" s="28">
        <f>IF(D255&lt;参数设置!$B$12,DATE(YEAR(EDATE(B255,D255+1)),MONTH(EDATE(B255,D255+1)),参数设置!$B$13),EDATE(B255,参数设置!$B$12))</f>
        <v>47218</v>
      </c>
      <c r="G255" s="20">
        <f>F255-E255</f>
        <v>5</v>
      </c>
      <c r="H255" s="25">
        <f>IF(D255=参数设置!$B$12,C255,0)</f>
        <v>23400</v>
      </c>
      <c r="I255" s="25">
        <f>IF(L255=1,ROUND(C255*参数设置!$B$10*G255/参数设置!$B$11,参数设置!$B$14),0)</f>
        <v>10.73</v>
      </c>
      <c r="J255" s="25">
        <f>H255+I255</f>
        <v>23410.73</v>
      </c>
      <c r="K255" s="28">
        <f>EDATE(B255,参数设置!$B$12)</f>
        <v>47218</v>
      </c>
      <c r="L255" s="20">
        <f>--(A255&lt;=参数设置!$B$6)</f>
        <v>1</v>
      </c>
    </row>
    <row r="256" spans="1:12">
      <c r="A256" s="12">
        <v>22</v>
      </c>
      <c r="B256" s="21">
        <f>EDATE(参数设置!$B$4,A256-1)</f>
        <v>46883</v>
      </c>
      <c r="C256" s="22">
        <f>参数设置!$B$5</f>
        <v>23400</v>
      </c>
      <c r="D256" s="12">
        <v>1</v>
      </c>
      <c r="E256" s="28">
        <f>IF(D256=1,B256,F255)</f>
        <v>46883</v>
      </c>
      <c r="F256" s="28">
        <f>IF(D256&lt;参数设置!$B$12,DATE(YEAR(EDATE(B256,D256+1)),MONTH(EDATE(B256,D256+1)),参数设置!$B$13),EDATE(B256,参数设置!$B$12))</f>
        <v>46939</v>
      </c>
      <c r="G256" s="20">
        <f>F256-E256</f>
        <v>56</v>
      </c>
      <c r="H256" s="25">
        <f>IF(D256=参数设置!$B$12,C256,0)</f>
        <v>0</v>
      </c>
      <c r="I256" s="25">
        <f>IF(L256=1,ROUND(C256*参数设置!$B$10*G256/参数设置!$B$11,参数设置!$B$14),0)</f>
        <v>120.12</v>
      </c>
      <c r="J256" s="25">
        <f>H256+I256</f>
        <v>120.12</v>
      </c>
      <c r="K256" s="28">
        <f>EDATE(B256,参数设置!$B$12)</f>
        <v>47248</v>
      </c>
      <c r="L256" s="20">
        <f>--(A256&lt;=参数设置!$B$6)</f>
        <v>1</v>
      </c>
    </row>
    <row r="257" spans="1:12">
      <c r="A257" s="12">
        <v>22</v>
      </c>
      <c r="B257" s="21">
        <f>EDATE(参数设置!$B$4,A257-1)</f>
        <v>46883</v>
      </c>
      <c r="C257" s="22">
        <f>参数设置!$B$5</f>
        <v>23400</v>
      </c>
      <c r="D257" s="12">
        <v>2</v>
      </c>
      <c r="E257" s="28">
        <f>IF(D257=1,B257,F256)</f>
        <v>46939</v>
      </c>
      <c r="F257" s="28">
        <f>IF(D257&lt;参数设置!$B$12,DATE(YEAR(EDATE(B257,D257+1)),MONTH(EDATE(B257,D257+1)),参数设置!$B$13),EDATE(B257,参数设置!$B$12))</f>
        <v>46970</v>
      </c>
      <c r="G257" s="20">
        <f>F257-E257</f>
        <v>31</v>
      </c>
      <c r="H257" s="25">
        <f>IF(D257=参数设置!$B$12,C257,0)</f>
        <v>0</v>
      </c>
      <c r="I257" s="25">
        <f>IF(L257=1,ROUND(C257*参数设置!$B$10*G257/参数设置!$B$11,参数设置!$B$14),0)</f>
        <v>66.5</v>
      </c>
      <c r="J257" s="25">
        <f>H257+I257</f>
        <v>66.5</v>
      </c>
      <c r="K257" s="28">
        <f>EDATE(B257,参数设置!$B$12)</f>
        <v>47248</v>
      </c>
      <c r="L257" s="20">
        <f>--(A257&lt;=参数设置!$B$6)</f>
        <v>1</v>
      </c>
    </row>
    <row r="258" spans="1:12">
      <c r="A258" s="12">
        <v>22</v>
      </c>
      <c r="B258" s="21">
        <f>EDATE(参数设置!$B$4,A258-1)</f>
        <v>46883</v>
      </c>
      <c r="C258" s="22">
        <f>参数设置!$B$5</f>
        <v>23400</v>
      </c>
      <c r="D258" s="12">
        <v>3</v>
      </c>
      <c r="E258" s="28">
        <f>IF(D258=1,B258,F257)</f>
        <v>46970</v>
      </c>
      <c r="F258" s="28">
        <f>IF(D258&lt;参数设置!$B$12,DATE(YEAR(EDATE(B258,D258+1)),MONTH(EDATE(B258,D258+1)),参数设置!$B$13),EDATE(B258,参数设置!$B$12))</f>
        <v>47001</v>
      </c>
      <c r="G258" s="20">
        <f>F258-E258</f>
        <v>31</v>
      </c>
      <c r="H258" s="25">
        <f>IF(D258=参数设置!$B$12,C258,0)</f>
        <v>0</v>
      </c>
      <c r="I258" s="25">
        <f>IF(L258=1,ROUND(C258*参数设置!$B$10*G258/参数设置!$B$11,参数设置!$B$14),0)</f>
        <v>66.5</v>
      </c>
      <c r="J258" s="25">
        <f>H258+I258</f>
        <v>66.5</v>
      </c>
      <c r="K258" s="28">
        <f>EDATE(B258,参数设置!$B$12)</f>
        <v>47248</v>
      </c>
      <c r="L258" s="20">
        <f>--(A258&lt;=参数设置!$B$6)</f>
        <v>1</v>
      </c>
    </row>
    <row r="259" spans="1:12">
      <c r="A259" s="12">
        <v>22</v>
      </c>
      <c r="B259" s="21">
        <f>EDATE(参数设置!$B$4,A259-1)</f>
        <v>46883</v>
      </c>
      <c r="C259" s="22">
        <f>参数设置!$B$5</f>
        <v>23400</v>
      </c>
      <c r="D259" s="12">
        <v>4</v>
      </c>
      <c r="E259" s="28">
        <f>IF(D259=1,B259,F258)</f>
        <v>47001</v>
      </c>
      <c r="F259" s="28">
        <f>IF(D259&lt;参数设置!$B$12,DATE(YEAR(EDATE(B259,D259+1)),MONTH(EDATE(B259,D259+1)),参数设置!$B$13),EDATE(B259,参数设置!$B$12))</f>
        <v>47031</v>
      </c>
      <c r="G259" s="20">
        <f>F259-E259</f>
        <v>30</v>
      </c>
      <c r="H259" s="25">
        <f>IF(D259=参数设置!$B$12,C259,0)</f>
        <v>0</v>
      </c>
      <c r="I259" s="25">
        <f>IF(L259=1,ROUND(C259*参数设置!$B$10*G259/参数设置!$B$11,参数设置!$B$14),0)</f>
        <v>64.349999999999994</v>
      </c>
      <c r="J259" s="25">
        <f>H259+I259</f>
        <v>64.349999999999994</v>
      </c>
      <c r="K259" s="28">
        <f>EDATE(B259,参数设置!$B$12)</f>
        <v>47248</v>
      </c>
      <c r="L259" s="20">
        <f>--(A259&lt;=参数设置!$B$6)</f>
        <v>1</v>
      </c>
    </row>
    <row r="260" spans="1:12">
      <c r="A260" s="12">
        <v>22</v>
      </c>
      <c r="B260" s="21">
        <f>EDATE(参数设置!$B$4,A260-1)</f>
        <v>46883</v>
      </c>
      <c r="C260" s="22">
        <f>参数设置!$B$5</f>
        <v>23400</v>
      </c>
      <c r="D260" s="12">
        <v>5</v>
      </c>
      <c r="E260" s="28">
        <f>IF(D260=1,B260,F259)</f>
        <v>47031</v>
      </c>
      <c r="F260" s="28">
        <f>IF(D260&lt;参数设置!$B$12,DATE(YEAR(EDATE(B260,D260+1)),MONTH(EDATE(B260,D260+1)),参数设置!$B$13),EDATE(B260,参数设置!$B$12))</f>
        <v>47062</v>
      </c>
      <c r="G260" s="20">
        <f>F260-E260</f>
        <v>31</v>
      </c>
      <c r="H260" s="25">
        <f>IF(D260=参数设置!$B$12,C260,0)</f>
        <v>0</v>
      </c>
      <c r="I260" s="25">
        <f>IF(L260=1,ROUND(C260*参数设置!$B$10*G260/参数设置!$B$11,参数设置!$B$14),0)</f>
        <v>66.5</v>
      </c>
      <c r="J260" s="25">
        <f>H260+I260</f>
        <v>66.5</v>
      </c>
      <c r="K260" s="28">
        <f>EDATE(B260,参数设置!$B$12)</f>
        <v>47248</v>
      </c>
      <c r="L260" s="20">
        <f>--(A260&lt;=参数设置!$B$6)</f>
        <v>1</v>
      </c>
    </row>
    <row r="261" spans="1:12">
      <c r="A261" s="12">
        <v>22</v>
      </c>
      <c r="B261" s="21">
        <f>EDATE(参数设置!$B$4,A261-1)</f>
        <v>46883</v>
      </c>
      <c r="C261" s="22">
        <f>参数设置!$B$5</f>
        <v>23400</v>
      </c>
      <c r="D261" s="12">
        <v>6</v>
      </c>
      <c r="E261" s="28">
        <f>IF(D261=1,B261,F260)</f>
        <v>47062</v>
      </c>
      <c r="F261" s="28">
        <f>IF(D261&lt;参数设置!$B$12,DATE(YEAR(EDATE(B261,D261+1)),MONTH(EDATE(B261,D261+1)),参数设置!$B$13),EDATE(B261,参数设置!$B$12))</f>
        <v>47092</v>
      </c>
      <c r="G261" s="20">
        <f>F261-E261</f>
        <v>30</v>
      </c>
      <c r="H261" s="25">
        <f>IF(D261=参数设置!$B$12,C261,0)</f>
        <v>0</v>
      </c>
      <c r="I261" s="25">
        <f>IF(L261=1,ROUND(C261*参数设置!$B$10*G261/参数设置!$B$11,参数设置!$B$14),0)</f>
        <v>64.349999999999994</v>
      </c>
      <c r="J261" s="25">
        <f>H261+I261</f>
        <v>64.349999999999994</v>
      </c>
      <c r="K261" s="28">
        <f>EDATE(B261,参数设置!$B$12)</f>
        <v>47248</v>
      </c>
      <c r="L261" s="20">
        <f>--(A261&lt;=参数设置!$B$6)</f>
        <v>1</v>
      </c>
    </row>
    <row r="262" spans="1:12">
      <c r="A262" s="12">
        <v>22</v>
      </c>
      <c r="B262" s="21">
        <f>EDATE(参数设置!$B$4,A262-1)</f>
        <v>46883</v>
      </c>
      <c r="C262" s="22">
        <f>参数设置!$B$5</f>
        <v>23400</v>
      </c>
      <c r="D262" s="12">
        <v>7</v>
      </c>
      <c r="E262" s="28">
        <f>IF(D262=1,B262,F261)</f>
        <v>47092</v>
      </c>
      <c r="F262" s="28">
        <f>IF(D262&lt;参数设置!$B$12,DATE(YEAR(EDATE(B262,D262+1)),MONTH(EDATE(B262,D262+1)),参数设置!$B$13),EDATE(B262,参数设置!$B$12))</f>
        <v>47123</v>
      </c>
      <c r="G262" s="20">
        <f>F262-E262</f>
        <v>31</v>
      </c>
      <c r="H262" s="25">
        <f>IF(D262=参数设置!$B$12,C262,0)</f>
        <v>0</v>
      </c>
      <c r="I262" s="25">
        <f>IF(L262=1,ROUND(C262*参数设置!$B$10*G262/参数设置!$B$11,参数设置!$B$14),0)</f>
        <v>66.5</v>
      </c>
      <c r="J262" s="25">
        <f>H262+I262</f>
        <v>66.5</v>
      </c>
      <c r="K262" s="28">
        <f>EDATE(B262,参数设置!$B$12)</f>
        <v>47248</v>
      </c>
      <c r="L262" s="20">
        <f>--(A262&lt;=参数设置!$B$6)</f>
        <v>1</v>
      </c>
    </row>
    <row r="263" spans="1:12">
      <c r="A263" s="12">
        <v>22</v>
      </c>
      <c r="B263" s="21">
        <f>EDATE(参数设置!$B$4,A263-1)</f>
        <v>46883</v>
      </c>
      <c r="C263" s="22">
        <f>参数设置!$B$5</f>
        <v>23400</v>
      </c>
      <c r="D263" s="12">
        <v>8</v>
      </c>
      <c r="E263" s="28">
        <f>IF(D263=1,B263,F262)</f>
        <v>47123</v>
      </c>
      <c r="F263" s="28">
        <f>IF(D263&lt;参数设置!$B$12,DATE(YEAR(EDATE(B263,D263+1)),MONTH(EDATE(B263,D263+1)),参数设置!$B$13),EDATE(B263,参数设置!$B$12))</f>
        <v>47154</v>
      </c>
      <c r="G263" s="20">
        <f>F263-E263</f>
        <v>31</v>
      </c>
      <c r="H263" s="25">
        <f>IF(D263=参数设置!$B$12,C263,0)</f>
        <v>0</v>
      </c>
      <c r="I263" s="25">
        <f>IF(L263=1,ROUND(C263*参数设置!$B$10*G263/参数设置!$B$11,参数设置!$B$14),0)</f>
        <v>66.5</v>
      </c>
      <c r="J263" s="25">
        <f>H263+I263</f>
        <v>66.5</v>
      </c>
      <c r="K263" s="28">
        <f>EDATE(B263,参数设置!$B$12)</f>
        <v>47248</v>
      </c>
      <c r="L263" s="20">
        <f>--(A263&lt;=参数设置!$B$6)</f>
        <v>1</v>
      </c>
    </row>
    <row r="264" spans="1:12">
      <c r="A264" s="12">
        <v>22</v>
      </c>
      <c r="B264" s="21">
        <f>EDATE(参数设置!$B$4,A264-1)</f>
        <v>46883</v>
      </c>
      <c r="C264" s="22">
        <f>参数设置!$B$5</f>
        <v>23400</v>
      </c>
      <c r="D264" s="12">
        <v>9</v>
      </c>
      <c r="E264" s="28">
        <f>IF(D264=1,B264,F263)</f>
        <v>47154</v>
      </c>
      <c r="F264" s="28">
        <f>IF(D264&lt;参数设置!$B$12,DATE(YEAR(EDATE(B264,D264+1)),MONTH(EDATE(B264,D264+1)),参数设置!$B$13),EDATE(B264,参数设置!$B$12))</f>
        <v>47182</v>
      </c>
      <c r="G264" s="20">
        <f>F264-E264</f>
        <v>28</v>
      </c>
      <c r="H264" s="25">
        <f>IF(D264=参数设置!$B$12,C264,0)</f>
        <v>0</v>
      </c>
      <c r="I264" s="25">
        <f>IF(L264=1,ROUND(C264*参数设置!$B$10*G264/参数设置!$B$11,参数设置!$B$14),0)</f>
        <v>60.06</v>
      </c>
      <c r="J264" s="25">
        <f>H264+I264</f>
        <v>60.06</v>
      </c>
      <c r="K264" s="28">
        <f>EDATE(B264,参数设置!$B$12)</f>
        <v>47248</v>
      </c>
      <c r="L264" s="20">
        <f>--(A264&lt;=参数设置!$B$6)</f>
        <v>1</v>
      </c>
    </row>
    <row r="265" spans="1:12">
      <c r="A265" s="12">
        <v>22</v>
      </c>
      <c r="B265" s="21">
        <f>EDATE(参数设置!$B$4,A265-1)</f>
        <v>46883</v>
      </c>
      <c r="C265" s="22">
        <f>参数设置!$B$5</f>
        <v>23400</v>
      </c>
      <c r="D265" s="12">
        <v>10</v>
      </c>
      <c r="E265" s="28">
        <f>IF(D265=1,B265,F264)</f>
        <v>47182</v>
      </c>
      <c r="F265" s="28">
        <f>IF(D265&lt;参数设置!$B$12,DATE(YEAR(EDATE(B265,D265+1)),MONTH(EDATE(B265,D265+1)),参数设置!$B$13),EDATE(B265,参数设置!$B$12))</f>
        <v>47213</v>
      </c>
      <c r="G265" s="20">
        <f>F265-E265</f>
        <v>31</v>
      </c>
      <c r="H265" s="25">
        <f>IF(D265=参数设置!$B$12,C265,0)</f>
        <v>0</v>
      </c>
      <c r="I265" s="25">
        <f>IF(L265=1,ROUND(C265*参数设置!$B$10*G265/参数设置!$B$11,参数设置!$B$14),0)</f>
        <v>66.5</v>
      </c>
      <c r="J265" s="25">
        <f>H265+I265</f>
        <v>66.5</v>
      </c>
      <c r="K265" s="28">
        <f>EDATE(B265,参数设置!$B$12)</f>
        <v>47248</v>
      </c>
      <c r="L265" s="20">
        <f>--(A265&lt;=参数设置!$B$6)</f>
        <v>1</v>
      </c>
    </row>
    <row r="266" spans="1:12">
      <c r="A266" s="12">
        <v>22</v>
      </c>
      <c r="B266" s="21">
        <f>EDATE(参数设置!$B$4,A266-1)</f>
        <v>46883</v>
      </c>
      <c r="C266" s="22">
        <f>参数设置!$B$5</f>
        <v>23400</v>
      </c>
      <c r="D266" s="12">
        <v>11</v>
      </c>
      <c r="E266" s="28">
        <f>IF(D266=1,B266,F265)</f>
        <v>47213</v>
      </c>
      <c r="F266" s="28">
        <f>IF(D266&lt;参数设置!$B$12,DATE(YEAR(EDATE(B266,D266+1)),MONTH(EDATE(B266,D266+1)),参数设置!$B$13),EDATE(B266,参数设置!$B$12))</f>
        <v>47243</v>
      </c>
      <c r="G266" s="20">
        <f>F266-E266</f>
        <v>30</v>
      </c>
      <c r="H266" s="25">
        <f>IF(D266=参数设置!$B$12,C266,0)</f>
        <v>0</v>
      </c>
      <c r="I266" s="25">
        <f>IF(L266=1,ROUND(C266*参数设置!$B$10*G266/参数设置!$B$11,参数设置!$B$14),0)</f>
        <v>64.349999999999994</v>
      </c>
      <c r="J266" s="25">
        <f>H266+I266</f>
        <v>64.349999999999994</v>
      </c>
      <c r="K266" s="28">
        <f>EDATE(B266,参数设置!$B$12)</f>
        <v>47248</v>
      </c>
      <c r="L266" s="20">
        <f>--(A266&lt;=参数设置!$B$6)</f>
        <v>1</v>
      </c>
    </row>
    <row r="267" spans="1:12">
      <c r="A267" s="12">
        <v>22</v>
      </c>
      <c r="B267" s="21">
        <f>EDATE(参数设置!$B$4,A267-1)</f>
        <v>46883</v>
      </c>
      <c r="C267" s="22">
        <f>参数设置!$B$5</f>
        <v>23400</v>
      </c>
      <c r="D267" s="12">
        <v>12</v>
      </c>
      <c r="E267" s="28">
        <f>IF(D267=1,B267,F266)</f>
        <v>47243</v>
      </c>
      <c r="F267" s="28">
        <f>IF(D267&lt;参数设置!$B$12,DATE(YEAR(EDATE(B267,D267+1)),MONTH(EDATE(B267,D267+1)),参数设置!$B$13),EDATE(B267,参数设置!$B$12))</f>
        <v>47248</v>
      </c>
      <c r="G267" s="20">
        <f>F267-E267</f>
        <v>5</v>
      </c>
      <c r="H267" s="25">
        <f>IF(D267=参数设置!$B$12,C267,0)</f>
        <v>23400</v>
      </c>
      <c r="I267" s="25">
        <f>IF(L267=1,ROUND(C267*参数设置!$B$10*G267/参数设置!$B$11,参数设置!$B$14),0)</f>
        <v>10.73</v>
      </c>
      <c r="J267" s="25">
        <f>H267+I267</f>
        <v>23410.73</v>
      </c>
      <c r="K267" s="28">
        <f>EDATE(B267,参数设置!$B$12)</f>
        <v>47248</v>
      </c>
      <c r="L267" s="20">
        <f>--(A267&lt;=参数设置!$B$6)</f>
        <v>1</v>
      </c>
    </row>
    <row r="268" spans="1:12">
      <c r="A268" s="12">
        <v>23</v>
      </c>
      <c r="B268" s="21">
        <f>EDATE(参数设置!$B$4,A268-1)</f>
        <v>46914</v>
      </c>
      <c r="C268" s="22">
        <f>参数设置!$B$5</f>
        <v>23400</v>
      </c>
      <c r="D268" s="12">
        <v>1</v>
      </c>
      <c r="E268" s="28">
        <f>IF(D268=1,B268,F267)</f>
        <v>46914</v>
      </c>
      <c r="F268" s="28">
        <f>IF(D268&lt;参数设置!$B$12,DATE(YEAR(EDATE(B268,D268+1)),MONTH(EDATE(B268,D268+1)),参数设置!$B$13),EDATE(B268,参数设置!$B$12))</f>
        <v>46970</v>
      </c>
      <c r="G268" s="20">
        <f>F268-E268</f>
        <v>56</v>
      </c>
      <c r="H268" s="25">
        <f>IF(D268=参数设置!$B$12,C268,0)</f>
        <v>0</v>
      </c>
      <c r="I268" s="25">
        <f>IF(L268=1,ROUND(C268*参数设置!$B$10*G268/参数设置!$B$11,参数设置!$B$14),0)</f>
        <v>120.12</v>
      </c>
      <c r="J268" s="25">
        <f>H268+I268</f>
        <v>120.12</v>
      </c>
      <c r="K268" s="28">
        <f>EDATE(B268,参数设置!$B$12)</f>
        <v>47279</v>
      </c>
      <c r="L268" s="20">
        <f>--(A268&lt;=参数设置!$B$6)</f>
        <v>1</v>
      </c>
    </row>
    <row r="269" spans="1:12">
      <c r="A269" s="12">
        <v>23</v>
      </c>
      <c r="B269" s="21">
        <f>EDATE(参数设置!$B$4,A269-1)</f>
        <v>46914</v>
      </c>
      <c r="C269" s="22">
        <f>参数设置!$B$5</f>
        <v>23400</v>
      </c>
      <c r="D269" s="12">
        <v>2</v>
      </c>
      <c r="E269" s="28">
        <f>IF(D269=1,B269,F268)</f>
        <v>46970</v>
      </c>
      <c r="F269" s="28">
        <f>IF(D269&lt;参数设置!$B$12,DATE(YEAR(EDATE(B269,D269+1)),MONTH(EDATE(B269,D269+1)),参数设置!$B$13),EDATE(B269,参数设置!$B$12))</f>
        <v>47001</v>
      </c>
      <c r="G269" s="20">
        <f>F269-E269</f>
        <v>31</v>
      </c>
      <c r="H269" s="25">
        <f>IF(D269=参数设置!$B$12,C269,0)</f>
        <v>0</v>
      </c>
      <c r="I269" s="25">
        <f>IF(L269=1,ROUND(C269*参数设置!$B$10*G269/参数设置!$B$11,参数设置!$B$14),0)</f>
        <v>66.5</v>
      </c>
      <c r="J269" s="25">
        <f>H269+I269</f>
        <v>66.5</v>
      </c>
      <c r="K269" s="28">
        <f>EDATE(B269,参数设置!$B$12)</f>
        <v>47279</v>
      </c>
      <c r="L269" s="20">
        <f>--(A269&lt;=参数设置!$B$6)</f>
        <v>1</v>
      </c>
    </row>
    <row r="270" spans="1:12">
      <c r="A270" s="12">
        <v>23</v>
      </c>
      <c r="B270" s="21">
        <f>EDATE(参数设置!$B$4,A270-1)</f>
        <v>46914</v>
      </c>
      <c r="C270" s="22">
        <f>参数设置!$B$5</f>
        <v>23400</v>
      </c>
      <c r="D270" s="12">
        <v>3</v>
      </c>
      <c r="E270" s="28">
        <f>IF(D270=1,B270,F269)</f>
        <v>47001</v>
      </c>
      <c r="F270" s="28">
        <f>IF(D270&lt;参数设置!$B$12,DATE(YEAR(EDATE(B270,D270+1)),MONTH(EDATE(B270,D270+1)),参数设置!$B$13),EDATE(B270,参数设置!$B$12))</f>
        <v>47031</v>
      </c>
      <c r="G270" s="20">
        <f>F270-E270</f>
        <v>30</v>
      </c>
      <c r="H270" s="25">
        <f>IF(D270=参数设置!$B$12,C270,0)</f>
        <v>0</v>
      </c>
      <c r="I270" s="25">
        <f>IF(L270=1,ROUND(C270*参数设置!$B$10*G270/参数设置!$B$11,参数设置!$B$14),0)</f>
        <v>64.349999999999994</v>
      </c>
      <c r="J270" s="25">
        <f>H270+I270</f>
        <v>64.349999999999994</v>
      </c>
      <c r="K270" s="28">
        <f>EDATE(B270,参数设置!$B$12)</f>
        <v>47279</v>
      </c>
      <c r="L270" s="20">
        <f>--(A270&lt;=参数设置!$B$6)</f>
        <v>1</v>
      </c>
    </row>
    <row r="271" spans="1:12">
      <c r="A271" s="12">
        <v>23</v>
      </c>
      <c r="B271" s="21">
        <f>EDATE(参数设置!$B$4,A271-1)</f>
        <v>46914</v>
      </c>
      <c r="C271" s="22">
        <f>参数设置!$B$5</f>
        <v>23400</v>
      </c>
      <c r="D271" s="12">
        <v>4</v>
      </c>
      <c r="E271" s="28">
        <f>IF(D271=1,B271,F270)</f>
        <v>47031</v>
      </c>
      <c r="F271" s="28">
        <f>IF(D271&lt;参数设置!$B$12,DATE(YEAR(EDATE(B271,D271+1)),MONTH(EDATE(B271,D271+1)),参数设置!$B$13),EDATE(B271,参数设置!$B$12))</f>
        <v>47062</v>
      </c>
      <c r="G271" s="20">
        <f>F271-E271</f>
        <v>31</v>
      </c>
      <c r="H271" s="25">
        <f>IF(D271=参数设置!$B$12,C271,0)</f>
        <v>0</v>
      </c>
      <c r="I271" s="25">
        <f>IF(L271=1,ROUND(C271*参数设置!$B$10*G271/参数设置!$B$11,参数设置!$B$14),0)</f>
        <v>66.5</v>
      </c>
      <c r="J271" s="25">
        <f>H271+I271</f>
        <v>66.5</v>
      </c>
      <c r="K271" s="28">
        <f>EDATE(B271,参数设置!$B$12)</f>
        <v>47279</v>
      </c>
      <c r="L271" s="20">
        <f>--(A271&lt;=参数设置!$B$6)</f>
        <v>1</v>
      </c>
    </row>
    <row r="272" spans="1:12">
      <c r="A272" s="12">
        <v>23</v>
      </c>
      <c r="B272" s="21">
        <f>EDATE(参数设置!$B$4,A272-1)</f>
        <v>46914</v>
      </c>
      <c r="C272" s="22">
        <f>参数设置!$B$5</f>
        <v>23400</v>
      </c>
      <c r="D272" s="12">
        <v>5</v>
      </c>
      <c r="E272" s="28">
        <f>IF(D272=1,B272,F271)</f>
        <v>47062</v>
      </c>
      <c r="F272" s="28">
        <f>IF(D272&lt;参数设置!$B$12,DATE(YEAR(EDATE(B272,D272+1)),MONTH(EDATE(B272,D272+1)),参数设置!$B$13),EDATE(B272,参数设置!$B$12))</f>
        <v>47092</v>
      </c>
      <c r="G272" s="20">
        <f>F272-E272</f>
        <v>30</v>
      </c>
      <c r="H272" s="25">
        <f>IF(D272=参数设置!$B$12,C272,0)</f>
        <v>0</v>
      </c>
      <c r="I272" s="25">
        <f>IF(L272=1,ROUND(C272*参数设置!$B$10*G272/参数设置!$B$11,参数设置!$B$14),0)</f>
        <v>64.349999999999994</v>
      </c>
      <c r="J272" s="25">
        <f>H272+I272</f>
        <v>64.349999999999994</v>
      </c>
      <c r="K272" s="28">
        <f>EDATE(B272,参数设置!$B$12)</f>
        <v>47279</v>
      </c>
      <c r="L272" s="20">
        <f>--(A272&lt;=参数设置!$B$6)</f>
        <v>1</v>
      </c>
    </row>
    <row r="273" spans="1:12">
      <c r="A273" s="12">
        <v>23</v>
      </c>
      <c r="B273" s="21">
        <f>EDATE(参数设置!$B$4,A273-1)</f>
        <v>46914</v>
      </c>
      <c r="C273" s="22">
        <f>参数设置!$B$5</f>
        <v>23400</v>
      </c>
      <c r="D273" s="12">
        <v>6</v>
      </c>
      <c r="E273" s="28">
        <f>IF(D273=1,B273,F272)</f>
        <v>47092</v>
      </c>
      <c r="F273" s="28">
        <f>IF(D273&lt;参数设置!$B$12,DATE(YEAR(EDATE(B273,D273+1)),MONTH(EDATE(B273,D273+1)),参数设置!$B$13),EDATE(B273,参数设置!$B$12))</f>
        <v>47123</v>
      </c>
      <c r="G273" s="20">
        <f>F273-E273</f>
        <v>31</v>
      </c>
      <c r="H273" s="25">
        <f>IF(D273=参数设置!$B$12,C273,0)</f>
        <v>0</v>
      </c>
      <c r="I273" s="25">
        <f>IF(L273=1,ROUND(C273*参数设置!$B$10*G273/参数设置!$B$11,参数设置!$B$14),0)</f>
        <v>66.5</v>
      </c>
      <c r="J273" s="25">
        <f>H273+I273</f>
        <v>66.5</v>
      </c>
      <c r="K273" s="28">
        <f>EDATE(B273,参数设置!$B$12)</f>
        <v>47279</v>
      </c>
      <c r="L273" s="20">
        <f>--(A273&lt;=参数设置!$B$6)</f>
        <v>1</v>
      </c>
    </row>
    <row r="274" spans="1:12">
      <c r="A274" s="12">
        <v>23</v>
      </c>
      <c r="B274" s="21">
        <f>EDATE(参数设置!$B$4,A274-1)</f>
        <v>46914</v>
      </c>
      <c r="C274" s="22">
        <f>参数设置!$B$5</f>
        <v>23400</v>
      </c>
      <c r="D274" s="12">
        <v>7</v>
      </c>
      <c r="E274" s="28">
        <f>IF(D274=1,B274,F273)</f>
        <v>47123</v>
      </c>
      <c r="F274" s="28">
        <f>IF(D274&lt;参数设置!$B$12,DATE(YEAR(EDATE(B274,D274+1)),MONTH(EDATE(B274,D274+1)),参数设置!$B$13),EDATE(B274,参数设置!$B$12))</f>
        <v>47154</v>
      </c>
      <c r="G274" s="20">
        <f>F274-E274</f>
        <v>31</v>
      </c>
      <c r="H274" s="25">
        <f>IF(D274=参数设置!$B$12,C274,0)</f>
        <v>0</v>
      </c>
      <c r="I274" s="25">
        <f>IF(L274=1,ROUND(C274*参数设置!$B$10*G274/参数设置!$B$11,参数设置!$B$14),0)</f>
        <v>66.5</v>
      </c>
      <c r="J274" s="25">
        <f>H274+I274</f>
        <v>66.5</v>
      </c>
      <c r="K274" s="28">
        <f>EDATE(B274,参数设置!$B$12)</f>
        <v>47279</v>
      </c>
      <c r="L274" s="20">
        <f>--(A274&lt;=参数设置!$B$6)</f>
        <v>1</v>
      </c>
    </row>
    <row r="275" spans="1:12">
      <c r="A275" s="12">
        <v>23</v>
      </c>
      <c r="B275" s="21">
        <f>EDATE(参数设置!$B$4,A275-1)</f>
        <v>46914</v>
      </c>
      <c r="C275" s="22">
        <f>参数设置!$B$5</f>
        <v>23400</v>
      </c>
      <c r="D275" s="12">
        <v>8</v>
      </c>
      <c r="E275" s="28">
        <f>IF(D275=1,B275,F274)</f>
        <v>47154</v>
      </c>
      <c r="F275" s="28">
        <f>IF(D275&lt;参数设置!$B$12,DATE(YEAR(EDATE(B275,D275+1)),MONTH(EDATE(B275,D275+1)),参数设置!$B$13),EDATE(B275,参数设置!$B$12))</f>
        <v>47182</v>
      </c>
      <c r="G275" s="20">
        <f>F275-E275</f>
        <v>28</v>
      </c>
      <c r="H275" s="25">
        <f>IF(D275=参数设置!$B$12,C275,0)</f>
        <v>0</v>
      </c>
      <c r="I275" s="25">
        <f>IF(L275=1,ROUND(C275*参数设置!$B$10*G275/参数设置!$B$11,参数设置!$B$14),0)</f>
        <v>60.06</v>
      </c>
      <c r="J275" s="25">
        <f>H275+I275</f>
        <v>60.06</v>
      </c>
      <c r="K275" s="28">
        <f>EDATE(B275,参数设置!$B$12)</f>
        <v>47279</v>
      </c>
      <c r="L275" s="20">
        <f>--(A275&lt;=参数设置!$B$6)</f>
        <v>1</v>
      </c>
    </row>
    <row r="276" spans="1:12">
      <c r="A276" s="12">
        <v>23</v>
      </c>
      <c r="B276" s="21">
        <f>EDATE(参数设置!$B$4,A276-1)</f>
        <v>46914</v>
      </c>
      <c r="C276" s="22">
        <f>参数设置!$B$5</f>
        <v>23400</v>
      </c>
      <c r="D276" s="12">
        <v>9</v>
      </c>
      <c r="E276" s="28">
        <f>IF(D276=1,B276,F275)</f>
        <v>47182</v>
      </c>
      <c r="F276" s="28">
        <f>IF(D276&lt;参数设置!$B$12,DATE(YEAR(EDATE(B276,D276+1)),MONTH(EDATE(B276,D276+1)),参数设置!$B$13),EDATE(B276,参数设置!$B$12))</f>
        <v>47213</v>
      </c>
      <c r="G276" s="20">
        <f>F276-E276</f>
        <v>31</v>
      </c>
      <c r="H276" s="25">
        <f>IF(D276=参数设置!$B$12,C276,0)</f>
        <v>0</v>
      </c>
      <c r="I276" s="25">
        <f>IF(L276=1,ROUND(C276*参数设置!$B$10*G276/参数设置!$B$11,参数设置!$B$14),0)</f>
        <v>66.5</v>
      </c>
      <c r="J276" s="25">
        <f>H276+I276</f>
        <v>66.5</v>
      </c>
      <c r="K276" s="28">
        <f>EDATE(B276,参数设置!$B$12)</f>
        <v>47279</v>
      </c>
      <c r="L276" s="20">
        <f>--(A276&lt;=参数设置!$B$6)</f>
        <v>1</v>
      </c>
    </row>
    <row r="277" spans="1:12">
      <c r="A277" s="12">
        <v>23</v>
      </c>
      <c r="B277" s="21">
        <f>EDATE(参数设置!$B$4,A277-1)</f>
        <v>46914</v>
      </c>
      <c r="C277" s="22">
        <f>参数设置!$B$5</f>
        <v>23400</v>
      </c>
      <c r="D277" s="12">
        <v>10</v>
      </c>
      <c r="E277" s="28">
        <f>IF(D277=1,B277,F276)</f>
        <v>47213</v>
      </c>
      <c r="F277" s="28">
        <f>IF(D277&lt;参数设置!$B$12,DATE(YEAR(EDATE(B277,D277+1)),MONTH(EDATE(B277,D277+1)),参数设置!$B$13),EDATE(B277,参数设置!$B$12))</f>
        <v>47243</v>
      </c>
      <c r="G277" s="20">
        <f>F277-E277</f>
        <v>30</v>
      </c>
      <c r="H277" s="25">
        <f>IF(D277=参数设置!$B$12,C277,0)</f>
        <v>0</v>
      </c>
      <c r="I277" s="25">
        <f>IF(L277=1,ROUND(C277*参数设置!$B$10*G277/参数设置!$B$11,参数设置!$B$14),0)</f>
        <v>64.349999999999994</v>
      </c>
      <c r="J277" s="25">
        <f>H277+I277</f>
        <v>64.349999999999994</v>
      </c>
      <c r="K277" s="28">
        <f>EDATE(B277,参数设置!$B$12)</f>
        <v>47279</v>
      </c>
      <c r="L277" s="20">
        <f>--(A277&lt;=参数设置!$B$6)</f>
        <v>1</v>
      </c>
    </row>
    <row r="278" spans="1:12">
      <c r="A278" s="12">
        <v>23</v>
      </c>
      <c r="B278" s="21">
        <f>EDATE(参数设置!$B$4,A278-1)</f>
        <v>46914</v>
      </c>
      <c r="C278" s="22">
        <f>参数设置!$B$5</f>
        <v>23400</v>
      </c>
      <c r="D278" s="12">
        <v>11</v>
      </c>
      <c r="E278" s="28">
        <f>IF(D278=1,B278,F277)</f>
        <v>47243</v>
      </c>
      <c r="F278" s="28">
        <f>IF(D278&lt;参数设置!$B$12,DATE(YEAR(EDATE(B278,D278+1)),MONTH(EDATE(B278,D278+1)),参数设置!$B$13),EDATE(B278,参数设置!$B$12))</f>
        <v>47274</v>
      </c>
      <c r="G278" s="20">
        <f>F278-E278</f>
        <v>31</v>
      </c>
      <c r="H278" s="25">
        <f>IF(D278=参数设置!$B$12,C278,0)</f>
        <v>0</v>
      </c>
      <c r="I278" s="25">
        <f>IF(L278=1,ROUND(C278*参数设置!$B$10*G278/参数设置!$B$11,参数设置!$B$14),0)</f>
        <v>66.5</v>
      </c>
      <c r="J278" s="25">
        <f>H278+I278</f>
        <v>66.5</v>
      </c>
      <c r="K278" s="28">
        <f>EDATE(B278,参数设置!$B$12)</f>
        <v>47279</v>
      </c>
      <c r="L278" s="20">
        <f>--(A278&lt;=参数设置!$B$6)</f>
        <v>1</v>
      </c>
    </row>
    <row r="279" spans="1:12">
      <c r="A279" s="12">
        <v>23</v>
      </c>
      <c r="B279" s="21">
        <f>EDATE(参数设置!$B$4,A279-1)</f>
        <v>46914</v>
      </c>
      <c r="C279" s="22">
        <f>参数设置!$B$5</f>
        <v>23400</v>
      </c>
      <c r="D279" s="12">
        <v>12</v>
      </c>
      <c r="E279" s="28">
        <f>IF(D279=1,B279,F278)</f>
        <v>47274</v>
      </c>
      <c r="F279" s="28">
        <f>IF(D279&lt;参数设置!$B$12,DATE(YEAR(EDATE(B279,D279+1)),MONTH(EDATE(B279,D279+1)),参数设置!$B$13),EDATE(B279,参数设置!$B$12))</f>
        <v>47279</v>
      </c>
      <c r="G279" s="20">
        <f>F279-E279</f>
        <v>5</v>
      </c>
      <c r="H279" s="25">
        <f>IF(D279=参数设置!$B$12,C279,0)</f>
        <v>23400</v>
      </c>
      <c r="I279" s="25">
        <f>IF(L279=1,ROUND(C279*参数设置!$B$10*G279/参数设置!$B$11,参数设置!$B$14),0)</f>
        <v>10.73</v>
      </c>
      <c r="J279" s="25">
        <f>H279+I279</f>
        <v>23410.73</v>
      </c>
      <c r="K279" s="28">
        <f>EDATE(B279,参数设置!$B$12)</f>
        <v>47279</v>
      </c>
      <c r="L279" s="20">
        <f>--(A279&lt;=参数设置!$B$6)</f>
        <v>1</v>
      </c>
    </row>
    <row r="280" spans="1:12">
      <c r="A280" s="12">
        <v>24</v>
      </c>
      <c r="B280" s="21">
        <f>EDATE(参数设置!$B$4,A280-1)</f>
        <v>46944</v>
      </c>
      <c r="C280" s="22">
        <f>参数设置!$B$5</f>
        <v>23400</v>
      </c>
      <c r="D280" s="12">
        <v>1</v>
      </c>
      <c r="E280" s="28">
        <f>IF(D280=1,B280,F279)</f>
        <v>46944</v>
      </c>
      <c r="F280" s="28">
        <f>IF(D280&lt;参数设置!$B$12,DATE(YEAR(EDATE(B280,D280+1)),MONTH(EDATE(B280,D280+1)),参数设置!$B$13),EDATE(B280,参数设置!$B$12))</f>
        <v>47001</v>
      </c>
      <c r="G280" s="20">
        <f>F280-E280</f>
        <v>57</v>
      </c>
      <c r="H280" s="25">
        <f>IF(D280=参数设置!$B$12,C280,0)</f>
        <v>0</v>
      </c>
      <c r="I280" s="25">
        <f>IF(L280=1,ROUND(C280*参数设置!$B$10*G280/参数设置!$B$11,参数设置!$B$14),0)</f>
        <v>122.27</v>
      </c>
      <c r="J280" s="25">
        <f>H280+I280</f>
        <v>122.27</v>
      </c>
      <c r="K280" s="28">
        <f>EDATE(B280,参数设置!$B$12)</f>
        <v>47309</v>
      </c>
      <c r="L280" s="20">
        <f>--(A280&lt;=参数设置!$B$6)</f>
        <v>1</v>
      </c>
    </row>
    <row r="281" spans="1:12">
      <c r="A281" s="12">
        <v>24</v>
      </c>
      <c r="B281" s="21">
        <f>EDATE(参数设置!$B$4,A281-1)</f>
        <v>46944</v>
      </c>
      <c r="C281" s="22">
        <f>参数设置!$B$5</f>
        <v>23400</v>
      </c>
      <c r="D281" s="12">
        <v>2</v>
      </c>
      <c r="E281" s="28">
        <f>IF(D281=1,B281,F280)</f>
        <v>47001</v>
      </c>
      <c r="F281" s="28">
        <f>IF(D281&lt;参数设置!$B$12,DATE(YEAR(EDATE(B281,D281+1)),MONTH(EDATE(B281,D281+1)),参数设置!$B$13),EDATE(B281,参数设置!$B$12))</f>
        <v>47031</v>
      </c>
      <c r="G281" s="20">
        <f>F281-E281</f>
        <v>30</v>
      </c>
      <c r="H281" s="25">
        <f>IF(D281=参数设置!$B$12,C281,0)</f>
        <v>0</v>
      </c>
      <c r="I281" s="25">
        <f>IF(L281=1,ROUND(C281*参数设置!$B$10*G281/参数设置!$B$11,参数设置!$B$14),0)</f>
        <v>64.349999999999994</v>
      </c>
      <c r="J281" s="25">
        <f>H281+I281</f>
        <v>64.349999999999994</v>
      </c>
      <c r="K281" s="28">
        <f>EDATE(B281,参数设置!$B$12)</f>
        <v>47309</v>
      </c>
      <c r="L281" s="20">
        <f>--(A281&lt;=参数设置!$B$6)</f>
        <v>1</v>
      </c>
    </row>
    <row r="282" spans="1:12">
      <c r="A282" s="12">
        <v>24</v>
      </c>
      <c r="B282" s="21">
        <f>EDATE(参数设置!$B$4,A282-1)</f>
        <v>46944</v>
      </c>
      <c r="C282" s="22">
        <f>参数设置!$B$5</f>
        <v>23400</v>
      </c>
      <c r="D282" s="12">
        <v>3</v>
      </c>
      <c r="E282" s="28">
        <f>IF(D282=1,B282,F281)</f>
        <v>47031</v>
      </c>
      <c r="F282" s="28">
        <f>IF(D282&lt;参数设置!$B$12,DATE(YEAR(EDATE(B282,D282+1)),MONTH(EDATE(B282,D282+1)),参数设置!$B$13),EDATE(B282,参数设置!$B$12))</f>
        <v>47062</v>
      </c>
      <c r="G282" s="20">
        <f>F282-E282</f>
        <v>31</v>
      </c>
      <c r="H282" s="25">
        <f>IF(D282=参数设置!$B$12,C282,0)</f>
        <v>0</v>
      </c>
      <c r="I282" s="25">
        <f>IF(L282=1,ROUND(C282*参数设置!$B$10*G282/参数设置!$B$11,参数设置!$B$14),0)</f>
        <v>66.5</v>
      </c>
      <c r="J282" s="25">
        <f>H282+I282</f>
        <v>66.5</v>
      </c>
      <c r="K282" s="28">
        <f>EDATE(B282,参数设置!$B$12)</f>
        <v>47309</v>
      </c>
      <c r="L282" s="20">
        <f>--(A282&lt;=参数设置!$B$6)</f>
        <v>1</v>
      </c>
    </row>
    <row r="283" spans="1:12">
      <c r="A283" s="12">
        <v>24</v>
      </c>
      <c r="B283" s="21">
        <f>EDATE(参数设置!$B$4,A283-1)</f>
        <v>46944</v>
      </c>
      <c r="C283" s="22">
        <f>参数设置!$B$5</f>
        <v>23400</v>
      </c>
      <c r="D283" s="12">
        <v>4</v>
      </c>
      <c r="E283" s="28">
        <f>IF(D283=1,B283,F282)</f>
        <v>47062</v>
      </c>
      <c r="F283" s="28">
        <f>IF(D283&lt;参数设置!$B$12,DATE(YEAR(EDATE(B283,D283+1)),MONTH(EDATE(B283,D283+1)),参数设置!$B$13),EDATE(B283,参数设置!$B$12))</f>
        <v>47092</v>
      </c>
      <c r="G283" s="20">
        <f>F283-E283</f>
        <v>30</v>
      </c>
      <c r="H283" s="25">
        <f>IF(D283=参数设置!$B$12,C283,0)</f>
        <v>0</v>
      </c>
      <c r="I283" s="25">
        <f>IF(L283=1,ROUND(C283*参数设置!$B$10*G283/参数设置!$B$11,参数设置!$B$14),0)</f>
        <v>64.349999999999994</v>
      </c>
      <c r="J283" s="25">
        <f>H283+I283</f>
        <v>64.349999999999994</v>
      </c>
      <c r="K283" s="28">
        <f>EDATE(B283,参数设置!$B$12)</f>
        <v>47309</v>
      </c>
      <c r="L283" s="20">
        <f>--(A283&lt;=参数设置!$B$6)</f>
        <v>1</v>
      </c>
    </row>
    <row r="284" spans="1:12">
      <c r="A284" s="12">
        <v>24</v>
      </c>
      <c r="B284" s="21">
        <f>EDATE(参数设置!$B$4,A284-1)</f>
        <v>46944</v>
      </c>
      <c r="C284" s="22">
        <f>参数设置!$B$5</f>
        <v>23400</v>
      </c>
      <c r="D284" s="12">
        <v>5</v>
      </c>
      <c r="E284" s="28">
        <f>IF(D284=1,B284,F283)</f>
        <v>47092</v>
      </c>
      <c r="F284" s="28">
        <f>IF(D284&lt;参数设置!$B$12,DATE(YEAR(EDATE(B284,D284+1)),MONTH(EDATE(B284,D284+1)),参数设置!$B$13),EDATE(B284,参数设置!$B$12))</f>
        <v>47123</v>
      </c>
      <c r="G284" s="20">
        <f>F284-E284</f>
        <v>31</v>
      </c>
      <c r="H284" s="25">
        <f>IF(D284=参数设置!$B$12,C284,0)</f>
        <v>0</v>
      </c>
      <c r="I284" s="25">
        <f>IF(L284=1,ROUND(C284*参数设置!$B$10*G284/参数设置!$B$11,参数设置!$B$14),0)</f>
        <v>66.5</v>
      </c>
      <c r="J284" s="25">
        <f>H284+I284</f>
        <v>66.5</v>
      </c>
      <c r="K284" s="28">
        <f>EDATE(B284,参数设置!$B$12)</f>
        <v>47309</v>
      </c>
      <c r="L284" s="20">
        <f>--(A284&lt;=参数设置!$B$6)</f>
        <v>1</v>
      </c>
    </row>
    <row r="285" spans="1:12">
      <c r="A285" s="12">
        <v>24</v>
      </c>
      <c r="B285" s="21">
        <f>EDATE(参数设置!$B$4,A285-1)</f>
        <v>46944</v>
      </c>
      <c r="C285" s="22">
        <f>参数设置!$B$5</f>
        <v>23400</v>
      </c>
      <c r="D285" s="12">
        <v>6</v>
      </c>
      <c r="E285" s="28">
        <f>IF(D285=1,B285,F284)</f>
        <v>47123</v>
      </c>
      <c r="F285" s="28">
        <f>IF(D285&lt;参数设置!$B$12,DATE(YEAR(EDATE(B285,D285+1)),MONTH(EDATE(B285,D285+1)),参数设置!$B$13),EDATE(B285,参数设置!$B$12))</f>
        <v>47154</v>
      </c>
      <c r="G285" s="20">
        <f>F285-E285</f>
        <v>31</v>
      </c>
      <c r="H285" s="25">
        <f>IF(D285=参数设置!$B$12,C285,0)</f>
        <v>0</v>
      </c>
      <c r="I285" s="25">
        <f>IF(L285=1,ROUND(C285*参数设置!$B$10*G285/参数设置!$B$11,参数设置!$B$14),0)</f>
        <v>66.5</v>
      </c>
      <c r="J285" s="25">
        <f>H285+I285</f>
        <v>66.5</v>
      </c>
      <c r="K285" s="28">
        <f>EDATE(B285,参数设置!$B$12)</f>
        <v>47309</v>
      </c>
      <c r="L285" s="20">
        <f>--(A285&lt;=参数设置!$B$6)</f>
        <v>1</v>
      </c>
    </row>
    <row r="286" spans="1:12">
      <c r="A286" s="12">
        <v>24</v>
      </c>
      <c r="B286" s="21">
        <f>EDATE(参数设置!$B$4,A286-1)</f>
        <v>46944</v>
      </c>
      <c r="C286" s="22">
        <f>参数设置!$B$5</f>
        <v>23400</v>
      </c>
      <c r="D286" s="12">
        <v>7</v>
      </c>
      <c r="E286" s="28">
        <f>IF(D286=1,B286,F285)</f>
        <v>47154</v>
      </c>
      <c r="F286" s="28">
        <f>IF(D286&lt;参数设置!$B$12,DATE(YEAR(EDATE(B286,D286+1)),MONTH(EDATE(B286,D286+1)),参数设置!$B$13),EDATE(B286,参数设置!$B$12))</f>
        <v>47182</v>
      </c>
      <c r="G286" s="20">
        <f>F286-E286</f>
        <v>28</v>
      </c>
      <c r="H286" s="25">
        <f>IF(D286=参数设置!$B$12,C286,0)</f>
        <v>0</v>
      </c>
      <c r="I286" s="25">
        <f>IF(L286=1,ROUND(C286*参数设置!$B$10*G286/参数设置!$B$11,参数设置!$B$14),0)</f>
        <v>60.06</v>
      </c>
      <c r="J286" s="25">
        <f>H286+I286</f>
        <v>60.06</v>
      </c>
      <c r="K286" s="28">
        <f>EDATE(B286,参数设置!$B$12)</f>
        <v>47309</v>
      </c>
      <c r="L286" s="20">
        <f>--(A286&lt;=参数设置!$B$6)</f>
        <v>1</v>
      </c>
    </row>
    <row r="287" spans="1:12">
      <c r="A287" s="12">
        <v>24</v>
      </c>
      <c r="B287" s="21">
        <f>EDATE(参数设置!$B$4,A287-1)</f>
        <v>46944</v>
      </c>
      <c r="C287" s="22">
        <f>参数设置!$B$5</f>
        <v>23400</v>
      </c>
      <c r="D287" s="12">
        <v>8</v>
      </c>
      <c r="E287" s="28">
        <f>IF(D287=1,B287,F286)</f>
        <v>47182</v>
      </c>
      <c r="F287" s="28">
        <f>IF(D287&lt;参数设置!$B$12,DATE(YEAR(EDATE(B287,D287+1)),MONTH(EDATE(B287,D287+1)),参数设置!$B$13),EDATE(B287,参数设置!$B$12))</f>
        <v>47213</v>
      </c>
      <c r="G287" s="20">
        <f>F287-E287</f>
        <v>31</v>
      </c>
      <c r="H287" s="25">
        <f>IF(D287=参数设置!$B$12,C287,0)</f>
        <v>0</v>
      </c>
      <c r="I287" s="25">
        <f>IF(L287=1,ROUND(C287*参数设置!$B$10*G287/参数设置!$B$11,参数设置!$B$14),0)</f>
        <v>66.5</v>
      </c>
      <c r="J287" s="25">
        <f>H287+I287</f>
        <v>66.5</v>
      </c>
      <c r="K287" s="28">
        <f>EDATE(B287,参数设置!$B$12)</f>
        <v>47309</v>
      </c>
      <c r="L287" s="20">
        <f>--(A287&lt;=参数设置!$B$6)</f>
        <v>1</v>
      </c>
    </row>
    <row r="288" spans="1:12">
      <c r="A288" s="12">
        <v>24</v>
      </c>
      <c r="B288" s="21">
        <f>EDATE(参数设置!$B$4,A288-1)</f>
        <v>46944</v>
      </c>
      <c r="C288" s="22">
        <f>参数设置!$B$5</f>
        <v>23400</v>
      </c>
      <c r="D288" s="12">
        <v>9</v>
      </c>
      <c r="E288" s="28">
        <f>IF(D288=1,B288,F287)</f>
        <v>47213</v>
      </c>
      <c r="F288" s="28">
        <f>IF(D288&lt;参数设置!$B$12,DATE(YEAR(EDATE(B288,D288+1)),MONTH(EDATE(B288,D288+1)),参数设置!$B$13),EDATE(B288,参数设置!$B$12))</f>
        <v>47243</v>
      </c>
      <c r="G288" s="20">
        <f>F288-E288</f>
        <v>30</v>
      </c>
      <c r="H288" s="25">
        <f>IF(D288=参数设置!$B$12,C288,0)</f>
        <v>0</v>
      </c>
      <c r="I288" s="25">
        <f>IF(L288=1,ROUND(C288*参数设置!$B$10*G288/参数设置!$B$11,参数设置!$B$14),0)</f>
        <v>64.349999999999994</v>
      </c>
      <c r="J288" s="25">
        <f>H288+I288</f>
        <v>64.349999999999994</v>
      </c>
      <c r="K288" s="28">
        <f>EDATE(B288,参数设置!$B$12)</f>
        <v>47309</v>
      </c>
      <c r="L288" s="20">
        <f>--(A288&lt;=参数设置!$B$6)</f>
        <v>1</v>
      </c>
    </row>
    <row r="289" spans="1:12">
      <c r="A289" s="12">
        <v>24</v>
      </c>
      <c r="B289" s="21">
        <f>EDATE(参数设置!$B$4,A289-1)</f>
        <v>46944</v>
      </c>
      <c r="C289" s="22">
        <f>参数设置!$B$5</f>
        <v>23400</v>
      </c>
      <c r="D289" s="12">
        <v>10</v>
      </c>
      <c r="E289" s="28">
        <f>IF(D289=1,B289,F288)</f>
        <v>47243</v>
      </c>
      <c r="F289" s="28">
        <f>IF(D289&lt;参数设置!$B$12,DATE(YEAR(EDATE(B289,D289+1)),MONTH(EDATE(B289,D289+1)),参数设置!$B$13),EDATE(B289,参数设置!$B$12))</f>
        <v>47274</v>
      </c>
      <c r="G289" s="20">
        <f>F289-E289</f>
        <v>31</v>
      </c>
      <c r="H289" s="25">
        <f>IF(D289=参数设置!$B$12,C289,0)</f>
        <v>0</v>
      </c>
      <c r="I289" s="25">
        <f>IF(L289=1,ROUND(C289*参数设置!$B$10*G289/参数设置!$B$11,参数设置!$B$14),0)</f>
        <v>66.5</v>
      </c>
      <c r="J289" s="25">
        <f>H289+I289</f>
        <v>66.5</v>
      </c>
      <c r="K289" s="28">
        <f>EDATE(B289,参数设置!$B$12)</f>
        <v>47309</v>
      </c>
      <c r="L289" s="20">
        <f>--(A289&lt;=参数设置!$B$6)</f>
        <v>1</v>
      </c>
    </row>
    <row r="290" spans="1:12">
      <c r="A290" s="12">
        <v>24</v>
      </c>
      <c r="B290" s="21">
        <f>EDATE(参数设置!$B$4,A290-1)</f>
        <v>46944</v>
      </c>
      <c r="C290" s="22">
        <f>参数设置!$B$5</f>
        <v>23400</v>
      </c>
      <c r="D290" s="12">
        <v>11</v>
      </c>
      <c r="E290" s="28">
        <f>IF(D290=1,B290,F289)</f>
        <v>47274</v>
      </c>
      <c r="F290" s="28">
        <f>IF(D290&lt;参数设置!$B$12,DATE(YEAR(EDATE(B290,D290+1)),MONTH(EDATE(B290,D290+1)),参数设置!$B$13),EDATE(B290,参数设置!$B$12))</f>
        <v>47304</v>
      </c>
      <c r="G290" s="20">
        <f>F290-E290</f>
        <v>30</v>
      </c>
      <c r="H290" s="25">
        <f>IF(D290=参数设置!$B$12,C290,0)</f>
        <v>0</v>
      </c>
      <c r="I290" s="25">
        <f>IF(L290=1,ROUND(C290*参数设置!$B$10*G290/参数设置!$B$11,参数设置!$B$14),0)</f>
        <v>64.349999999999994</v>
      </c>
      <c r="J290" s="25">
        <f>H290+I290</f>
        <v>64.349999999999994</v>
      </c>
      <c r="K290" s="28">
        <f>EDATE(B290,参数设置!$B$12)</f>
        <v>47309</v>
      </c>
      <c r="L290" s="20">
        <f>--(A290&lt;=参数设置!$B$6)</f>
        <v>1</v>
      </c>
    </row>
    <row r="291" spans="1:12">
      <c r="A291" s="12">
        <v>24</v>
      </c>
      <c r="B291" s="21">
        <f>EDATE(参数设置!$B$4,A291-1)</f>
        <v>46944</v>
      </c>
      <c r="C291" s="22">
        <f>参数设置!$B$5</f>
        <v>23400</v>
      </c>
      <c r="D291" s="12">
        <v>12</v>
      </c>
      <c r="E291" s="28">
        <f>IF(D291=1,B291,F290)</f>
        <v>47304</v>
      </c>
      <c r="F291" s="28">
        <f>IF(D291&lt;参数设置!$B$12,DATE(YEAR(EDATE(B291,D291+1)),MONTH(EDATE(B291,D291+1)),参数设置!$B$13),EDATE(B291,参数设置!$B$12))</f>
        <v>47309</v>
      </c>
      <c r="G291" s="20">
        <f>F291-E291</f>
        <v>5</v>
      </c>
      <c r="H291" s="25">
        <f>IF(D291=参数设置!$B$12,C291,0)</f>
        <v>23400</v>
      </c>
      <c r="I291" s="25">
        <f>IF(L291=1,ROUND(C291*参数设置!$B$10*G291/参数设置!$B$11,参数设置!$B$14),0)</f>
        <v>10.73</v>
      </c>
      <c r="J291" s="25">
        <f>H291+I291</f>
        <v>23410.73</v>
      </c>
      <c r="K291" s="28">
        <f>EDATE(B291,参数设置!$B$12)</f>
        <v>47309</v>
      </c>
      <c r="L291" s="20">
        <f>--(A291&lt;=参数设置!$B$6)</f>
        <v>1</v>
      </c>
    </row>
    <row r="292" spans="1:12">
      <c r="A292" s="12">
        <v>25</v>
      </c>
      <c r="B292" s="21">
        <f>EDATE(参数设置!$B$4,A292-1)</f>
        <v>46975</v>
      </c>
      <c r="C292" s="22">
        <f>参数设置!$B$5</f>
        <v>23400</v>
      </c>
      <c r="D292" s="12">
        <v>1</v>
      </c>
      <c r="E292" s="28">
        <f>IF(D292=1,B292,F291)</f>
        <v>46975</v>
      </c>
      <c r="F292" s="28">
        <f>IF(D292&lt;参数设置!$B$12,DATE(YEAR(EDATE(B292,D292+1)),MONTH(EDATE(B292,D292+1)),参数设置!$B$13),EDATE(B292,参数设置!$B$12))</f>
        <v>47031</v>
      </c>
      <c r="G292" s="20">
        <f>F292-E292</f>
        <v>56</v>
      </c>
      <c r="H292" s="25">
        <f>IF(D292=参数设置!$B$12,C292,0)</f>
        <v>0</v>
      </c>
      <c r="I292" s="25">
        <f>IF(L292=1,ROUND(C292*参数设置!$B$10*G292/参数设置!$B$11,参数设置!$B$14),0)</f>
        <v>0</v>
      </c>
      <c r="J292" s="25">
        <f>H292+I292</f>
        <v>0</v>
      </c>
      <c r="K292" s="28">
        <f>EDATE(B292,参数设置!$B$12)</f>
        <v>47340</v>
      </c>
      <c r="L292" s="20">
        <f>--(A292&lt;=参数设置!$B$6)</f>
        <v>0</v>
      </c>
    </row>
    <row r="293" spans="1:12">
      <c r="A293" s="12">
        <v>25</v>
      </c>
      <c r="B293" s="21">
        <f>EDATE(参数设置!$B$4,A293-1)</f>
        <v>46975</v>
      </c>
      <c r="C293" s="22">
        <f>参数设置!$B$5</f>
        <v>23400</v>
      </c>
      <c r="D293" s="12">
        <v>2</v>
      </c>
      <c r="E293" s="28">
        <f>IF(D293=1,B293,F292)</f>
        <v>47031</v>
      </c>
      <c r="F293" s="28">
        <f>IF(D293&lt;参数设置!$B$12,DATE(YEAR(EDATE(B293,D293+1)),MONTH(EDATE(B293,D293+1)),参数设置!$B$13),EDATE(B293,参数设置!$B$12))</f>
        <v>47062</v>
      </c>
      <c r="G293" s="20">
        <f>F293-E293</f>
        <v>31</v>
      </c>
      <c r="H293" s="25">
        <f>IF(D293=参数设置!$B$12,C293,0)</f>
        <v>0</v>
      </c>
      <c r="I293" s="25">
        <f>IF(L293=1,ROUND(C293*参数设置!$B$10*G293/参数设置!$B$11,参数设置!$B$14),0)</f>
        <v>0</v>
      </c>
      <c r="J293" s="25">
        <f>H293+I293</f>
        <v>0</v>
      </c>
      <c r="K293" s="28">
        <f>EDATE(B293,参数设置!$B$12)</f>
        <v>47340</v>
      </c>
      <c r="L293" s="20">
        <f>--(A293&lt;=参数设置!$B$6)</f>
        <v>0</v>
      </c>
    </row>
    <row r="294" spans="1:12">
      <c r="A294" s="12">
        <v>25</v>
      </c>
      <c r="B294" s="21">
        <f>EDATE(参数设置!$B$4,A294-1)</f>
        <v>46975</v>
      </c>
      <c r="C294" s="22">
        <f>参数设置!$B$5</f>
        <v>23400</v>
      </c>
      <c r="D294" s="12">
        <v>3</v>
      </c>
      <c r="E294" s="28">
        <f>IF(D294=1,B294,F293)</f>
        <v>47062</v>
      </c>
      <c r="F294" s="28">
        <f>IF(D294&lt;参数设置!$B$12,DATE(YEAR(EDATE(B294,D294+1)),MONTH(EDATE(B294,D294+1)),参数设置!$B$13),EDATE(B294,参数设置!$B$12))</f>
        <v>47092</v>
      </c>
      <c r="G294" s="20">
        <f>F294-E294</f>
        <v>30</v>
      </c>
      <c r="H294" s="25">
        <f>IF(D294=参数设置!$B$12,C294,0)</f>
        <v>0</v>
      </c>
      <c r="I294" s="25">
        <f>IF(L294=1,ROUND(C294*参数设置!$B$10*G294/参数设置!$B$11,参数设置!$B$14),0)</f>
        <v>0</v>
      </c>
      <c r="J294" s="25">
        <f>H294+I294</f>
        <v>0</v>
      </c>
      <c r="K294" s="28">
        <f>EDATE(B294,参数设置!$B$12)</f>
        <v>47340</v>
      </c>
      <c r="L294" s="20">
        <f>--(A294&lt;=参数设置!$B$6)</f>
        <v>0</v>
      </c>
    </row>
    <row r="295" spans="1:12">
      <c r="A295" s="12">
        <v>25</v>
      </c>
      <c r="B295" s="21">
        <f>EDATE(参数设置!$B$4,A295-1)</f>
        <v>46975</v>
      </c>
      <c r="C295" s="22">
        <f>参数设置!$B$5</f>
        <v>23400</v>
      </c>
      <c r="D295" s="12">
        <v>4</v>
      </c>
      <c r="E295" s="28">
        <f>IF(D295=1,B295,F294)</f>
        <v>47092</v>
      </c>
      <c r="F295" s="28">
        <f>IF(D295&lt;参数设置!$B$12,DATE(YEAR(EDATE(B295,D295+1)),MONTH(EDATE(B295,D295+1)),参数设置!$B$13),EDATE(B295,参数设置!$B$12))</f>
        <v>47123</v>
      </c>
      <c r="G295" s="20">
        <f>F295-E295</f>
        <v>31</v>
      </c>
      <c r="H295" s="25">
        <f>IF(D295=参数设置!$B$12,C295,0)</f>
        <v>0</v>
      </c>
      <c r="I295" s="25">
        <f>IF(L295=1,ROUND(C295*参数设置!$B$10*G295/参数设置!$B$11,参数设置!$B$14),0)</f>
        <v>0</v>
      </c>
      <c r="J295" s="25">
        <f>H295+I295</f>
        <v>0</v>
      </c>
      <c r="K295" s="28">
        <f>EDATE(B295,参数设置!$B$12)</f>
        <v>47340</v>
      </c>
      <c r="L295" s="20">
        <f>--(A295&lt;=参数设置!$B$6)</f>
        <v>0</v>
      </c>
    </row>
    <row r="296" spans="1:12">
      <c r="A296" s="12">
        <v>25</v>
      </c>
      <c r="B296" s="21">
        <f>EDATE(参数设置!$B$4,A296-1)</f>
        <v>46975</v>
      </c>
      <c r="C296" s="22">
        <f>参数设置!$B$5</f>
        <v>23400</v>
      </c>
      <c r="D296" s="12">
        <v>5</v>
      </c>
      <c r="E296" s="28">
        <f>IF(D296=1,B296,F295)</f>
        <v>47123</v>
      </c>
      <c r="F296" s="28">
        <f>IF(D296&lt;参数设置!$B$12,DATE(YEAR(EDATE(B296,D296+1)),MONTH(EDATE(B296,D296+1)),参数设置!$B$13),EDATE(B296,参数设置!$B$12))</f>
        <v>47154</v>
      </c>
      <c r="G296" s="20">
        <f>F296-E296</f>
        <v>31</v>
      </c>
      <c r="H296" s="25">
        <f>IF(D296=参数设置!$B$12,C296,0)</f>
        <v>0</v>
      </c>
      <c r="I296" s="25">
        <f>IF(L296=1,ROUND(C296*参数设置!$B$10*G296/参数设置!$B$11,参数设置!$B$14),0)</f>
        <v>0</v>
      </c>
      <c r="J296" s="25">
        <f>H296+I296</f>
        <v>0</v>
      </c>
      <c r="K296" s="28">
        <f>EDATE(B296,参数设置!$B$12)</f>
        <v>47340</v>
      </c>
      <c r="L296" s="20">
        <f>--(A296&lt;=参数设置!$B$6)</f>
        <v>0</v>
      </c>
    </row>
    <row r="297" spans="1:12">
      <c r="A297" s="12">
        <v>25</v>
      </c>
      <c r="B297" s="21">
        <f>EDATE(参数设置!$B$4,A297-1)</f>
        <v>46975</v>
      </c>
      <c r="C297" s="22">
        <f>参数设置!$B$5</f>
        <v>23400</v>
      </c>
      <c r="D297" s="12">
        <v>6</v>
      </c>
      <c r="E297" s="28">
        <f>IF(D297=1,B297,F296)</f>
        <v>47154</v>
      </c>
      <c r="F297" s="28">
        <f>IF(D297&lt;参数设置!$B$12,DATE(YEAR(EDATE(B297,D297+1)),MONTH(EDATE(B297,D297+1)),参数设置!$B$13),EDATE(B297,参数设置!$B$12))</f>
        <v>47182</v>
      </c>
      <c r="G297" s="20">
        <f>F297-E297</f>
        <v>28</v>
      </c>
      <c r="H297" s="25">
        <f>IF(D297=参数设置!$B$12,C297,0)</f>
        <v>0</v>
      </c>
      <c r="I297" s="25">
        <f>IF(L297=1,ROUND(C297*参数设置!$B$10*G297/参数设置!$B$11,参数设置!$B$14),0)</f>
        <v>0</v>
      </c>
      <c r="J297" s="25">
        <f>H297+I297</f>
        <v>0</v>
      </c>
      <c r="K297" s="28">
        <f>EDATE(B297,参数设置!$B$12)</f>
        <v>47340</v>
      </c>
      <c r="L297" s="20">
        <f>--(A297&lt;=参数设置!$B$6)</f>
        <v>0</v>
      </c>
    </row>
    <row r="298" spans="1:12">
      <c r="A298" s="12">
        <v>25</v>
      </c>
      <c r="B298" s="21">
        <f>EDATE(参数设置!$B$4,A298-1)</f>
        <v>46975</v>
      </c>
      <c r="C298" s="22">
        <f>参数设置!$B$5</f>
        <v>23400</v>
      </c>
      <c r="D298" s="12">
        <v>7</v>
      </c>
      <c r="E298" s="28">
        <f>IF(D298=1,B298,F297)</f>
        <v>47182</v>
      </c>
      <c r="F298" s="28">
        <f>IF(D298&lt;参数设置!$B$12,DATE(YEAR(EDATE(B298,D298+1)),MONTH(EDATE(B298,D298+1)),参数设置!$B$13),EDATE(B298,参数设置!$B$12))</f>
        <v>47213</v>
      </c>
      <c r="G298" s="20">
        <f>F298-E298</f>
        <v>31</v>
      </c>
      <c r="H298" s="25">
        <f>IF(D298=参数设置!$B$12,C298,0)</f>
        <v>0</v>
      </c>
      <c r="I298" s="25">
        <f>IF(L298=1,ROUND(C298*参数设置!$B$10*G298/参数设置!$B$11,参数设置!$B$14),0)</f>
        <v>0</v>
      </c>
      <c r="J298" s="25">
        <f>H298+I298</f>
        <v>0</v>
      </c>
      <c r="K298" s="28">
        <f>EDATE(B298,参数设置!$B$12)</f>
        <v>47340</v>
      </c>
      <c r="L298" s="20">
        <f>--(A298&lt;=参数设置!$B$6)</f>
        <v>0</v>
      </c>
    </row>
    <row r="299" spans="1:12">
      <c r="A299" s="12">
        <v>25</v>
      </c>
      <c r="B299" s="21">
        <f>EDATE(参数设置!$B$4,A299-1)</f>
        <v>46975</v>
      </c>
      <c r="C299" s="22">
        <f>参数设置!$B$5</f>
        <v>23400</v>
      </c>
      <c r="D299" s="12">
        <v>8</v>
      </c>
      <c r="E299" s="28">
        <f>IF(D299=1,B299,F298)</f>
        <v>47213</v>
      </c>
      <c r="F299" s="28">
        <f>IF(D299&lt;参数设置!$B$12,DATE(YEAR(EDATE(B299,D299+1)),MONTH(EDATE(B299,D299+1)),参数设置!$B$13),EDATE(B299,参数设置!$B$12))</f>
        <v>47243</v>
      </c>
      <c r="G299" s="20">
        <f>F299-E299</f>
        <v>30</v>
      </c>
      <c r="H299" s="25">
        <f>IF(D299=参数设置!$B$12,C299,0)</f>
        <v>0</v>
      </c>
      <c r="I299" s="25">
        <f>IF(L299=1,ROUND(C299*参数设置!$B$10*G299/参数设置!$B$11,参数设置!$B$14),0)</f>
        <v>0</v>
      </c>
      <c r="J299" s="25">
        <f>H299+I299</f>
        <v>0</v>
      </c>
      <c r="K299" s="28">
        <f>EDATE(B299,参数设置!$B$12)</f>
        <v>47340</v>
      </c>
      <c r="L299" s="20">
        <f>--(A299&lt;=参数设置!$B$6)</f>
        <v>0</v>
      </c>
    </row>
    <row r="300" spans="1:12">
      <c r="A300" s="12">
        <v>25</v>
      </c>
      <c r="B300" s="21">
        <f>EDATE(参数设置!$B$4,A300-1)</f>
        <v>46975</v>
      </c>
      <c r="C300" s="22">
        <f>参数设置!$B$5</f>
        <v>23400</v>
      </c>
      <c r="D300" s="12">
        <v>9</v>
      </c>
      <c r="E300" s="28">
        <f>IF(D300=1,B300,F299)</f>
        <v>47243</v>
      </c>
      <c r="F300" s="28">
        <f>IF(D300&lt;参数设置!$B$12,DATE(YEAR(EDATE(B300,D300+1)),MONTH(EDATE(B300,D300+1)),参数设置!$B$13),EDATE(B300,参数设置!$B$12))</f>
        <v>47274</v>
      </c>
      <c r="G300" s="20">
        <f>F300-E300</f>
        <v>31</v>
      </c>
      <c r="H300" s="25">
        <f>IF(D300=参数设置!$B$12,C300,0)</f>
        <v>0</v>
      </c>
      <c r="I300" s="25">
        <f>IF(L300=1,ROUND(C300*参数设置!$B$10*G300/参数设置!$B$11,参数设置!$B$14),0)</f>
        <v>0</v>
      </c>
      <c r="J300" s="25">
        <f>H300+I300</f>
        <v>0</v>
      </c>
      <c r="K300" s="28">
        <f>EDATE(B300,参数设置!$B$12)</f>
        <v>47340</v>
      </c>
      <c r="L300" s="20">
        <f>--(A300&lt;=参数设置!$B$6)</f>
        <v>0</v>
      </c>
    </row>
    <row r="301" spans="1:12">
      <c r="A301" s="12">
        <v>25</v>
      </c>
      <c r="B301" s="21">
        <f>EDATE(参数设置!$B$4,A301-1)</f>
        <v>46975</v>
      </c>
      <c r="C301" s="22">
        <f>参数设置!$B$5</f>
        <v>23400</v>
      </c>
      <c r="D301" s="12">
        <v>10</v>
      </c>
      <c r="E301" s="28">
        <f>IF(D301=1,B301,F300)</f>
        <v>47274</v>
      </c>
      <c r="F301" s="28">
        <f>IF(D301&lt;参数设置!$B$12,DATE(YEAR(EDATE(B301,D301+1)),MONTH(EDATE(B301,D301+1)),参数设置!$B$13),EDATE(B301,参数设置!$B$12))</f>
        <v>47304</v>
      </c>
      <c r="G301" s="20">
        <f>F301-E301</f>
        <v>30</v>
      </c>
      <c r="H301" s="25">
        <f>IF(D301=参数设置!$B$12,C301,0)</f>
        <v>0</v>
      </c>
      <c r="I301" s="25">
        <f>IF(L301=1,ROUND(C301*参数设置!$B$10*G301/参数设置!$B$11,参数设置!$B$14),0)</f>
        <v>0</v>
      </c>
      <c r="J301" s="25">
        <f>H301+I301</f>
        <v>0</v>
      </c>
      <c r="K301" s="28">
        <f>EDATE(B301,参数设置!$B$12)</f>
        <v>47340</v>
      </c>
      <c r="L301" s="20">
        <f>--(A301&lt;=参数设置!$B$6)</f>
        <v>0</v>
      </c>
    </row>
    <row r="302" spans="1:12">
      <c r="A302" s="12">
        <v>25</v>
      </c>
      <c r="B302" s="21">
        <f>EDATE(参数设置!$B$4,A302-1)</f>
        <v>46975</v>
      </c>
      <c r="C302" s="22">
        <f>参数设置!$B$5</f>
        <v>23400</v>
      </c>
      <c r="D302" s="12">
        <v>11</v>
      </c>
      <c r="E302" s="28">
        <f>IF(D302=1,B302,F301)</f>
        <v>47304</v>
      </c>
      <c r="F302" s="28">
        <f>IF(D302&lt;参数设置!$B$12,DATE(YEAR(EDATE(B302,D302+1)),MONTH(EDATE(B302,D302+1)),参数设置!$B$13),EDATE(B302,参数设置!$B$12))</f>
        <v>47335</v>
      </c>
      <c r="G302" s="20">
        <f>F302-E302</f>
        <v>31</v>
      </c>
      <c r="H302" s="25">
        <f>IF(D302=参数设置!$B$12,C302,0)</f>
        <v>0</v>
      </c>
      <c r="I302" s="25">
        <f>IF(L302=1,ROUND(C302*参数设置!$B$10*G302/参数设置!$B$11,参数设置!$B$14),0)</f>
        <v>0</v>
      </c>
      <c r="J302" s="25">
        <f>H302+I302</f>
        <v>0</v>
      </c>
      <c r="K302" s="28">
        <f>EDATE(B302,参数设置!$B$12)</f>
        <v>47340</v>
      </c>
      <c r="L302" s="20">
        <f>--(A302&lt;=参数设置!$B$6)</f>
        <v>0</v>
      </c>
    </row>
    <row r="303" spans="1:12">
      <c r="A303" s="12">
        <v>25</v>
      </c>
      <c r="B303" s="21">
        <f>EDATE(参数设置!$B$4,A303-1)</f>
        <v>46975</v>
      </c>
      <c r="C303" s="22">
        <f>参数设置!$B$5</f>
        <v>23400</v>
      </c>
      <c r="D303" s="12">
        <v>12</v>
      </c>
      <c r="E303" s="28">
        <f>IF(D303=1,B303,F302)</f>
        <v>47335</v>
      </c>
      <c r="F303" s="28">
        <f>IF(D303&lt;参数设置!$B$12,DATE(YEAR(EDATE(B303,D303+1)),MONTH(EDATE(B303,D303+1)),参数设置!$B$13),EDATE(B303,参数设置!$B$12))</f>
        <v>47340</v>
      </c>
      <c r="G303" s="20">
        <f>F303-E303</f>
        <v>5</v>
      </c>
      <c r="H303" s="25">
        <f>IF(D303=参数设置!$B$12,C303,0)</f>
        <v>23400</v>
      </c>
      <c r="I303" s="25">
        <f>IF(L303=1,ROUND(C303*参数设置!$B$10*G303/参数设置!$B$11,参数设置!$B$14),0)</f>
        <v>0</v>
      </c>
      <c r="J303" s="25">
        <f>H303+I303</f>
        <v>23400</v>
      </c>
      <c r="K303" s="28">
        <f>EDATE(B303,参数设置!$B$12)</f>
        <v>47340</v>
      </c>
      <c r="L303" s="20">
        <f>--(A303&lt;=参数设置!$B$6)</f>
        <v>0</v>
      </c>
    </row>
    <row r="304" spans="1:12">
      <c r="A304" s="12">
        <v>26</v>
      </c>
      <c r="B304" s="21">
        <f>EDATE(参数设置!$B$4,A304-1)</f>
        <v>47006</v>
      </c>
      <c r="C304" s="22">
        <f>参数设置!$B$5</f>
        <v>23400</v>
      </c>
      <c r="D304" s="12">
        <v>1</v>
      </c>
      <c r="E304" s="28">
        <f>IF(D304=1,B304,F303)</f>
        <v>47006</v>
      </c>
      <c r="F304" s="28">
        <f>IF(D304&lt;参数设置!$B$12,DATE(YEAR(EDATE(B304,D304+1)),MONTH(EDATE(B304,D304+1)),参数设置!$B$13),EDATE(B304,参数设置!$B$12))</f>
        <v>47062</v>
      </c>
      <c r="G304" s="20">
        <f>F304-E304</f>
        <v>56</v>
      </c>
      <c r="H304" s="25">
        <f>IF(D304=参数设置!$B$12,C304,0)</f>
        <v>0</v>
      </c>
      <c r="I304" s="25">
        <f>IF(L304=1,ROUND(C304*参数设置!$B$10*G304/参数设置!$B$11,参数设置!$B$14),0)</f>
        <v>0</v>
      </c>
      <c r="J304" s="25">
        <f>H304+I304</f>
        <v>0</v>
      </c>
      <c r="K304" s="28">
        <f>EDATE(B304,参数设置!$B$12)</f>
        <v>47371</v>
      </c>
      <c r="L304" s="20">
        <f>--(A304&lt;=参数设置!$B$6)</f>
        <v>0</v>
      </c>
    </row>
    <row r="305" spans="1:12">
      <c r="A305" s="12">
        <v>26</v>
      </c>
      <c r="B305" s="21">
        <f>EDATE(参数设置!$B$4,A305-1)</f>
        <v>47006</v>
      </c>
      <c r="C305" s="22">
        <f>参数设置!$B$5</f>
        <v>23400</v>
      </c>
      <c r="D305" s="12">
        <v>2</v>
      </c>
      <c r="E305" s="28">
        <f>IF(D305=1,B305,F304)</f>
        <v>47062</v>
      </c>
      <c r="F305" s="28">
        <f>IF(D305&lt;参数设置!$B$12,DATE(YEAR(EDATE(B305,D305+1)),MONTH(EDATE(B305,D305+1)),参数设置!$B$13),EDATE(B305,参数设置!$B$12))</f>
        <v>47092</v>
      </c>
      <c r="G305" s="20">
        <f>F305-E305</f>
        <v>30</v>
      </c>
      <c r="H305" s="25">
        <f>IF(D305=参数设置!$B$12,C305,0)</f>
        <v>0</v>
      </c>
      <c r="I305" s="25">
        <f>IF(L305=1,ROUND(C305*参数设置!$B$10*G305/参数设置!$B$11,参数设置!$B$14),0)</f>
        <v>0</v>
      </c>
      <c r="J305" s="25">
        <f>H305+I305</f>
        <v>0</v>
      </c>
      <c r="K305" s="28">
        <f>EDATE(B305,参数设置!$B$12)</f>
        <v>47371</v>
      </c>
      <c r="L305" s="20">
        <f>--(A305&lt;=参数设置!$B$6)</f>
        <v>0</v>
      </c>
    </row>
    <row r="306" spans="1:12">
      <c r="A306" s="12">
        <v>26</v>
      </c>
      <c r="B306" s="21">
        <f>EDATE(参数设置!$B$4,A306-1)</f>
        <v>47006</v>
      </c>
      <c r="C306" s="22">
        <f>参数设置!$B$5</f>
        <v>23400</v>
      </c>
      <c r="D306" s="12">
        <v>3</v>
      </c>
      <c r="E306" s="28">
        <f>IF(D306=1,B306,F305)</f>
        <v>47092</v>
      </c>
      <c r="F306" s="28">
        <f>IF(D306&lt;参数设置!$B$12,DATE(YEAR(EDATE(B306,D306+1)),MONTH(EDATE(B306,D306+1)),参数设置!$B$13),EDATE(B306,参数设置!$B$12))</f>
        <v>47123</v>
      </c>
      <c r="G306" s="20">
        <f>F306-E306</f>
        <v>31</v>
      </c>
      <c r="H306" s="25">
        <f>IF(D306=参数设置!$B$12,C306,0)</f>
        <v>0</v>
      </c>
      <c r="I306" s="25">
        <f>IF(L306=1,ROUND(C306*参数设置!$B$10*G306/参数设置!$B$11,参数设置!$B$14),0)</f>
        <v>0</v>
      </c>
      <c r="J306" s="25">
        <f>H306+I306</f>
        <v>0</v>
      </c>
      <c r="K306" s="28">
        <f>EDATE(B306,参数设置!$B$12)</f>
        <v>47371</v>
      </c>
      <c r="L306" s="20">
        <f>--(A306&lt;=参数设置!$B$6)</f>
        <v>0</v>
      </c>
    </row>
    <row r="307" spans="1:12">
      <c r="A307" s="12">
        <v>26</v>
      </c>
      <c r="B307" s="21">
        <f>EDATE(参数设置!$B$4,A307-1)</f>
        <v>47006</v>
      </c>
      <c r="C307" s="22">
        <f>参数设置!$B$5</f>
        <v>23400</v>
      </c>
      <c r="D307" s="12">
        <v>4</v>
      </c>
      <c r="E307" s="28">
        <f>IF(D307=1,B307,F306)</f>
        <v>47123</v>
      </c>
      <c r="F307" s="28">
        <f>IF(D307&lt;参数设置!$B$12,DATE(YEAR(EDATE(B307,D307+1)),MONTH(EDATE(B307,D307+1)),参数设置!$B$13),EDATE(B307,参数设置!$B$12))</f>
        <v>47154</v>
      </c>
      <c r="G307" s="20">
        <f>F307-E307</f>
        <v>31</v>
      </c>
      <c r="H307" s="25">
        <f>IF(D307=参数设置!$B$12,C307,0)</f>
        <v>0</v>
      </c>
      <c r="I307" s="25">
        <f>IF(L307=1,ROUND(C307*参数设置!$B$10*G307/参数设置!$B$11,参数设置!$B$14),0)</f>
        <v>0</v>
      </c>
      <c r="J307" s="25">
        <f>H307+I307</f>
        <v>0</v>
      </c>
      <c r="K307" s="28">
        <f>EDATE(B307,参数设置!$B$12)</f>
        <v>47371</v>
      </c>
      <c r="L307" s="20">
        <f>--(A307&lt;=参数设置!$B$6)</f>
        <v>0</v>
      </c>
    </row>
    <row r="308" spans="1:12">
      <c r="A308" s="12">
        <v>26</v>
      </c>
      <c r="B308" s="21">
        <f>EDATE(参数设置!$B$4,A308-1)</f>
        <v>47006</v>
      </c>
      <c r="C308" s="22">
        <f>参数设置!$B$5</f>
        <v>23400</v>
      </c>
      <c r="D308" s="12">
        <v>5</v>
      </c>
      <c r="E308" s="28">
        <f>IF(D308=1,B308,F307)</f>
        <v>47154</v>
      </c>
      <c r="F308" s="28">
        <f>IF(D308&lt;参数设置!$B$12,DATE(YEAR(EDATE(B308,D308+1)),MONTH(EDATE(B308,D308+1)),参数设置!$B$13),EDATE(B308,参数设置!$B$12))</f>
        <v>47182</v>
      </c>
      <c r="G308" s="20">
        <f>F308-E308</f>
        <v>28</v>
      </c>
      <c r="H308" s="25">
        <f>IF(D308=参数设置!$B$12,C308,0)</f>
        <v>0</v>
      </c>
      <c r="I308" s="25">
        <f>IF(L308=1,ROUND(C308*参数设置!$B$10*G308/参数设置!$B$11,参数设置!$B$14),0)</f>
        <v>0</v>
      </c>
      <c r="J308" s="25">
        <f>H308+I308</f>
        <v>0</v>
      </c>
      <c r="K308" s="28">
        <f>EDATE(B308,参数设置!$B$12)</f>
        <v>47371</v>
      </c>
      <c r="L308" s="20">
        <f>--(A308&lt;=参数设置!$B$6)</f>
        <v>0</v>
      </c>
    </row>
    <row r="309" spans="1:12">
      <c r="A309" s="12">
        <v>26</v>
      </c>
      <c r="B309" s="21">
        <f>EDATE(参数设置!$B$4,A309-1)</f>
        <v>47006</v>
      </c>
      <c r="C309" s="22">
        <f>参数设置!$B$5</f>
        <v>23400</v>
      </c>
      <c r="D309" s="12">
        <v>6</v>
      </c>
      <c r="E309" s="28">
        <f>IF(D309=1,B309,F308)</f>
        <v>47182</v>
      </c>
      <c r="F309" s="28">
        <f>IF(D309&lt;参数设置!$B$12,DATE(YEAR(EDATE(B309,D309+1)),MONTH(EDATE(B309,D309+1)),参数设置!$B$13),EDATE(B309,参数设置!$B$12))</f>
        <v>47213</v>
      </c>
      <c r="G309" s="20">
        <f>F309-E309</f>
        <v>31</v>
      </c>
      <c r="H309" s="25">
        <f>IF(D309=参数设置!$B$12,C309,0)</f>
        <v>0</v>
      </c>
      <c r="I309" s="25">
        <f>IF(L309=1,ROUND(C309*参数设置!$B$10*G309/参数设置!$B$11,参数设置!$B$14),0)</f>
        <v>0</v>
      </c>
      <c r="J309" s="25">
        <f>H309+I309</f>
        <v>0</v>
      </c>
      <c r="K309" s="28">
        <f>EDATE(B309,参数设置!$B$12)</f>
        <v>47371</v>
      </c>
      <c r="L309" s="20">
        <f>--(A309&lt;=参数设置!$B$6)</f>
        <v>0</v>
      </c>
    </row>
    <row r="310" spans="1:12">
      <c r="A310" s="12">
        <v>26</v>
      </c>
      <c r="B310" s="21">
        <f>EDATE(参数设置!$B$4,A310-1)</f>
        <v>47006</v>
      </c>
      <c r="C310" s="22">
        <f>参数设置!$B$5</f>
        <v>23400</v>
      </c>
      <c r="D310" s="12">
        <v>7</v>
      </c>
      <c r="E310" s="28">
        <f>IF(D310=1,B310,F309)</f>
        <v>47213</v>
      </c>
      <c r="F310" s="28">
        <f>IF(D310&lt;参数设置!$B$12,DATE(YEAR(EDATE(B310,D310+1)),MONTH(EDATE(B310,D310+1)),参数设置!$B$13),EDATE(B310,参数设置!$B$12))</f>
        <v>47243</v>
      </c>
      <c r="G310" s="20">
        <f>F310-E310</f>
        <v>30</v>
      </c>
      <c r="H310" s="25">
        <f>IF(D310=参数设置!$B$12,C310,0)</f>
        <v>0</v>
      </c>
      <c r="I310" s="25">
        <f>IF(L310=1,ROUND(C310*参数设置!$B$10*G310/参数设置!$B$11,参数设置!$B$14),0)</f>
        <v>0</v>
      </c>
      <c r="J310" s="25">
        <f>H310+I310</f>
        <v>0</v>
      </c>
      <c r="K310" s="28">
        <f>EDATE(B310,参数设置!$B$12)</f>
        <v>47371</v>
      </c>
      <c r="L310" s="20">
        <f>--(A310&lt;=参数设置!$B$6)</f>
        <v>0</v>
      </c>
    </row>
    <row r="311" spans="1:12">
      <c r="A311" s="12">
        <v>26</v>
      </c>
      <c r="B311" s="21">
        <f>EDATE(参数设置!$B$4,A311-1)</f>
        <v>47006</v>
      </c>
      <c r="C311" s="22">
        <f>参数设置!$B$5</f>
        <v>23400</v>
      </c>
      <c r="D311" s="12">
        <v>8</v>
      </c>
      <c r="E311" s="28">
        <f>IF(D311=1,B311,F310)</f>
        <v>47243</v>
      </c>
      <c r="F311" s="28">
        <f>IF(D311&lt;参数设置!$B$12,DATE(YEAR(EDATE(B311,D311+1)),MONTH(EDATE(B311,D311+1)),参数设置!$B$13),EDATE(B311,参数设置!$B$12))</f>
        <v>47274</v>
      </c>
      <c r="G311" s="20">
        <f>F311-E311</f>
        <v>31</v>
      </c>
      <c r="H311" s="25">
        <f>IF(D311=参数设置!$B$12,C311,0)</f>
        <v>0</v>
      </c>
      <c r="I311" s="25">
        <f>IF(L311=1,ROUND(C311*参数设置!$B$10*G311/参数设置!$B$11,参数设置!$B$14),0)</f>
        <v>0</v>
      </c>
      <c r="J311" s="25">
        <f>H311+I311</f>
        <v>0</v>
      </c>
      <c r="K311" s="28">
        <f>EDATE(B311,参数设置!$B$12)</f>
        <v>47371</v>
      </c>
      <c r="L311" s="20">
        <f>--(A311&lt;=参数设置!$B$6)</f>
        <v>0</v>
      </c>
    </row>
    <row r="312" spans="1:12">
      <c r="A312" s="12">
        <v>26</v>
      </c>
      <c r="B312" s="21">
        <f>EDATE(参数设置!$B$4,A312-1)</f>
        <v>47006</v>
      </c>
      <c r="C312" s="22">
        <f>参数设置!$B$5</f>
        <v>23400</v>
      </c>
      <c r="D312" s="12">
        <v>9</v>
      </c>
      <c r="E312" s="28">
        <f>IF(D312=1,B312,F311)</f>
        <v>47274</v>
      </c>
      <c r="F312" s="28">
        <f>IF(D312&lt;参数设置!$B$12,DATE(YEAR(EDATE(B312,D312+1)),MONTH(EDATE(B312,D312+1)),参数设置!$B$13),EDATE(B312,参数设置!$B$12))</f>
        <v>47304</v>
      </c>
      <c r="G312" s="20">
        <f>F312-E312</f>
        <v>30</v>
      </c>
      <c r="H312" s="25">
        <f>IF(D312=参数设置!$B$12,C312,0)</f>
        <v>0</v>
      </c>
      <c r="I312" s="25">
        <f>IF(L312=1,ROUND(C312*参数设置!$B$10*G312/参数设置!$B$11,参数设置!$B$14),0)</f>
        <v>0</v>
      </c>
      <c r="J312" s="25">
        <f>H312+I312</f>
        <v>0</v>
      </c>
      <c r="K312" s="28">
        <f>EDATE(B312,参数设置!$B$12)</f>
        <v>47371</v>
      </c>
      <c r="L312" s="20">
        <f>--(A312&lt;=参数设置!$B$6)</f>
        <v>0</v>
      </c>
    </row>
    <row r="313" spans="1:12">
      <c r="A313" s="12">
        <v>26</v>
      </c>
      <c r="B313" s="21">
        <f>EDATE(参数设置!$B$4,A313-1)</f>
        <v>47006</v>
      </c>
      <c r="C313" s="22">
        <f>参数设置!$B$5</f>
        <v>23400</v>
      </c>
      <c r="D313" s="12">
        <v>10</v>
      </c>
      <c r="E313" s="28">
        <f>IF(D313=1,B313,F312)</f>
        <v>47304</v>
      </c>
      <c r="F313" s="28">
        <f>IF(D313&lt;参数设置!$B$12,DATE(YEAR(EDATE(B313,D313+1)),MONTH(EDATE(B313,D313+1)),参数设置!$B$13),EDATE(B313,参数设置!$B$12))</f>
        <v>47335</v>
      </c>
      <c r="G313" s="20">
        <f>F313-E313</f>
        <v>31</v>
      </c>
      <c r="H313" s="25">
        <f>IF(D313=参数设置!$B$12,C313,0)</f>
        <v>0</v>
      </c>
      <c r="I313" s="25">
        <f>IF(L313=1,ROUND(C313*参数设置!$B$10*G313/参数设置!$B$11,参数设置!$B$14),0)</f>
        <v>0</v>
      </c>
      <c r="J313" s="25">
        <f>H313+I313</f>
        <v>0</v>
      </c>
      <c r="K313" s="28">
        <f>EDATE(B313,参数设置!$B$12)</f>
        <v>47371</v>
      </c>
      <c r="L313" s="20">
        <f>--(A313&lt;=参数设置!$B$6)</f>
        <v>0</v>
      </c>
    </row>
    <row r="314" spans="1:12">
      <c r="A314" s="12">
        <v>26</v>
      </c>
      <c r="B314" s="21">
        <f>EDATE(参数设置!$B$4,A314-1)</f>
        <v>47006</v>
      </c>
      <c r="C314" s="22">
        <f>参数设置!$B$5</f>
        <v>23400</v>
      </c>
      <c r="D314" s="12">
        <v>11</v>
      </c>
      <c r="E314" s="28">
        <f>IF(D314=1,B314,F313)</f>
        <v>47335</v>
      </c>
      <c r="F314" s="28">
        <f>IF(D314&lt;参数设置!$B$12,DATE(YEAR(EDATE(B314,D314+1)),MONTH(EDATE(B314,D314+1)),参数设置!$B$13),EDATE(B314,参数设置!$B$12))</f>
        <v>47366</v>
      </c>
      <c r="G314" s="20">
        <f>F314-E314</f>
        <v>31</v>
      </c>
      <c r="H314" s="25">
        <f>IF(D314=参数设置!$B$12,C314,0)</f>
        <v>0</v>
      </c>
      <c r="I314" s="25">
        <f>IF(L314=1,ROUND(C314*参数设置!$B$10*G314/参数设置!$B$11,参数设置!$B$14),0)</f>
        <v>0</v>
      </c>
      <c r="J314" s="25">
        <f>H314+I314</f>
        <v>0</v>
      </c>
      <c r="K314" s="28">
        <f>EDATE(B314,参数设置!$B$12)</f>
        <v>47371</v>
      </c>
      <c r="L314" s="20">
        <f>--(A314&lt;=参数设置!$B$6)</f>
        <v>0</v>
      </c>
    </row>
    <row r="315" spans="1:12">
      <c r="A315" s="12">
        <v>26</v>
      </c>
      <c r="B315" s="21">
        <f>EDATE(参数设置!$B$4,A315-1)</f>
        <v>47006</v>
      </c>
      <c r="C315" s="22">
        <f>参数设置!$B$5</f>
        <v>23400</v>
      </c>
      <c r="D315" s="12">
        <v>12</v>
      </c>
      <c r="E315" s="28">
        <f>IF(D315=1,B315,F314)</f>
        <v>47366</v>
      </c>
      <c r="F315" s="28">
        <f>IF(D315&lt;参数设置!$B$12,DATE(YEAR(EDATE(B315,D315+1)),MONTH(EDATE(B315,D315+1)),参数设置!$B$13),EDATE(B315,参数设置!$B$12))</f>
        <v>47371</v>
      </c>
      <c r="G315" s="20">
        <f>F315-E315</f>
        <v>5</v>
      </c>
      <c r="H315" s="25">
        <f>IF(D315=参数设置!$B$12,C315,0)</f>
        <v>23400</v>
      </c>
      <c r="I315" s="25">
        <f>IF(L315=1,ROUND(C315*参数设置!$B$10*G315/参数设置!$B$11,参数设置!$B$14),0)</f>
        <v>0</v>
      </c>
      <c r="J315" s="25">
        <f>H315+I315</f>
        <v>23400</v>
      </c>
      <c r="K315" s="28">
        <f>EDATE(B315,参数设置!$B$12)</f>
        <v>47371</v>
      </c>
      <c r="L315" s="20">
        <f>--(A315&lt;=参数设置!$B$6)</f>
        <v>0</v>
      </c>
    </row>
    <row r="316" spans="1:12">
      <c r="A316" s="12">
        <v>27</v>
      </c>
      <c r="B316" s="21">
        <f>EDATE(参数设置!$B$4,A316-1)</f>
        <v>47036</v>
      </c>
      <c r="C316" s="22">
        <f>参数设置!$B$5</f>
        <v>23400</v>
      </c>
      <c r="D316" s="12">
        <v>1</v>
      </c>
      <c r="E316" s="28">
        <f>IF(D316=1,B316,F315)</f>
        <v>47036</v>
      </c>
      <c r="F316" s="28">
        <f>IF(D316&lt;参数设置!$B$12,DATE(YEAR(EDATE(B316,D316+1)),MONTH(EDATE(B316,D316+1)),参数设置!$B$13),EDATE(B316,参数设置!$B$12))</f>
        <v>47092</v>
      </c>
      <c r="G316" s="20">
        <f>F316-E316</f>
        <v>56</v>
      </c>
      <c r="H316" s="25">
        <f>IF(D316=参数设置!$B$12,C316,0)</f>
        <v>0</v>
      </c>
      <c r="I316" s="25">
        <f>IF(L316=1,ROUND(C316*参数设置!$B$10*G316/参数设置!$B$11,参数设置!$B$14),0)</f>
        <v>0</v>
      </c>
      <c r="J316" s="25">
        <f>H316+I316</f>
        <v>0</v>
      </c>
      <c r="K316" s="28">
        <f>EDATE(B316,参数设置!$B$12)</f>
        <v>47401</v>
      </c>
      <c r="L316" s="20">
        <f>--(A316&lt;=参数设置!$B$6)</f>
        <v>0</v>
      </c>
    </row>
    <row r="317" spans="1:12">
      <c r="A317" s="12">
        <v>27</v>
      </c>
      <c r="B317" s="21">
        <f>EDATE(参数设置!$B$4,A317-1)</f>
        <v>47036</v>
      </c>
      <c r="C317" s="22">
        <f>参数设置!$B$5</f>
        <v>23400</v>
      </c>
      <c r="D317" s="12">
        <v>2</v>
      </c>
      <c r="E317" s="28">
        <f>IF(D317=1,B317,F316)</f>
        <v>47092</v>
      </c>
      <c r="F317" s="28">
        <f>IF(D317&lt;参数设置!$B$12,DATE(YEAR(EDATE(B317,D317+1)),MONTH(EDATE(B317,D317+1)),参数设置!$B$13),EDATE(B317,参数设置!$B$12))</f>
        <v>47123</v>
      </c>
      <c r="G317" s="20">
        <f>F317-E317</f>
        <v>31</v>
      </c>
      <c r="H317" s="25">
        <f>IF(D317=参数设置!$B$12,C317,0)</f>
        <v>0</v>
      </c>
      <c r="I317" s="25">
        <f>IF(L317=1,ROUND(C317*参数设置!$B$10*G317/参数设置!$B$11,参数设置!$B$14),0)</f>
        <v>0</v>
      </c>
      <c r="J317" s="25">
        <f>H317+I317</f>
        <v>0</v>
      </c>
      <c r="K317" s="28">
        <f>EDATE(B317,参数设置!$B$12)</f>
        <v>47401</v>
      </c>
      <c r="L317" s="20">
        <f>--(A317&lt;=参数设置!$B$6)</f>
        <v>0</v>
      </c>
    </row>
    <row r="318" spans="1:12">
      <c r="A318" s="12">
        <v>27</v>
      </c>
      <c r="B318" s="21">
        <f>EDATE(参数设置!$B$4,A318-1)</f>
        <v>47036</v>
      </c>
      <c r="C318" s="22">
        <f>参数设置!$B$5</f>
        <v>23400</v>
      </c>
      <c r="D318" s="12">
        <v>3</v>
      </c>
      <c r="E318" s="28">
        <f>IF(D318=1,B318,F317)</f>
        <v>47123</v>
      </c>
      <c r="F318" s="28">
        <f>IF(D318&lt;参数设置!$B$12,DATE(YEAR(EDATE(B318,D318+1)),MONTH(EDATE(B318,D318+1)),参数设置!$B$13),EDATE(B318,参数设置!$B$12))</f>
        <v>47154</v>
      </c>
      <c r="G318" s="20">
        <f>F318-E318</f>
        <v>31</v>
      </c>
      <c r="H318" s="25">
        <f>IF(D318=参数设置!$B$12,C318,0)</f>
        <v>0</v>
      </c>
      <c r="I318" s="25">
        <f>IF(L318=1,ROUND(C318*参数设置!$B$10*G318/参数设置!$B$11,参数设置!$B$14),0)</f>
        <v>0</v>
      </c>
      <c r="J318" s="25">
        <f>H318+I318</f>
        <v>0</v>
      </c>
      <c r="K318" s="28">
        <f>EDATE(B318,参数设置!$B$12)</f>
        <v>47401</v>
      </c>
      <c r="L318" s="20">
        <f>--(A318&lt;=参数设置!$B$6)</f>
        <v>0</v>
      </c>
    </row>
    <row r="319" spans="1:12">
      <c r="A319" s="12">
        <v>27</v>
      </c>
      <c r="B319" s="21">
        <f>EDATE(参数设置!$B$4,A319-1)</f>
        <v>47036</v>
      </c>
      <c r="C319" s="22">
        <f>参数设置!$B$5</f>
        <v>23400</v>
      </c>
      <c r="D319" s="12">
        <v>4</v>
      </c>
      <c r="E319" s="28">
        <f>IF(D319=1,B319,F318)</f>
        <v>47154</v>
      </c>
      <c r="F319" s="28">
        <f>IF(D319&lt;参数设置!$B$12,DATE(YEAR(EDATE(B319,D319+1)),MONTH(EDATE(B319,D319+1)),参数设置!$B$13),EDATE(B319,参数设置!$B$12))</f>
        <v>47182</v>
      </c>
      <c r="G319" s="20">
        <f>F319-E319</f>
        <v>28</v>
      </c>
      <c r="H319" s="25">
        <f>IF(D319=参数设置!$B$12,C319,0)</f>
        <v>0</v>
      </c>
      <c r="I319" s="25">
        <f>IF(L319=1,ROUND(C319*参数设置!$B$10*G319/参数设置!$B$11,参数设置!$B$14),0)</f>
        <v>0</v>
      </c>
      <c r="J319" s="25">
        <f>H319+I319</f>
        <v>0</v>
      </c>
      <c r="K319" s="28">
        <f>EDATE(B319,参数设置!$B$12)</f>
        <v>47401</v>
      </c>
      <c r="L319" s="20">
        <f>--(A319&lt;=参数设置!$B$6)</f>
        <v>0</v>
      </c>
    </row>
    <row r="320" spans="1:12">
      <c r="A320" s="12">
        <v>27</v>
      </c>
      <c r="B320" s="21">
        <f>EDATE(参数设置!$B$4,A320-1)</f>
        <v>47036</v>
      </c>
      <c r="C320" s="22">
        <f>参数设置!$B$5</f>
        <v>23400</v>
      </c>
      <c r="D320" s="12">
        <v>5</v>
      </c>
      <c r="E320" s="28">
        <f>IF(D320=1,B320,F319)</f>
        <v>47182</v>
      </c>
      <c r="F320" s="28">
        <f>IF(D320&lt;参数设置!$B$12,DATE(YEAR(EDATE(B320,D320+1)),MONTH(EDATE(B320,D320+1)),参数设置!$B$13),EDATE(B320,参数设置!$B$12))</f>
        <v>47213</v>
      </c>
      <c r="G320" s="20">
        <f>F320-E320</f>
        <v>31</v>
      </c>
      <c r="H320" s="25">
        <f>IF(D320=参数设置!$B$12,C320,0)</f>
        <v>0</v>
      </c>
      <c r="I320" s="25">
        <f>IF(L320=1,ROUND(C320*参数设置!$B$10*G320/参数设置!$B$11,参数设置!$B$14),0)</f>
        <v>0</v>
      </c>
      <c r="J320" s="25">
        <f>H320+I320</f>
        <v>0</v>
      </c>
      <c r="K320" s="28">
        <f>EDATE(B320,参数设置!$B$12)</f>
        <v>47401</v>
      </c>
      <c r="L320" s="20">
        <f>--(A320&lt;=参数设置!$B$6)</f>
        <v>0</v>
      </c>
    </row>
    <row r="321" spans="1:12">
      <c r="A321" s="12">
        <v>27</v>
      </c>
      <c r="B321" s="21">
        <f>EDATE(参数设置!$B$4,A321-1)</f>
        <v>47036</v>
      </c>
      <c r="C321" s="22">
        <f>参数设置!$B$5</f>
        <v>23400</v>
      </c>
      <c r="D321" s="12">
        <v>6</v>
      </c>
      <c r="E321" s="28">
        <f>IF(D321=1,B321,F320)</f>
        <v>47213</v>
      </c>
      <c r="F321" s="28">
        <f>IF(D321&lt;参数设置!$B$12,DATE(YEAR(EDATE(B321,D321+1)),MONTH(EDATE(B321,D321+1)),参数设置!$B$13),EDATE(B321,参数设置!$B$12))</f>
        <v>47243</v>
      </c>
      <c r="G321" s="20">
        <f>F321-E321</f>
        <v>30</v>
      </c>
      <c r="H321" s="25">
        <f>IF(D321=参数设置!$B$12,C321,0)</f>
        <v>0</v>
      </c>
      <c r="I321" s="25">
        <f>IF(L321=1,ROUND(C321*参数设置!$B$10*G321/参数设置!$B$11,参数设置!$B$14),0)</f>
        <v>0</v>
      </c>
      <c r="J321" s="25">
        <f>H321+I321</f>
        <v>0</v>
      </c>
      <c r="K321" s="28">
        <f>EDATE(B321,参数设置!$B$12)</f>
        <v>47401</v>
      </c>
      <c r="L321" s="20">
        <f>--(A321&lt;=参数设置!$B$6)</f>
        <v>0</v>
      </c>
    </row>
    <row r="322" spans="1:12">
      <c r="A322" s="12">
        <v>27</v>
      </c>
      <c r="B322" s="21">
        <f>EDATE(参数设置!$B$4,A322-1)</f>
        <v>47036</v>
      </c>
      <c r="C322" s="22">
        <f>参数设置!$B$5</f>
        <v>23400</v>
      </c>
      <c r="D322" s="12">
        <v>7</v>
      </c>
      <c r="E322" s="28">
        <f>IF(D322=1,B322,F321)</f>
        <v>47243</v>
      </c>
      <c r="F322" s="28">
        <f>IF(D322&lt;参数设置!$B$12,DATE(YEAR(EDATE(B322,D322+1)),MONTH(EDATE(B322,D322+1)),参数设置!$B$13),EDATE(B322,参数设置!$B$12))</f>
        <v>47274</v>
      </c>
      <c r="G322" s="20">
        <f>F322-E322</f>
        <v>31</v>
      </c>
      <c r="H322" s="25">
        <f>IF(D322=参数设置!$B$12,C322,0)</f>
        <v>0</v>
      </c>
      <c r="I322" s="25">
        <f>IF(L322=1,ROUND(C322*参数设置!$B$10*G322/参数设置!$B$11,参数设置!$B$14),0)</f>
        <v>0</v>
      </c>
      <c r="J322" s="25">
        <f>H322+I322</f>
        <v>0</v>
      </c>
      <c r="K322" s="28">
        <f>EDATE(B322,参数设置!$B$12)</f>
        <v>47401</v>
      </c>
      <c r="L322" s="20">
        <f>--(A322&lt;=参数设置!$B$6)</f>
        <v>0</v>
      </c>
    </row>
    <row r="323" spans="1:12">
      <c r="A323" s="12">
        <v>27</v>
      </c>
      <c r="B323" s="21">
        <f>EDATE(参数设置!$B$4,A323-1)</f>
        <v>47036</v>
      </c>
      <c r="C323" s="22">
        <f>参数设置!$B$5</f>
        <v>23400</v>
      </c>
      <c r="D323" s="12">
        <v>8</v>
      </c>
      <c r="E323" s="28">
        <f>IF(D323=1,B323,F322)</f>
        <v>47274</v>
      </c>
      <c r="F323" s="28">
        <f>IF(D323&lt;参数设置!$B$12,DATE(YEAR(EDATE(B323,D323+1)),MONTH(EDATE(B323,D323+1)),参数设置!$B$13),EDATE(B323,参数设置!$B$12))</f>
        <v>47304</v>
      </c>
      <c r="G323" s="20">
        <f>F323-E323</f>
        <v>30</v>
      </c>
      <c r="H323" s="25">
        <f>IF(D323=参数设置!$B$12,C323,0)</f>
        <v>0</v>
      </c>
      <c r="I323" s="25">
        <f>IF(L323=1,ROUND(C323*参数设置!$B$10*G323/参数设置!$B$11,参数设置!$B$14),0)</f>
        <v>0</v>
      </c>
      <c r="J323" s="25">
        <f>H323+I323</f>
        <v>0</v>
      </c>
      <c r="K323" s="28">
        <f>EDATE(B323,参数设置!$B$12)</f>
        <v>47401</v>
      </c>
      <c r="L323" s="20">
        <f>--(A323&lt;=参数设置!$B$6)</f>
        <v>0</v>
      </c>
    </row>
    <row r="324" spans="1:12">
      <c r="A324" s="12">
        <v>27</v>
      </c>
      <c r="B324" s="21">
        <f>EDATE(参数设置!$B$4,A324-1)</f>
        <v>47036</v>
      </c>
      <c r="C324" s="22">
        <f>参数设置!$B$5</f>
        <v>23400</v>
      </c>
      <c r="D324" s="12">
        <v>9</v>
      </c>
      <c r="E324" s="28">
        <f>IF(D324=1,B324,F323)</f>
        <v>47304</v>
      </c>
      <c r="F324" s="28">
        <f>IF(D324&lt;参数设置!$B$12,DATE(YEAR(EDATE(B324,D324+1)),MONTH(EDATE(B324,D324+1)),参数设置!$B$13),EDATE(B324,参数设置!$B$12))</f>
        <v>47335</v>
      </c>
      <c r="G324" s="20">
        <f>F324-E324</f>
        <v>31</v>
      </c>
      <c r="H324" s="25">
        <f>IF(D324=参数设置!$B$12,C324,0)</f>
        <v>0</v>
      </c>
      <c r="I324" s="25">
        <f>IF(L324=1,ROUND(C324*参数设置!$B$10*G324/参数设置!$B$11,参数设置!$B$14),0)</f>
        <v>0</v>
      </c>
      <c r="J324" s="25">
        <f>H324+I324</f>
        <v>0</v>
      </c>
      <c r="K324" s="28">
        <f>EDATE(B324,参数设置!$B$12)</f>
        <v>47401</v>
      </c>
      <c r="L324" s="20">
        <f>--(A324&lt;=参数设置!$B$6)</f>
        <v>0</v>
      </c>
    </row>
    <row r="325" spans="1:12">
      <c r="A325" s="12">
        <v>27</v>
      </c>
      <c r="B325" s="21">
        <f>EDATE(参数设置!$B$4,A325-1)</f>
        <v>47036</v>
      </c>
      <c r="C325" s="22">
        <f>参数设置!$B$5</f>
        <v>23400</v>
      </c>
      <c r="D325" s="12">
        <v>10</v>
      </c>
      <c r="E325" s="28">
        <f>IF(D325=1,B325,F324)</f>
        <v>47335</v>
      </c>
      <c r="F325" s="28">
        <f>IF(D325&lt;参数设置!$B$12,DATE(YEAR(EDATE(B325,D325+1)),MONTH(EDATE(B325,D325+1)),参数设置!$B$13),EDATE(B325,参数设置!$B$12))</f>
        <v>47366</v>
      </c>
      <c r="G325" s="20">
        <f>F325-E325</f>
        <v>31</v>
      </c>
      <c r="H325" s="25">
        <f>IF(D325=参数设置!$B$12,C325,0)</f>
        <v>0</v>
      </c>
      <c r="I325" s="25">
        <f>IF(L325=1,ROUND(C325*参数设置!$B$10*G325/参数设置!$B$11,参数设置!$B$14),0)</f>
        <v>0</v>
      </c>
      <c r="J325" s="25">
        <f>H325+I325</f>
        <v>0</v>
      </c>
      <c r="K325" s="28">
        <f>EDATE(B325,参数设置!$B$12)</f>
        <v>47401</v>
      </c>
      <c r="L325" s="20">
        <f>--(A325&lt;=参数设置!$B$6)</f>
        <v>0</v>
      </c>
    </row>
    <row r="326" spans="1:12">
      <c r="A326" s="12">
        <v>27</v>
      </c>
      <c r="B326" s="21">
        <f>EDATE(参数设置!$B$4,A326-1)</f>
        <v>47036</v>
      </c>
      <c r="C326" s="22">
        <f>参数设置!$B$5</f>
        <v>23400</v>
      </c>
      <c r="D326" s="12">
        <v>11</v>
      </c>
      <c r="E326" s="28">
        <f>IF(D326=1,B326,F325)</f>
        <v>47366</v>
      </c>
      <c r="F326" s="28">
        <f>IF(D326&lt;参数设置!$B$12,DATE(YEAR(EDATE(B326,D326+1)),MONTH(EDATE(B326,D326+1)),参数设置!$B$13),EDATE(B326,参数设置!$B$12))</f>
        <v>47396</v>
      </c>
      <c r="G326" s="20">
        <f>F326-E326</f>
        <v>30</v>
      </c>
      <c r="H326" s="25">
        <f>IF(D326=参数设置!$B$12,C326,0)</f>
        <v>0</v>
      </c>
      <c r="I326" s="25">
        <f>IF(L326=1,ROUND(C326*参数设置!$B$10*G326/参数设置!$B$11,参数设置!$B$14),0)</f>
        <v>0</v>
      </c>
      <c r="J326" s="25">
        <f>H326+I326</f>
        <v>0</v>
      </c>
      <c r="K326" s="28">
        <f>EDATE(B326,参数设置!$B$12)</f>
        <v>47401</v>
      </c>
      <c r="L326" s="20">
        <f>--(A326&lt;=参数设置!$B$6)</f>
        <v>0</v>
      </c>
    </row>
    <row r="327" spans="1:12">
      <c r="A327" s="12">
        <v>27</v>
      </c>
      <c r="B327" s="21">
        <f>EDATE(参数设置!$B$4,A327-1)</f>
        <v>47036</v>
      </c>
      <c r="C327" s="22">
        <f>参数设置!$B$5</f>
        <v>23400</v>
      </c>
      <c r="D327" s="12">
        <v>12</v>
      </c>
      <c r="E327" s="28">
        <f>IF(D327=1,B327,F326)</f>
        <v>47396</v>
      </c>
      <c r="F327" s="28">
        <f>IF(D327&lt;参数设置!$B$12,DATE(YEAR(EDATE(B327,D327+1)),MONTH(EDATE(B327,D327+1)),参数设置!$B$13),EDATE(B327,参数设置!$B$12))</f>
        <v>47401</v>
      </c>
      <c r="G327" s="20">
        <f>F327-E327</f>
        <v>5</v>
      </c>
      <c r="H327" s="25">
        <f>IF(D327=参数设置!$B$12,C327,0)</f>
        <v>23400</v>
      </c>
      <c r="I327" s="25">
        <f>IF(L327=1,ROUND(C327*参数设置!$B$10*G327/参数设置!$B$11,参数设置!$B$14),0)</f>
        <v>0</v>
      </c>
      <c r="J327" s="25">
        <f>H327+I327</f>
        <v>23400</v>
      </c>
      <c r="K327" s="28">
        <f>EDATE(B327,参数设置!$B$12)</f>
        <v>47401</v>
      </c>
      <c r="L327" s="20">
        <f>--(A327&lt;=参数设置!$B$6)</f>
        <v>0</v>
      </c>
    </row>
    <row r="328" spans="1:12">
      <c r="A328" s="12">
        <v>28</v>
      </c>
      <c r="B328" s="21">
        <f>EDATE(参数设置!$B$4,A328-1)</f>
        <v>47067</v>
      </c>
      <c r="C328" s="22">
        <f>参数设置!$B$5</f>
        <v>23400</v>
      </c>
      <c r="D328" s="12">
        <v>1</v>
      </c>
      <c r="E328" s="28">
        <f>IF(D328=1,B328,F327)</f>
        <v>47067</v>
      </c>
      <c r="F328" s="28">
        <f>IF(D328&lt;参数设置!$B$12,DATE(YEAR(EDATE(B328,D328+1)),MONTH(EDATE(B328,D328+1)),参数设置!$B$13),EDATE(B328,参数设置!$B$12))</f>
        <v>47123</v>
      </c>
      <c r="G328" s="20">
        <f>F328-E328</f>
        <v>56</v>
      </c>
      <c r="H328" s="25">
        <f>IF(D328=参数设置!$B$12,C328,0)</f>
        <v>0</v>
      </c>
      <c r="I328" s="25">
        <f>IF(L328=1,ROUND(C328*参数设置!$B$10*G328/参数设置!$B$11,参数设置!$B$14),0)</f>
        <v>0</v>
      </c>
      <c r="J328" s="25">
        <f>H328+I328</f>
        <v>0</v>
      </c>
      <c r="K328" s="28">
        <f>EDATE(B328,参数设置!$B$12)</f>
        <v>47432</v>
      </c>
      <c r="L328" s="20">
        <f>--(A328&lt;=参数设置!$B$6)</f>
        <v>0</v>
      </c>
    </row>
    <row r="329" spans="1:12">
      <c r="A329" s="12">
        <v>28</v>
      </c>
      <c r="B329" s="21">
        <f>EDATE(参数设置!$B$4,A329-1)</f>
        <v>47067</v>
      </c>
      <c r="C329" s="22">
        <f>参数设置!$B$5</f>
        <v>23400</v>
      </c>
      <c r="D329" s="12">
        <v>2</v>
      </c>
      <c r="E329" s="28">
        <f>IF(D329=1,B329,F328)</f>
        <v>47123</v>
      </c>
      <c r="F329" s="28">
        <f>IF(D329&lt;参数设置!$B$12,DATE(YEAR(EDATE(B329,D329+1)),MONTH(EDATE(B329,D329+1)),参数设置!$B$13),EDATE(B329,参数设置!$B$12))</f>
        <v>47154</v>
      </c>
      <c r="G329" s="20">
        <f>F329-E329</f>
        <v>31</v>
      </c>
      <c r="H329" s="25">
        <f>IF(D329=参数设置!$B$12,C329,0)</f>
        <v>0</v>
      </c>
      <c r="I329" s="25">
        <f>IF(L329=1,ROUND(C329*参数设置!$B$10*G329/参数设置!$B$11,参数设置!$B$14),0)</f>
        <v>0</v>
      </c>
      <c r="J329" s="25">
        <f>H329+I329</f>
        <v>0</v>
      </c>
      <c r="K329" s="28">
        <f>EDATE(B329,参数设置!$B$12)</f>
        <v>47432</v>
      </c>
      <c r="L329" s="20">
        <f>--(A329&lt;=参数设置!$B$6)</f>
        <v>0</v>
      </c>
    </row>
    <row r="330" spans="1:12">
      <c r="A330" s="12">
        <v>28</v>
      </c>
      <c r="B330" s="21">
        <f>EDATE(参数设置!$B$4,A330-1)</f>
        <v>47067</v>
      </c>
      <c r="C330" s="22">
        <f>参数设置!$B$5</f>
        <v>23400</v>
      </c>
      <c r="D330" s="12">
        <v>3</v>
      </c>
      <c r="E330" s="28">
        <f>IF(D330=1,B330,F329)</f>
        <v>47154</v>
      </c>
      <c r="F330" s="28">
        <f>IF(D330&lt;参数设置!$B$12,DATE(YEAR(EDATE(B330,D330+1)),MONTH(EDATE(B330,D330+1)),参数设置!$B$13),EDATE(B330,参数设置!$B$12))</f>
        <v>47182</v>
      </c>
      <c r="G330" s="20">
        <f>F330-E330</f>
        <v>28</v>
      </c>
      <c r="H330" s="25">
        <f>IF(D330=参数设置!$B$12,C330,0)</f>
        <v>0</v>
      </c>
      <c r="I330" s="25">
        <f>IF(L330=1,ROUND(C330*参数设置!$B$10*G330/参数设置!$B$11,参数设置!$B$14),0)</f>
        <v>0</v>
      </c>
      <c r="J330" s="25">
        <f>H330+I330</f>
        <v>0</v>
      </c>
      <c r="K330" s="28">
        <f>EDATE(B330,参数设置!$B$12)</f>
        <v>47432</v>
      </c>
      <c r="L330" s="20">
        <f>--(A330&lt;=参数设置!$B$6)</f>
        <v>0</v>
      </c>
    </row>
    <row r="331" spans="1:12">
      <c r="A331" s="12">
        <v>28</v>
      </c>
      <c r="B331" s="21">
        <f>EDATE(参数设置!$B$4,A331-1)</f>
        <v>47067</v>
      </c>
      <c r="C331" s="22">
        <f>参数设置!$B$5</f>
        <v>23400</v>
      </c>
      <c r="D331" s="12">
        <v>4</v>
      </c>
      <c r="E331" s="28">
        <f>IF(D331=1,B331,F330)</f>
        <v>47182</v>
      </c>
      <c r="F331" s="28">
        <f>IF(D331&lt;参数设置!$B$12,DATE(YEAR(EDATE(B331,D331+1)),MONTH(EDATE(B331,D331+1)),参数设置!$B$13),EDATE(B331,参数设置!$B$12))</f>
        <v>47213</v>
      </c>
      <c r="G331" s="20">
        <f>F331-E331</f>
        <v>31</v>
      </c>
      <c r="H331" s="25">
        <f>IF(D331=参数设置!$B$12,C331,0)</f>
        <v>0</v>
      </c>
      <c r="I331" s="25">
        <f>IF(L331=1,ROUND(C331*参数设置!$B$10*G331/参数设置!$B$11,参数设置!$B$14),0)</f>
        <v>0</v>
      </c>
      <c r="J331" s="25">
        <f>H331+I331</f>
        <v>0</v>
      </c>
      <c r="K331" s="28">
        <f>EDATE(B331,参数设置!$B$12)</f>
        <v>47432</v>
      </c>
      <c r="L331" s="20">
        <f>--(A331&lt;=参数设置!$B$6)</f>
        <v>0</v>
      </c>
    </row>
    <row r="332" spans="1:12">
      <c r="A332" s="12">
        <v>28</v>
      </c>
      <c r="B332" s="21">
        <f>EDATE(参数设置!$B$4,A332-1)</f>
        <v>47067</v>
      </c>
      <c r="C332" s="22">
        <f>参数设置!$B$5</f>
        <v>23400</v>
      </c>
      <c r="D332" s="12">
        <v>5</v>
      </c>
      <c r="E332" s="28">
        <f>IF(D332=1,B332,F331)</f>
        <v>47213</v>
      </c>
      <c r="F332" s="28">
        <f>IF(D332&lt;参数设置!$B$12,DATE(YEAR(EDATE(B332,D332+1)),MONTH(EDATE(B332,D332+1)),参数设置!$B$13),EDATE(B332,参数设置!$B$12))</f>
        <v>47243</v>
      </c>
      <c r="G332" s="20">
        <f>F332-E332</f>
        <v>30</v>
      </c>
      <c r="H332" s="25">
        <f>IF(D332=参数设置!$B$12,C332,0)</f>
        <v>0</v>
      </c>
      <c r="I332" s="25">
        <f>IF(L332=1,ROUND(C332*参数设置!$B$10*G332/参数设置!$B$11,参数设置!$B$14),0)</f>
        <v>0</v>
      </c>
      <c r="J332" s="25">
        <f>H332+I332</f>
        <v>0</v>
      </c>
      <c r="K332" s="28">
        <f>EDATE(B332,参数设置!$B$12)</f>
        <v>47432</v>
      </c>
      <c r="L332" s="20">
        <f>--(A332&lt;=参数设置!$B$6)</f>
        <v>0</v>
      </c>
    </row>
    <row r="333" spans="1:12">
      <c r="A333" s="12">
        <v>28</v>
      </c>
      <c r="B333" s="21">
        <f>EDATE(参数设置!$B$4,A333-1)</f>
        <v>47067</v>
      </c>
      <c r="C333" s="22">
        <f>参数设置!$B$5</f>
        <v>23400</v>
      </c>
      <c r="D333" s="12">
        <v>6</v>
      </c>
      <c r="E333" s="28">
        <f>IF(D333=1,B333,F332)</f>
        <v>47243</v>
      </c>
      <c r="F333" s="28">
        <f>IF(D333&lt;参数设置!$B$12,DATE(YEAR(EDATE(B333,D333+1)),MONTH(EDATE(B333,D333+1)),参数设置!$B$13),EDATE(B333,参数设置!$B$12))</f>
        <v>47274</v>
      </c>
      <c r="G333" s="20">
        <f>F333-E333</f>
        <v>31</v>
      </c>
      <c r="H333" s="25">
        <f>IF(D333=参数设置!$B$12,C333,0)</f>
        <v>0</v>
      </c>
      <c r="I333" s="25">
        <f>IF(L333=1,ROUND(C333*参数设置!$B$10*G333/参数设置!$B$11,参数设置!$B$14),0)</f>
        <v>0</v>
      </c>
      <c r="J333" s="25">
        <f>H333+I333</f>
        <v>0</v>
      </c>
      <c r="K333" s="28">
        <f>EDATE(B333,参数设置!$B$12)</f>
        <v>47432</v>
      </c>
      <c r="L333" s="20">
        <f>--(A333&lt;=参数设置!$B$6)</f>
        <v>0</v>
      </c>
    </row>
    <row r="334" spans="1:12">
      <c r="A334" s="12">
        <v>28</v>
      </c>
      <c r="B334" s="21">
        <f>EDATE(参数设置!$B$4,A334-1)</f>
        <v>47067</v>
      </c>
      <c r="C334" s="22">
        <f>参数设置!$B$5</f>
        <v>23400</v>
      </c>
      <c r="D334" s="12">
        <v>7</v>
      </c>
      <c r="E334" s="28">
        <f>IF(D334=1,B334,F333)</f>
        <v>47274</v>
      </c>
      <c r="F334" s="28">
        <f>IF(D334&lt;参数设置!$B$12,DATE(YEAR(EDATE(B334,D334+1)),MONTH(EDATE(B334,D334+1)),参数设置!$B$13),EDATE(B334,参数设置!$B$12))</f>
        <v>47304</v>
      </c>
      <c r="G334" s="20">
        <f>F334-E334</f>
        <v>30</v>
      </c>
      <c r="H334" s="25">
        <f>IF(D334=参数设置!$B$12,C334,0)</f>
        <v>0</v>
      </c>
      <c r="I334" s="25">
        <f>IF(L334=1,ROUND(C334*参数设置!$B$10*G334/参数设置!$B$11,参数设置!$B$14),0)</f>
        <v>0</v>
      </c>
      <c r="J334" s="25">
        <f>H334+I334</f>
        <v>0</v>
      </c>
      <c r="K334" s="28">
        <f>EDATE(B334,参数设置!$B$12)</f>
        <v>47432</v>
      </c>
      <c r="L334" s="20">
        <f>--(A334&lt;=参数设置!$B$6)</f>
        <v>0</v>
      </c>
    </row>
    <row r="335" spans="1:12">
      <c r="A335" s="12">
        <v>28</v>
      </c>
      <c r="B335" s="21">
        <f>EDATE(参数设置!$B$4,A335-1)</f>
        <v>47067</v>
      </c>
      <c r="C335" s="22">
        <f>参数设置!$B$5</f>
        <v>23400</v>
      </c>
      <c r="D335" s="12">
        <v>8</v>
      </c>
      <c r="E335" s="28">
        <f>IF(D335=1,B335,F334)</f>
        <v>47304</v>
      </c>
      <c r="F335" s="28">
        <f>IF(D335&lt;参数设置!$B$12,DATE(YEAR(EDATE(B335,D335+1)),MONTH(EDATE(B335,D335+1)),参数设置!$B$13),EDATE(B335,参数设置!$B$12))</f>
        <v>47335</v>
      </c>
      <c r="G335" s="20">
        <f>F335-E335</f>
        <v>31</v>
      </c>
      <c r="H335" s="25">
        <f>IF(D335=参数设置!$B$12,C335,0)</f>
        <v>0</v>
      </c>
      <c r="I335" s="25">
        <f>IF(L335=1,ROUND(C335*参数设置!$B$10*G335/参数设置!$B$11,参数设置!$B$14),0)</f>
        <v>0</v>
      </c>
      <c r="J335" s="25">
        <f>H335+I335</f>
        <v>0</v>
      </c>
      <c r="K335" s="28">
        <f>EDATE(B335,参数设置!$B$12)</f>
        <v>47432</v>
      </c>
      <c r="L335" s="20">
        <f>--(A335&lt;=参数设置!$B$6)</f>
        <v>0</v>
      </c>
    </row>
    <row r="336" spans="1:12">
      <c r="A336" s="12">
        <v>28</v>
      </c>
      <c r="B336" s="21">
        <f>EDATE(参数设置!$B$4,A336-1)</f>
        <v>47067</v>
      </c>
      <c r="C336" s="22">
        <f>参数设置!$B$5</f>
        <v>23400</v>
      </c>
      <c r="D336" s="12">
        <v>9</v>
      </c>
      <c r="E336" s="28">
        <f>IF(D336=1,B336,F335)</f>
        <v>47335</v>
      </c>
      <c r="F336" s="28">
        <f>IF(D336&lt;参数设置!$B$12,DATE(YEAR(EDATE(B336,D336+1)),MONTH(EDATE(B336,D336+1)),参数设置!$B$13),EDATE(B336,参数设置!$B$12))</f>
        <v>47366</v>
      </c>
      <c r="G336" s="20">
        <f>F336-E336</f>
        <v>31</v>
      </c>
      <c r="H336" s="25">
        <f>IF(D336=参数设置!$B$12,C336,0)</f>
        <v>0</v>
      </c>
      <c r="I336" s="25">
        <f>IF(L336=1,ROUND(C336*参数设置!$B$10*G336/参数设置!$B$11,参数设置!$B$14),0)</f>
        <v>0</v>
      </c>
      <c r="J336" s="25">
        <f>H336+I336</f>
        <v>0</v>
      </c>
      <c r="K336" s="28">
        <f>EDATE(B336,参数设置!$B$12)</f>
        <v>47432</v>
      </c>
      <c r="L336" s="20">
        <f>--(A336&lt;=参数设置!$B$6)</f>
        <v>0</v>
      </c>
    </row>
    <row r="337" spans="1:12">
      <c r="A337" s="12">
        <v>28</v>
      </c>
      <c r="B337" s="21">
        <f>EDATE(参数设置!$B$4,A337-1)</f>
        <v>47067</v>
      </c>
      <c r="C337" s="22">
        <f>参数设置!$B$5</f>
        <v>23400</v>
      </c>
      <c r="D337" s="12">
        <v>10</v>
      </c>
      <c r="E337" s="28">
        <f>IF(D337=1,B337,F336)</f>
        <v>47366</v>
      </c>
      <c r="F337" s="28">
        <f>IF(D337&lt;参数设置!$B$12,DATE(YEAR(EDATE(B337,D337+1)),MONTH(EDATE(B337,D337+1)),参数设置!$B$13),EDATE(B337,参数设置!$B$12))</f>
        <v>47396</v>
      </c>
      <c r="G337" s="20">
        <f>F337-E337</f>
        <v>30</v>
      </c>
      <c r="H337" s="25">
        <f>IF(D337=参数设置!$B$12,C337,0)</f>
        <v>0</v>
      </c>
      <c r="I337" s="25">
        <f>IF(L337=1,ROUND(C337*参数设置!$B$10*G337/参数设置!$B$11,参数设置!$B$14),0)</f>
        <v>0</v>
      </c>
      <c r="J337" s="25">
        <f>H337+I337</f>
        <v>0</v>
      </c>
      <c r="K337" s="28">
        <f>EDATE(B337,参数设置!$B$12)</f>
        <v>47432</v>
      </c>
      <c r="L337" s="20">
        <f>--(A337&lt;=参数设置!$B$6)</f>
        <v>0</v>
      </c>
    </row>
    <row r="338" spans="1:12">
      <c r="A338" s="12">
        <v>28</v>
      </c>
      <c r="B338" s="21">
        <f>EDATE(参数设置!$B$4,A338-1)</f>
        <v>47067</v>
      </c>
      <c r="C338" s="22">
        <f>参数设置!$B$5</f>
        <v>23400</v>
      </c>
      <c r="D338" s="12">
        <v>11</v>
      </c>
      <c r="E338" s="28">
        <f>IF(D338=1,B338,F337)</f>
        <v>47396</v>
      </c>
      <c r="F338" s="28">
        <f>IF(D338&lt;参数设置!$B$12,DATE(YEAR(EDATE(B338,D338+1)),MONTH(EDATE(B338,D338+1)),参数设置!$B$13),EDATE(B338,参数设置!$B$12))</f>
        <v>47427</v>
      </c>
      <c r="G338" s="20">
        <f>F338-E338</f>
        <v>31</v>
      </c>
      <c r="H338" s="25">
        <f>IF(D338=参数设置!$B$12,C338,0)</f>
        <v>0</v>
      </c>
      <c r="I338" s="25">
        <f>IF(L338=1,ROUND(C338*参数设置!$B$10*G338/参数设置!$B$11,参数设置!$B$14),0)</f>
        <v>0</v>
      </c>
      <c r="J338" s="25">
        <f>H338+I338</f>
        <v>0</v>
      </c>
      <c r="K338" s="28">
        <f>EDATE(B338,参数设置!$B$12)</f>
        <v>47432</v>
      </c>
      <c r="L338" s="20">
        <f>--(A338&lt;=参数设置!$B$6)</f>
        <v>0</v>
      </c>
    </row>
    <row r="339" spans="1:12">
      <c r="A339" s="12">
        <v>28</v>
      </c>
      <c r="B339" s="21">
        <f>EDATE(参数设置!$B$4,A339-1)</f>
        <v>47067</v>
      </c>
      <c r="C339" s="22">
        <f>参数设置!$B$5</f>
        <v>23400</v>
      </c>
      <c r="D339" s="12">
        <v>12</v>
      </c>
      <c r="E339" s="28">
        <f>IF(D339=1,B339,F338)</f>
        <v>47427</v>
      </c>
      <c r="F339" s="28">
        <f>IF(D339&lt;参数设置!$B$12,DATE(YEAR(EDATE(B339,D339+1)),MONTH(EDATE(B339,D339+1)),参数设置!$B$13),EDATE(B339,参数设置!$B$12))</f>
        <v>47432</v>
      </c>
      <c r="G339" s="20">
        <f>F339-E339</f>
        <v>5</v>
      </c>
      <c r="H339" s="25">
        <f>IF(D339=参数设置!$B$12,C339,0)</f>
        <v>23400</v>
      </c>
      <c r="I339" s="25">
        <f>IF(L339=1,ROUND(C339*参数设置!$B$10*G339/参数设置!$B$11,参数设置!$B$14),0)</f>
        <v>0</v>
      </c>
      <c r="J339" s="25">
        <f>H339+I339</f>
        <v>23400</v>
      </c>
      <c r="K339" s="28">
        <f>EDATE(B339,参数设置!$B$12)</f>
        <v>47432</v>
      </c>
      <c r="L339" s="20">
        <f>--(A339&lt;=参数设置!$B$6)</f>
        <v>0</v>
      </c>
    </row>
    <row r="340" spans="1:12">
      <c r="A340" s="12">
        <v>29</v>
      </c>
      <c r="B340" s="21">
        <f>EDATE(参数设置!$B$4,A340-1)</f>
        <v>47097</v>
      </c>
      <c r="C340" s="22">
        <f>参数设置!$B$5</f>
        <v>23400</v>
      </c>
      <c r="D340" s="12">
        <v>1</v>
      </c>
      <c r="E340" s="28">
        <f>IF(D340=1,B340,F339)</f>
        <v>47097</v>
      </c>
      <c r="F340" s="28">
        <f>IF(D340&lt;参数设置!$B$12,DATE(YEAR(EDATE(B340,D340+1)),MONTH(EDATE(B340,D340+1)),参数设置!$B$13),EDATE(B340,参数设置!$B$12))</f>
        <v>47154</v>
      </c>
      <c r="G340" s="20">
        <f>F340-E340</f>
        <v>57</v>
      </c>
      <c r="H340" s="25">
        <f>IF(D340=参数设置!$B$12,C340,0)</f>
        <v>0</v>
      </c>
      <c r="I340" s="25">
        <f>IF(L340=1,ROUND(C340*参数设置!$B$10*G340/参数设置!$B$11,参数设置!$B$14),0)</f>
        <v>0</v>
      </c>
      <c r="J340" s="25">
        <f>H340+I340</f>
        <v>0</v>
      </c>
      <c r="K340" s="28">
        <f>EDATE(B340,参数设置!$B$12)</f>
        <v>47462</v>
      </c>
      <c r="L340" s="20">
        <f>--(A340&lt;=参数设置!$B$6)</f>
        <v>0</v>
      </c>
    </row>
    <row r="341" spans="1:12">
      <c r="A341" s="12">
        <v>29</v>
      </c>
      <c r="B341" s="21">
        <f>EDATE(参数设置!$B$4,A341-1)</f>
        <v>47097</v>
      </c>
      <c r="C341" s="22">
        <f>参数设置!$B$5</f>
        <v>23400</v>
      </c>
      <c r="D341" s="12">
        <v>2</v>
      </c>
      <c r="E341" s="28">
        <f>IF(D341=1,B341,F340)</f>
        <v>47154</v>
      </c>
      <c r="F341" s="28">
        <f>IF(D341&lt;参数设置!$B$12,DATE(YEAR(EDATE(B341,D341+1)),MONTH(EDATE(B341,D341+1)),参数设置!$B$13),EDATE(B341,参数设置!$B$12))</f>
        <v>47182</v>
      </c>
      <c r="G341" s="20">
        <f>F341-E341</f>
        <v>28</v>
      </c>
      <c r="H341" s="25">
        <f>IF(D341=参数设置!$B$12,C341,0)</f>
        <v>0</v>
      </c>
      <c r="I341" s="25">
        <f>IF(L341=1,ROUND(C341*参数设置!$B$10*G341/参数设置!$B$11,参数设置!$B$14),0)</f>
        <v>0</v>
      </c>
      <c r="J341" s="25">
        <f>H341+I341</f>
        <v>0</v>
      </c>
      <c r="K341" s="28">
        <f>EDATE(B341,参数设置!$B$12)</f>
        <v>47462</v>
      </c>
      <c r="L341" s="20">
        <f>--(A341&lt;=参数设置!$B$6)</f>
        <v>0</v>
      </c>
    </row>
    <row r="342" spans="1:12">
      <c r="A342" s="12">
        <v>29</v>
      </c>
      <c r="B342" s="21">
        <f>EDATE(参数设置!$B$4,A342-1)</f>
        <v>47097</v>
      </c>
      <c r="C342" s="22">
        <f>参数设置!$B$5</f>
        <v>23400</v>
      </c>
      <c r="D342" s="12">
        <v>3</v>
      </c>
      <c r="E342" s="28">
        <f>IF(D342=1,B342,F341)</f>
        <v>47182</v>
      </c>
      <c r="F342" s="28">
        <f>IF(D342&lt;参数设置!$B$12,DATE(YEAR(EDATE(B342,D342+1)),MONTH(EDATE(B342,D342+1)),参数设置!$B$13),EDATE(B342,参数设置!$B$12))</f>
        <v>47213</v>
      </c>
      <c r="G342" s="20">
        <f>F342-E342</f>
        <v>31</v>
      </c>
      <c r="H342" s="25">
        <f>IF(D342=参数设置!$B$12,C342,0)</f>
        <v>0</v>
      </c>
      <c r="I342" s="25">
        <f>IF(L342=1,ROUND(C342*参数设置!$B$10*G342/参数设置!$B$11,参数设置!$B$14),0)</f>
        <v>0</v>
      </c>
      <c r="J342" s="25">
        <f>H342+I342</f>
        <v>0</v>
      </c>
      <c r="K342" s="28">
        <f>EDATE(B342,参数设置!$B$12)</f>
        <v>47462</v>
      </c>
      <c r="L342" s="20">
        <f>--(A342&lt;=参数设置!$B$6)</f>
        <v>0</v>
      </c>
    </row>
    <row r="343" spans="1:12">
      <c r="A343" s="12">
        <v>29</v>
      </c>
      <c r="B343" s="21">
        <f>EDATE(参数设置!$B$4,A343-1)</f>
        <v>47097</v>
      </c>
      <c r="C343" s="22">
        <f>参数设置!$B$5</f>
        <v>23400</v>
      </c>
      <c r="D343" s="12">
        <v>4</v>
      </c>
      <c r="E343" s="28">
        <f>IF(D343=1,B343,F342)</f>
        <v>47213</v>
      </c>
      <c r="F343" s="28">
        <f>IF(D343&lt;参数设置!$B$12,DATE(YEAR(EDATE(B343,D343+1)),MONTH(EDATE(B343,D343+1)),参数设置!$B$13),EDATE(B343,参数设置!$B$12))</f>
        <v>47243</v>
      </c>
      <c r="G343" s="20">
        <f>F343-E343</f>
        <v>30</v>
      </c>
      <c r="H343" s="25">
        <f>IF(D343=参数设置!$B$12,C343,0)</f>
        <v>0</v>
      </c>
      <c r="I343" s="25">
        <f>IF(L343=1,ROUND(C343*参数设置!$B$10*G343/参数设置!$B$11,参数设置!$B$14),0)</f>
        <v>0</v>
      </c>
      <c r="J343" s="25">
        <f>H343+I343</f>
        <v>0</v>
      </c>
      <c r="K343" s="28">
        <f>EDATE(B343,参数设置!$B$12)</f>
        <v>47462</v>
      </c>
      <c r="L343" s="20">
        <f>--(A343&lt;=参数设置!$B$6)</f>
        <v>0</v>
      </c>
    </row>
    <row r="344" spans="1:12">
      <c r="A344" s="12">
        <v>29</v>
      </c>
      <c r="B344" s="21">
        <f>EDATE(参数设置!$B$4,A344-1)</f>
        <v>47097</v>
      </c>
      <c r="C344" s="22">
        <f>参数设置!$B$5</f>
        <v>23400</v>
      </c>
      <c r="D344" s="12">
        <v>5</v>
      </c>
      <c r="E344" s="28">
        <f>IF(D344=1,B344,F343)</f>
        <v>47243</v>
      </c>
      <c r="F344" s="28">
        <f>IF(D344&lt;参数设置!$B$12,DATE(YEAR(EDATE(B344,D344+1)),MONTH(EDATE(B344,D344+1)),参数设置!$B$13),EDATE(B344,参数设置!$B$12))</f>
        <v>47274</v>
      </c>
      <c r="G344" s="20">
        <f>F344-E344</f>
        <v>31</v>
      </c>
      <c r="H344" s="25">
        <f>IF(D344=参数设置!$B$12,C344,0)</f>
        <v>0</v>
      </c>
      <c r="I344" s="25">
        <f>IF(L344=1,ROUND(C344*参数设置!$B$10*G344/参数设置!$B$11,参数设置!$B$14),0)</f>
        <v>0</v>
      </c>
      <c r="J344" s="25">
        <f>H344+I344</f>
        <v>0</v>
      </c>
      <c r="K344" s="28">
        <f>EDATE(B344,参数设置!$B$12)</f>
        <v>47462</v>
      </c>
      <c r="L344" s="20">
        <f>--(A344&lt;=参数设置!$B$6)</f>
        <v>0</v>
      </c>
    </row>
    <row r="345" spans="1:12">
      <c r="A345" s="12">
        <v>29</v>
      </c>
      <c r="B345" s="21">
        <f>EDATE(参数设置!$B$4,A345-1)</f>
        <v>47097</v>
      </c>
      <c r="C345" s="22">
        <f>参数设置!$B$5</f>
        <v>23400</v>
      </c>
      <c r="D345" s="12">
        <v>6</v>
      </c>
      <c r="E345" s="28">
        <f>IF(D345=1,B345,F344)</f>
        <v>47274</v>
      </c>
      <c r="F345" s="28">
        <f>IF(D345&lt;参数设置!$B$12,DATE(YEAR(EDATE(B345,D345+1)),MONTH(EDATE(B345,D345+1)),参数设置!$B$13),EDATE(B345,参数设置!$B$12))</f>
        <v>47304</v>
      </c>
      <c r="G345" s="20">
        <f>F345-E345</f>
        <v>30</v>
      </c>
      <c r="H345" s="25">
        <f>IF(D345=参数设置!$B$12,C345,0)</f>
        <v>0</v>
      </c>
      <c r="I345" s="25">
        <f>IF(L345=1,ROUND(C345*参数设置!$B$10*G345/参数设置!$B$11,参数设置!$B$14),0)</f>
        <v>0</v>
      </c>
      <c r="J345" s="25">
        <f>H345+I345</f>
        <v>0</v>
      </c>
      <c r="K345" s="28">
        <f>EDATE(B345,参数设置!$B$12)</f>
        <v>47462</v>
      </c>
      <c r="L345" s="20">
        <f>--(A345&lt;=参数设置!$B$6)</f>
        <v>0</v>
      </c>
    </row>
    <row r="346" spans="1:12">
      <c r="A346" s="12">
        <v>29</v>
      </c>
      <c r="B346" s="21">
        <f>EDATE(参数设置!$B$4,A346-1)</f>
        <v>47097</v>
      </c>
      <c r="C346" s="22">
        <f>参数设置!$B$5</f>
        <v>23400</v>
      </c>
      <c r="D346" s="12">
        <v>7</v>
      </c>
      <c r="E346" s="28">
        <f>IF(D346=1,B346,F345)</f>
        <v>47304</v>
      </c>
      <c r="F346" s="28">
        <f>IF(D346&lt;参数设置!$B$12,DATE(YEAR(EDATE(B346,D346+1)),MONTH(EDATE(B346,D346+1)),参数设置!$B$13),EDATE(B346,参数设置!$B$12))</f>
        <v>47335</v>
      </c>
      <c r="G346" s="20">
        <f>F346-E346</f>
        <v>31</v>
      </c>
      <c r="H346" s="25">
        <f>IF(D346=参数设置!$B$12,C346,0)</f>
        <v>0</v>
      </c>
      <c r="I346" s="25">
        <f>IF(L346=1,ROUND(C346*参数设置!$B$10*G346/参数设置!$B$11,参数设置!$B$14),0)</f>
        <v>0</v>
      </c>
      <c r="J346" s="25">
        <f>H346+I346</f>
        <v>0</v>
      </c>
      <c r="K346" s="28">
        <f>EDATE(B346,参数设置!$B$12)</f>
        <v>47462</v>
      </c>
      <c r="L346" s="20">
        <f>--(A346&lt;=参数设置!$B$6)</f>
        <v>0</v>
      </c>
    </row>
    <row r="347" spans="1:12">
      <c r="A347" s="12">
        <v>29</v>
      </c>
      <c r="B347" s="21">
        <f>EDATE(参数设置!$B$4,A347-1)</f>
        <v>47097</v>
      </c>
      <c r="C347" s="22">
        <f>参数设置!$B$5</f>
        <v>23400</v>
      </c>
      <c r="D347" s="12">
        <v>8</v>
      </c>
      <c r="E347" s="28">
        <f>IF(D347=1,B347,F346)</f>
        <v>47335</v>
      </c>
      <c r="F347" s="28">
        <f>IF(D347&lt;参数设置!$B$12,DATE(YEAR(EDATE(B347,D347+1)),MONTH(EDATE(B347,D347+1)),参数设置!$B$13),EDATE(B347,参数设置!$B$12))</f>
        <v>47366</v>
      </c>
      <c r="G347" s="20">
        <f>F347-E347</f>
        <v>31</v>
      </c>
      <c r="H347" s="25">
        <f>IF(D347=参数设置!$B$12,C347,0)</f>
        <v>0</v>
      </c>
      <c r="I347" s="25">
        <f>IF(L347=1,ROUND(C347*参数设置!$B$10*G347/参数设置!$B$11,参数设置!$B$14),0)</f>
        <v>0</v>
      </c>
      <c r="J347" s="25">
        <f>H347+I347</f>
        <v>0</v>
      </c>
      <c r="K347" s="28">
        <f>EDATE(B347,参数设置!$B$12)</f>
        <v>47462</v>
      </c>
      <c r="L347" s="20">
        <f>--(A347&lt;=参数设置!$B$6)</f>
        <v>0</v>
      </c>
    </row>
    <row r="348" spans="1:12">
      <c r="A348" s="12">
        <v>29</v>
      </c>
      <c r="B348" s="21">
        <f>EDATE(参数设置!$B$4,A348-1)</f>
        <v>47097</v>
      </c>
      <c r="C348" s="22">
        <f>参数设置!$B$5</f>
        <v>23400</v>
      </c>
      <c r="D348" s="12">
        <v>9</v>
      </c>
      <c r="E348" s="28">
        <f>IF(D348=1,B348,F347)</f>
        <v>47366</v>
      </c>
      <c r="F348" s="28">
        <f>IF(D348&lt;参数设置!$B$12,DATE(YEAR(EDATE(B348,D348+1)),MONTH(EDATE(B348,D348+1)),参数设置!$B$13),EDATE(B348,参数设置!$B$12))</f>
        <v>47396</v>
      </c>
      <c r="G348" s="20">
        <f>F348-E348</f>
        <v>30</v>
      </c>
      <c r="H348" s="25">
        <f>IF(D348=参数设置!$B$12,C348,0)</f>
        <v>0</v>
      </c>
      <c r="I348" s="25">
        <f>IF(L348=1,ROUND(C348*参数设置!$B$10*G348/参数设置!$B$11,参数设置!$B$14),0)</f>
        <v>0</v>
      </c>
      <c r="J348" s="25">
        <f>H348+I348</f>
        <v>0</v>
      </c>
      <c r="K348" s="28">
        <f>EDATE(B348,参数设置!$B$12)</f>
        <v>47462</v>
      </c>
      <c r="L348" s="20">
        <f>--(A348&lt;=参数设置!$B$6)</f>
        <v>0</v>
      </c>
    </row>
    <row r="349" spans="1:12">
      <c r="A349" s="12">
        <v>29</v>
      </c>
      <c r="B349" s="21">
        <f>EDATE(参数设置!$B$4,A349-1)</f>
        <v>47097</v>
      </c>
      <c r="C349" s="22">
        <f>参数设置!$B$5</f>
        <v>23400</v>
      </c>
      <c r="D349" s="12">
        <v>10</v>
      </c>
      <c r="E349" s="28">
        <f>IF(D349=1,B349,F348)</f>
        <v>47396</v>
      </c>
      <c r="F349" s="28">
        <f>IF(D349&lt;参数设置!$B$12,DATE(YEAR(EDATE(B349,D349+1)),MONTH(EDATE(B349,D349+1)),参数设置!$B$13),EDATE(B349,参数设置!$B$12))</f>
        <v>47427</v>
      </c>
      <c r="G349" s="20">
        <f>F349-E349</f>
        <v>31</v>
      </c>
      <c r="H349" s="25">
        <f>IF(D349=参数设置!$B$12,C349,0)</f>
        <v>0</v>
      </c>
      <c r="I349" s="25">
        <f>IF(L349=1,ROUND(C349*参数设置!$B$10*G349/参数设置!$B$11,参数设置!$B$14),0)</f>
        <v>0</v>
      </c>
      <c r="J349" s="25">
        <f>H349+I349</f>
        <v>0</v>
      </c>
      <c r="K349" s="28">
        <f>EDATE(B349,参数设置!$B$12)</f>
        <v>47462</v>
      </c>
      <c r="L349" s="20">
        <f>--(A349&lt;=参数设置!$B$6)</f>
        <v>0</v>
      </c>
    </row>
    <row r="350" spans="1:12">
      <c r="A350" s="12">
        <v>29</v>
      </c>
      <c r="B350" s="21">
        <f>EDATE(参数设置!$B$4,A350-1)</f>
        <v>47097</v>
      </c>
      <c r="C350" s="22">
        <f>参数设置!$B$5</f>
        <v>23400</v>
      </c>
      <c r="D350" s="12">
        <v>11</v>
      </c>
      <c r="E350" s="28">
        <f>IF(D350=1,B350,F349)</f>
        <v>47427</v>
      </c>
      <c r="F350" s="28">
        <f>IF(D350&lt;参数设置!$B$12,DATE(YEAR(EDATE(B350,D350+1)),MONTH(EDATE(B350,D350+1)),参数设置!$B$13),EDATE(B350,参数设置!$B$12))</f>
        <v>47457</v>
      </c>
      <c r="G350" s="20">
        <f>F350-E350</f>
        <v>30</v>
      </c>
      <c r="H350" s="25">
        <f>IF(D350=参数设置!$B$12,C350,0)</f>
        <v>0</v>
      </c>
      <c r="I350" s="25">
        <f>IF(L350=1,ROUND(C350*参数设置!$B$10*G350/参数设置!$B$11,参数设置!$B$14),0)</f>
        <v>0</v>
      </c>
      <c r="J350" s="25">
        <f>H350+I350</f>
        <v>0</v>
      </c>
      <c r="K350" s="28">
        <f>EDATE(B350,参数设置!$B$12)</f>
        <v>47462</v>
      </c>
      <c r="L350" s="20">
        <f>--(A350&lt;=参数设置!$B$6)</f>
        <v>0</v>
      </c>
    </row>
    <row r="351" spans="1:12">
      <c r="A351" s="12">
        <v>29</v>
      </c>
      <c r="B351" s="21">
        <f>EDATE(参数设置!$B$4,A351-1)</f>
        <v>47097</v>
      </c>
      <c r="C351" s="22">
        <f>参数设置!$B$5</f>
        <v>23400</v>
      </c>
      <c r="D351" s="12">
        <v>12</v>
      </c>
      <c r="E351" s="28">
        <f>IF(D351=1,B351,F350)</f>
        <v>47457</v>
      </c>
      <c r="F351" s="28">
        <f>IF(D351&lt;参数设置!$B$12,DATE(YEAR(EDATE(B351,D351+1)),MONTH(EDATE(B351,D351+1)),参数设置!$B$13),EDATE(B351,参数设置!$B$12))</f>
        <v>47462</v>
      </c>
      <c r="G351" s="20">
        <f>F351-E351</f>
        <v>5</v>
      </c>
      <c r="H351" s="25">
        <f>IF(D351=参数设置!$B$12,C351,0)</f>
        <v>23400</v>
      </c>
      <c r="I351" s="25">
        <f>IF(L351=1,ROUND(C351*参数设置!$B$10*G351/参数设置!$B$11,参数设置!$B$14),0)</f>
        <v>0</v>
      </c>
      <c r="J351" s="25">
        <f>H351+I351</f>
        <v>23400</v>
      </c>
      <c r="K351" s="28">
        <f>EDATE(B351,参数设置!$B$12)</f>
        <v>47462</v>
      </c>
      <c r="L351" s="20">
        <f>--(A351&lt;=参数设置!$B$6)</f>
        <v>0</v>
      </c>
    </row>
    <row r="352" spans="1:12">
      <c r="A352" s="12">
        <v>30</v>
      </c>
      <c r="B352" s="21">
        <f>EDATE(参数设置!$B$4,A352-1)</f>
        <v>47128</v>
      </c>
      <c r="C352" s="22">
        <f>参数设置!$B$5</f>
        <v>23400</v>
      </c>
      <c r="D352" s="12">
        <v>1</v>
      </c>
      <c r="E352" s="28">
        <f>IF(D352=1,B352,F351)</f>
        <v>47128</v>
      </c>
      <c r="F352" s="28">
        <f>IF(D352&lt;参数设置!$B$12,DATE(YEAR(EDATE(B352,D352+1)),MONTH(EDATE(B352,D352+1)),参数设置!$B$13),EDATE(B352,参数设置!$B$12))</f>
        <v>47182</v>
      </c>
      <c r="G352" s="20">
        <f>F352-E352</f>
        <v>54</v>
      </c>
      <c r="H352" s="25">
        <f>IF(D352=参数设置!$B$12,C352,0)</f>
        <v>0</v>
      </c>
      <c r="I352" s="25">
        <f>IF(L352=1,ROUND(C352*参数设置!$B$10*G352/参数设置!$B$11,参数设置!$B$14),0)</f>
        <v>0</v>
      </c>
      <c r="J352" s="25">
        <f>H352+I352</f>
        <v>0</v>
      </c>
      <c r="K352" s="28">
        <f>EDATE(B352,参数设置!$B$12)</f>
        <v>47493</v>
      </c>
      <c r="L352" s="20">
        <f>--(A352&lt;=参数设置!$B$6)</f>
        <v>0</v>
      </c>
    </row>
    <row r="353" spans="1:12">
      <c r="A353" s="12">
        <v>30</v>
      </c>
      <c r="B353" s="21">
        <f>EDATE(参数设置!$B$4,A353-1)</f>
        <v>47128</v>
      </c>
      <c r="C353" s="22">
        <f>参数设置!$B$5</f>
        <v>23400</v>
      </c>
      <c r="D353" s="12">
        <v>2</v>
      </c>
      <c r="E353" s="28">
        <f>IF(D353=1,B353,F352)</f>
        <v>47182</v>
      </c>
      <c r="F353" s="28">
        <f>IF(D353&lt;参数设置!$B$12,DATE(YEAR(EDATE(B353,D353+1)),MONTH(EDATE(B353,D353+1)),参数设置!$B$13),EDATE(B353,参数设置!$B$12))</f>
        <v>47213</v>
      </c>
      <c r="G353" s="20">
        <f>F353-E353</f>
        <v>31</v>
      </c>
      <c r="H353" s="25">
        <f>IF(D353=参数设置!$B$12,C353,0)</f>
        <v>0</v>
      </c>
      <c r="I353" s="25">
        <f>IF(L353=1,ROUND(C353*参数设置!$B$10*G353/参数设置!$B$11,参数设置!$B$14),0)</f>
        <v>0</v>
      </c>
      <c r="J353" s="25">
        <f>H353+I353</f>
        <v>0</v>
      </c>
      <c r="K353" s="28">
        <f>EDATE(B353,参数设置!$B$12)</f>
        <v>47493</v>
      </c>
      <c r="L353" s="20">
        <f>--(A353&lt;=参数设置!$B$6)</f>
        <v>0</v>
      </c>
    </row>
    <row r="354" spans="1:12">
      <c r="A354" s="12">
        <v>30</v>
      </c>
      <c r="B354" s="21">
        <f>EDATE(参数设置!$B$4,A354-1)</f>
        <v>47128</v>
      </c>
      <c r="C354" s="22">
        <f>参数设置!$B$5</f>
        <v>23400</v>
      </c>
      <c r="D354" s="12">
        <v>3</v>
      </c>
      <c r="E354" s="28">
        <f>IF(D354=1,B354,F353)</f>
        <v>47213</v>
      </c>
      <c r="F354" s="28">
        <f>IF(D354&lt;参数设置!$B$12,DATE(YEAR(EDATE(B354,D354+1)),MONTH(EDATE(B354,D354+1)),参数设置!$B$13),EDATE(B354,参数设置!$B$12))</f>
        <v>47243</v>
      </c>
      <c r="G354" s="20">
        <f>F354-E354</f>
        <v>30</v>
      </c>
      <c r="H354" s="25">
        <f>IF(D354=参数设置!$B$12,C354,0)</f>
        <v>0</v>
      </c>
      <c r="I354" s="25">
        <f>IF(L354=1,ROUND(C354*参数设置!$B$10*G354/参数设置!$B$11,参数设置!$B$14),0)</f>
        <v>0</v>
      </c>
      <c r="J354" s="25">
        <f>H354+I354</f>
        <v>0</v>
      </c>
      <c r="K354" s="28">
        <f>EDATE(B354,参数设置!$B$12)</f>
        <v>47493</v>
      </c>
      <c r="L354" s="20">
        <f>--(A354&lt;=参数设置!$B$6)</f>
        <v>0</v>
      </c>
    </row>
    <row r="355" spans="1:12">
      <c r="A355" s="12">
        <v>30</v>
      </c>
      <c r="B355" s="21">
        <f>EDATE(参数设置!$B$4,A355-1)</f>
        <v>47128</v>
      </c>
      <c r="C355" s="22">
        <f>参数设置!$B$5</f>
        <v>23400</v>
      </c>
      <c r="D355" s="12">
        <v>4</v>
      </c>
      <c r="E355" s="28">
        <f>IF(D355=1,B355,F354)</f>
        <v>47243</v>
      </c>
      <c r="F355" s="28">
        <f>IF(D355&lt;参数设置!$B$12,DATE(YEAR(EDATE(B355,D355+1)),MONTH(EDATE(B355,D355+1)),参数设置!$B$13),EDATE(B355,参数设置!$B$12))</f>
        <v>47274</v>
      </c>
      <c r="G355" s="20">
        <f>F355-E355</f>
        <v>31</v>
      </c>
      <c r="H355" s="25">
        <f>IF(D355=参数设置!$B$12,C355,0)</f>
        <v>0</v>
      </c>
      <c r="I355" s="25">
        <f>IF(L355=1,ROUND(C355*参数设置!$B$10*G355/参数设置!$B$11,参数设置!$B$14),0)</f>
        <v>0</v>
      </c>
      <c r="J355" s="25">
        <f>H355+I355</f>
        <v>0</v>
      </c>
      <c r="K355" s="28">
        <f>EDATE(B355,参数设置!$B$12)</f>
        <v>47493</v>
      </c>
      <c r="L355" s="20">
        <f>--(A355&lt;=参数设置!$B$6)</f>
        <v>0</v>
      </c>
    </row>
    <row r="356" spans="1:12">
      <c r="A356" s="12">
        <v>30</v>
      </c>
      <c r="B356" s="21">
        <f>EDATE(参数设置!$B$4,A356-1)</f>
        <v>47128</v>
      </c>
      <c r="C356" s="22">
        <f>参数设置!$B$5</f>
        <v>23400</v>
      </c>
      <c r="D356" s="12">
        <v>5</v>
      </c>
      <c r="E356" s="28">
        <f>IF(D356=1,B356,F355)</f>
        <v>47274</v>
      </c>
      <c r="F356" s="28">
        <f>IF(D356&lt;参数设置!$B$12,DATE(YEAR(EDATE(B356,D356+1)),MONTH(EDATE(B356,D356+1)),参数设置!$B$13),EDATE(B356,参数设置!$B$12))</f>
        <v>47304</v>
      </c>
      <c r="G356" s="20">
        <f>F356-E356</f>
        <v>30</v>
      </c>
      <c r="H356" s="25">
        <f>IF(D356=参数设置!$B$12,C356,0)</f>
        <v>0</v>
      </c>
      <c r="I356" s="25">
        <f>IF(L356=1,ROUND(C356*参数设置!$B$10*G356/参数设置!$B$11,参数设置!$B$14),0)</f>
        <v>0</v>
      </c>
      <c r="J356" s="25">
        <f>H356+I356</f>
        <v>0</v>
      </c>
      <c r="K356" s="28">
        <f>EDATE(B356,参数设置!$B$12)</f>
        <v>47493</v>
      </c>
      <c r="L356" s="20">
        <f>--(A356&lt;=参数设置!$B$6)</f>
        <v>0</v>
      </c>
    </row>
    <row r="357" spans="1:12">
      <c r="A357" s="12">
        <v>30</v>
      </c>
      <c r="B357" s="21">
        <f>EDATE(参数设置!$B$4,A357-1)</f>
        <v>47128</v>
      </c>
      <c r="C357" s="22">
        <f>参数设置!$B$5</f>
        <v>23400</v>
      </c>
      <c r="D357" s="12">
        <v>6</v>
      </c>
      <c r="E357" s="28">
        <f>IF(D357=1,B357,F356)</f>
        <v>47304</v>
      </c>
      <c r="F357" s="28">
        <f>IF(D357&lt;参数设置!$B$12,DATE(YEAR(EDATE(B357,D357+1)),MONTH(EDATE(B357,D357+1)),参数设置!$B$13),EDATE(B357,参数设置!$B$12))</f>
        <v>47335</v>
      </c>
      <c r="G357" s="20">
        <f>F357-E357</f>
        <v>31</v>
      </c>
      <c r="H357" s="25">
        <f>IF(D357=参数设置!$B$12,C357,0)</f>
        <v>0</v>
      </c>
      <c r="I357" s="25">
        <f>IF(L357=1,ROUND(C357*参数设置!$B$10*G357/参数设置!$B$11,参数设置!$B$14),0)</f>
        <v>0</v>
      </c>
      <c r="J357" s="25">
        <f>H357+I357</f>
        <v>0</v>
      </c>
      <c r="K357" s="28">
        <f>EDATE(B357,参数设置!$B$12)</f>
        <v>47493</v>
      </c>
      <c r="L357" s="20">
        <f>--(A357&lt;=参数设置!$B$6)</f>
        <v>0</v>
      </c>
    </row>
    <row r="358" spans="1:12">
      <c r="A358" s="12">
        <v>30</v>
      </c>
      <c r="B358" s="21">
        <f>EDATE(参数设置!$B$4,A358-1)</f>
        <v>47128</v>
      </c>
      <c r="C358" s="22">
        <f>参数设置!$B$5</f>
        <v>23400</v>
      </c>
      <c r="D358" s="12">
        <v>7</v>
      </c>
      <c r="E358" s="28">
        <f>IF(D358=1,B358,F357)</f>
        <v>47335</v>
      </c>
      <c r="F358" s="28">
        <f>IF(D358&lt;参数设置!$B$12,DATE(YEAR(EDATE(B358,D358+1)),MONTH(EDATE(B358,D358+1)),参数设置!$B$13),EDATE(B358,参数设置!$B$12))</f>
        <v>47366</v>
      </c>
      <c r="G358" s="20">
        <f>F358-E358</f>
        <v>31</v>
      </c>
      <c r="H358" s="25">
        <f>IF(D358=参数设置!$B$12,C358,0)</f>
        <v>0</v>
      </c>
      <c r="I358" s="25">
        <f>IF(L358=1,ROUND(C358*参数设置!$B$10*G358/参数设置!$B$11,参数设置!$B$14),0)</f>
        <v>0</v>
      </c>
      <c r="J358" s="25">
        <f>H358+I358</f>
        <v>0</v>
      </c>
      <c r="K358" s="28">
        <f>EDATE(B358,参数设置!$B$12)</f>
        <v>47493</v>
      </c>
      <c r="L358" s="20">
        <f>--(A358&lt;=参数设置!$B$6)</f>
        <v>0</v>
      </c>
    </row>
    <row r="359" spans="1:12">
      <c r="A359" s="12">
        <v>30</v>
      </c>
      <c r="B359" s="21">
        <f>EDATE(参数设置!$B$4,A359-1)</f>
        <v>47128</v>
      </c>
      <c r="C359" s="22">
        <f>参数设置!$B$5</f>
        <v>23400</v>
      </c>
      <c r="D359" s="12">
        <v>8</v>
      </c>
      <c r="E359" s="28">
        <f>IF(D359=1,B359,F358)</f>
        <v>47366</v>
      </c>
      <c r="F359" s="28">
        <f>IF(D359&lt;参数设置!$B$12,DATE(YEAR(EDATE(B359,D359+1)),MONTH(EDATE(B359,D359+1)),参数设置!$B$13),EDATE(B359,参数设置!$B$12))</f>
        <v>47396</v>
      </c>
      <c r="G359" s="20">
        <f>F359-E359</f>
        <v>30</v>
      </c>
      <c r="H359" s="25">
        <f>IF(D359=参数设置!$B$12,C359,0)</f>
        <v>0</v>
      </c>
      <c r="I359" s="25">
        <f>IF(L359=1,ROUND(C359*参数设置!$B$10*G359/参数设置!$B$11,参数设置!$B$14),0)</f>
        <v>0</v>
      </c>
      <c r="J359" s="25">
        <f>H359+I359</f>
        <v>0</v>
      </c>
      <c r="K359" s="28">
        <f>EDATE(B359,参数设置!$B$12)</f>
        <v>47493</v>
      </c>
      <c r="L359" s="20">
        <f>--(A359&lt;=参数设置!$B$6)</f>
        <v>0</v>
      </c>
    </row>
    <row r="360" spans="1:12">
      <c r="A360" s="12">
        <v>30</v>
      </c>
      <c r="B360" s="21">
        <f>EDATE(参数设置!$B$4,A360-1)</f>
        <v>47128</v>
      </c>
      <c r="C360" s="22">
        <f>参数设置!$B$5</f>
        <v>23400</v>
      </c>
      <c r="D360" s="12">
        <v>9</v>
      </c>
      <c r="E360" s="28">
        <f>IF(D360=1,B360,F359)</f>
        <v>47396</v>
      </c>
      <c r="F360" s="28">
        <f>IF(D360&lt;参数设置!$B$12,DATE(YEAR(EDATE(B360,D360+1)),MONTH(EDATE(B360,D360+1)),参数设置!$B$13),EDATE(B360,参数设置!$B$12))</f>
        <v>47427</v>
      </c>
      <c r="G360" s="20">
        <f>F360-E360</f>
        <v>31</v>
      </c>
      <c r="H360" s="25">
        <f>IF(D360=参数设置!$B$12,C360,0)</f>
        <v>0</v>
      </c>
      <c r="I360" s="25">
        <f>IF(L360=1,ROUND(C360*参数设置!$B$10*G360/参数设置!$B$11,参数设置!$B$14),0)</f>
        <v>0</v>
      </c>
      <c r="J360" s="25">
        <f>H360+I360</f>
        <v>0</v>
      </c>
      <c r="K360" s="28">
        <f>EDATE(B360,参数设置!$B$12)</f>
        <v>47493</v>
      </c>
      <c r="L360" s="20">
        <f>--(A360&lt;=参数设置!$B$6)</f>
        <v>0</v>
      </c>
    </row>
    <row r="361" spans="1:12">
      <c r="A361" s="12">
        <v>30</v>
      </c>
      <c r="B361" s="21">
        <f>EDATE(参数设置!$B$4,A361-1)</f>
        <v>47128</v>
      </c>
      <c r="C361" s="22">
        <f>参数设置!$B$5</f>
        <v>23400</v>
      </c>
      <c r="D361" s="12">
        <v>10</v>
      </c>
      <c r="E361" s="28">
        <f>IF(D361=1,B361,F360)</f>
        <v>47427</v>
      </c>
      <c r="F361" s="28">
        <f>IF(D361&lt;参数设置!$B$12,DATE(YEAR(EDATE(B361,D361+1)),MONTH(EDATE(B361,D361+1)),参数设置!$B$13),EDATE(B361,参数设置!$B$12))</f>
        <v>47457</v>
      </c>
      <c r="G361" s="20">
        <f>F361-E361</f>
        <v>30</v>
      </c>
      <c r="H361" s="25">
        <f>IF(D361=参数设置!$B$12,C361,0)</f>
        <v>0</v>
      </c>
      <c r="I361" s="25">
        <f>IF(L361=1,ROUND(C361*参数设置!$B$10*G361/参数设置!$B$11,参数设置!$B$14),0)</f>
        <v>0</v>
      </c>
      <c r="J361" s="25">
        <f>H361+I361</f>
        <v>0</v>
      </c>
      <c r="K361" s="28">
        <f>EDATE(B361,参数设置!$B$12)</f>
        <v>47493</v>
      </c>
      <c r="L361" s="20">
        <f>--(A361&lt;=参数设置!$B$6)</f>
        <v>0</v>
      </c>
    </row>
    <row r="362" spans="1:12">
      <c r="A362" s="12">
        <v>30</v>
      </c>
      <c r="B362" s="21">
        <f>EDATE(参数设置!$B$4,A362-1)</f>
        <v>47128</v>
      </c>
      <c r="C362" s="22">
        <f>参数设置!$B$5</f>
        <v>23400</v>
      </c>
      <c r="D362" s="12">
        <v>11</v>
      </c>
      <c r="E362" s="28">
        <f>IF(D362=1,B362,F361)</f>
        <v>47457</v>
      </c>
      <c r="F362" s="28">
        <f>IF(D362&lt;参数设置!$B$12,DATE(YEAR(EDATE(B362,D362+1)),MONTH(EDATE(B362,D362+1)),参数设置!$B$13),EDATE(B362,参数设置!$B$12))</f>
        <v>47488</v>
      </c>
      <c r="G362" s="20">
        <f>F362-E362</f>
        <v>31</v>
      </c>
      <c r="H362" s="25">
        <f>IF(D362=参数设置!$B$12,C362,0)</f>
        <v>0</v>
      </c>
      <c r="I362" s="25">
        <f>IF(L362=1,ROUND(C362*参数设置!$B$10*G362/参数设置!$B$11,参数设置!$B$14),0)</f>
        <v>0</v>
      </c>
      <c r="J362" s="25">
        <f>H362+I362</f>
        <v>0</v>
      </c>
      <c r="K362" s="28">
        <f>EDATE(B362,参数设置!$B$12)</f>
        <v>47493</v>
      </c>
      <c r="L362" s="20">
        <f>--(A362&lt;=参数设置!$B$6)</f>
        <v>0</v>
      </c>
    </row>
    <row r="363" spans="1:12">
      <c r="A363" s="12">
        <v>30</v>
      </c>
      <c r="B363" s="21">
        <f>EDATE(参数设置!$B$4,A363-1)</f>
        <v>47128</v>
      </c>
      <c r="C363" s="22">
        <f>参数设置!$B$5</f>
        <v>23400</v>
      </c>
      <c r="D363" s="12">
        <v>12</v>
      </c>
      <c r="E363" s="28">
        <f>IF(D363=1,B363,F362)</f>
        <v>47488</v>
      </c>
      <c r="F363" s="28">
        <f>IF(D363&lt;参数设置!$B$12,DATE(YEAR(EDATE(B363,D363+1)),MONTH(EDATE(B363,D363+1)),参数设置!$B$13),EDATE(B363,参数设置!$B$12))</f>
        <v>47493</v>
      </c>
      <c r="G363" s="20">
        <f>F363-E363</f>
        <v>5</v>
      </c>
      <c r="H363" s="25">
        <f>IF(D363=参数设置!$B$12,C363,0)</f>
        <v>23400</v>
      </c>
      <c r="I363" s="25">
        <f>IF(L363=1,ROUND(C363*参数设置!$B$10*G363/参数设置!$B$11,参数设置!$B$14),0)</f>
        <v>0</v>
      </c>
      <c r="J363" s="25">
        <f>H363+I363</f>
        <v>23400</v>
      </c>
      <c r="K363" s="28">
        <f>EDATE(B363,参数设置!$B$12)</f>
        <v>47493</v>
      </c>
      <c r="L363" s="20">
        <f>--(A363&lt;=参数设置!$B$6)</f>
        <v>0</v>
      </c>
    </row>
    <row r="364" spans="1:12">
      <c r="A364" s="12">
        <v>31</v>
      </c>
      <c r="B364" s="21">
        <f>EDATE(参数设置!$B$4,A364-1)</f>
        <v>47159</v>
      </c>
      <c r="C364" s="22">
        <f>参数设置!$B$5</f>
        <v>23400</v>
      </c>
      <c r="D364" s="12">
        <v>1</v>
      </c>
      <c r="E364" s="28">
        <f>IF(D364=1,B364,F363)</f>
        <v>47159</v>
      </c>
      <c r="F364" s="28">
        <f>IF(D364&lt;参数设置!$B$12,DATE(YEAR(EDATE(B364,D364+1)),MONTH(EDATE(B364,D364+1)),参数设置!$B$13),EDATE(B364,参数设置!$B$12))</f>
        <v>47213</v>
      </c>
      <c r="G364" s="20">
        <f>F364-E364</f>
        <v>54</v>
      </c>
      <c r="H364" s="25">
        <f>IF(D364=参数设置!$B$12,C364,0)</f>
        <v>0</v>
      </c>
      <c r="I364" s="25">
        <f>IF(L364=1,ROUND(C364*参数设置!$B$10*G364/参数设置!$B$11,参数设置!$B$14),0)</f>
        <v>0</v>
      </c>
      <c r="J364" s="25">
        <f>H364+I364</f>
        <v>0</v>
      </c>
      <c r="K364" s="28">
        <f>EDATE(B364,参数设置!$B$12)</f>
        <v>47524</v>
      </c>
      <c r="L364" s="20">
        <f>--(A364&lt;=参数设置!$B$6)</f>
        <v>0</v>
      </c>
    </row>
    <row r="365" spans="1:12">
      <c r="A365" s="12">
        <v>31</v>
      </c>
      <c r="B365" s="21">
        <f>EDATE(参数设置!$B$4,A365-1)</f>
        <v>47159</v>
      </c>
      <c r="C365" s="22">
        <f>参数设置!$B$5</f>
        <v>23400</v>
      </c>
      <c r="D365" s="12">
        <v>2</v>
      </c>
      <c r="E365" s="28">
        <f>IF(D365=1,B365,F364)</f>
        <v>47213</v>
      </c>
      <c r="F365" s="28">
        <f>IF(D365&lt;参数设置!$B$12,DATE(YEAR(EDATE(B365,D365+1)),MONTH(EDATE(B365,D365+1)),参数设置!$B$13),EDATE(B365,参数设置!$B$12))</f>
        <v>47243</v>
      </c>
      <c r="G365" s="20">
        <f>F365-E365</f>
        <v>30</v>
      </c>
      <c r="H365" s="25">
        <f>IF(D365=参数设置!$B$12,C365,0)</f>
        <v>0</v>
      </c>
      <c r="I365" s="25">
        <f>IF(L365=1,ROUND(C365*参数设置!$B$10*G365/参数设置!$B$11,参数设置!$B$14),0)</f>
        <v>0</v>
      </c>
      <c r="J365" s="25">
        <f>H365+I365</f>
        <v>0</v>
      </c>
      <c r="K365" s="28">
        <f>EDATE(B365,参数设置!$B$12)</f>
        <v>47524</v>
      </c>
      <c r="L365" s="20">
        <f>--(A365&lt;=参数设置!$B$6)</f>
        <v>0</v>
      </c>
    </row>
    <row r="366" spans="1:12">
      <c r="A366" s="12">
        <v>31</v>
      </c>
      <c r="B366" s="21">
        <f>EDATE(参数设置!$B$4,A366-1)</f>
        <v>47159</v>
      </c>
      <c r="C366" s="22">
        <f>参数设置!$B$5</f>
        <v>23400</v>
      </c>
      <c r="D366" s="12">
        <v>3</v>
      </c>
      <c r="E366" s="28">
        <f>IF(D366=1,B366,F365)</f>
        <v>47243</v>
      </c>
      <c r="F366" s="28">
        <f>IF(D366&lt;参数设置!$B$12,DATE(YEAR(EDATE(B366,D366+1)),MONTH(EDATE(B366,D366+1)),参数设置!$B$13),EDATE(B366,参数设置!$B$12))</f>
        <v>47274</v>
      </c>
      <c r="G366" s="20">
        <f>F366-E366</f>
        <v>31</v>
      </c>
      <c r="H366" s="25">
        <f>IF(D366=参数设置!$B$12,C366,0)</f>
        <v>0</v>
      </c>
      <c r="I366" s="25">
        <f>IF(L366=1,ROUND(C366*参数设置!$B$10*G366/参数设置!$B$11,参数设置!$B$14),0)</f>
        <v>0</v>
      </c>
      <c r="J366" s="25">
        <f>H366+I366</f>
        <v>0</v>
      </c>
      <c r="K366" s="28">
        <f>EDATE(B366,参数设置!$B$12)</f>
        <v>47524</v>
      </c>
      <c r="L366" s="20">
        <f>--(A366&lt;=参数设置!$B$6)</f>
        <v>0</v>
      </c>
    </row>
    <row r="367" spans="1:12">
      <c r="A367" s="12">
        <v>31</v>
      </c>
      <c r="B367" s="21">
        <f>EDATE(参数设置!$B$4,A367-1)</f>
        <v>47159</v>
      </c>
      <c r="C367" s="22">
        <f>参数设置!$B$5</f>
        <v>23400</v>
      </c>
      <c r="D367" s="12">
        <v>4</v>
      </c>
      <c r="E367" s="28">
        <f>IF(D367=1,B367,F366)</f>
        <v>47274</v>
      </c>
      <c r="F367" s="28">
        <f>IF(D367&lt;参数设置!$B$12,DATE(YEAR(EDATE(B367,D367+1)),MONTH(EDATE(B367,D367+1)),参数设置!$B$13),EDATE(B367,参数设置!$B$12))</f>
        <v>47304</v>
      </c>
      <c r="G367" s="20">
        <f>F367-E367</f>
        <v>30</v>
      </c>
      <c r="H367" s="25">
        <f>IF(D367=参数设置!$B$12,C367,0)</f>
        <v>0</v>
      </c>
      <c r="I367" s="25">
        <f>IF(L367=1,ROUND(C367*参数设置!$B$10*G367/参数设置!$B$11,参数设置!$B$14),0)</f>
        <v>0</v>
      </c>
      <c r="J367" s="25">
        <f>H367+I367</f>
        <v>0</v>
      </c>
      <c r="K367" s="28">
        <f>EDATE(B367,参数设置!$B$12)</f>
        <v>47524</v>
      </c>
      <c r="L367" s="20">
        <f>--(A367&lt;=参数设置!$B$6)</f>
        <v>0</v>
      </c>
    </row>
    <row r="368" spans="1:12">
      <c r="A368" s="12">
        <v>31</v>
      </c>
      <c r="B368" s="21">
        <f>EDATE(参数设置!$B$4,A368-1)</f>
        <v>47159</v>
      </c>
      <c r="C368" s="22">
        <f>参数设置!$B$5</f>
        <v>23400</v>
      </c>
      <c r="D368" s="12">
        <v>5</v>
      </c>
      <c r="E368" s="28">
        <f>IF(D368=1,B368,F367)</f>
        <v>47304</v>
      </c>
      <c r="F368" s="28">
        <f>IF(D368&lt;参数设置!$B$12,DATE(YEAR(EDATE(B368,D368+1)),MONTH(EDATE(B368,D368+1)),参数设置!$B$13),EDATE(B368,参数设置!$B$12))</f>
        <v>47335</v>
      </c>
      <c r="G368" s="20">
        <f>F368-E368</f>
        <v>31</v>
      </c>
      <c r="H368" s="25">
        <f>IF(D368=参数设置!$B$12,C368,0)</f>
        <v>0</v>
      </c>
      <c r="I368" s="25">
        <f>IF(L368=1,ROUND(C368*参数设置!$B$10*G368/参数设置!$B$11,参数设置!$B$14),0)</f>
        <v>0</v>
      </c>
      <c r="J368" s="25">
        <f>H368+I368</f>
        <v>0</v>
      </c>
      <c r="K368" s="28">
        <f>EDATE(B368,参数设置!$B$12)</f>
        <v>47524</v>
      </c>
      <c r="L368" s="20">
        <f>--(A368&lt;=参数设置!$B$6)</f>
        <v>0</v>
      </c>
    </row>
    <row r="369" spans="1:12">
      <c r="A369" s="12">
        <v>31</v>
      </c>
      <c r="B369" s="21">
        <f>EDATE(参数设置!$B$4,A369-1)</f>
        <v>47159</v>
      </c>
      <c r="C369" s="22">
        <f>参数设置!$B$5</f>
        <v>23400</v>
      </c>
      <c r="D369" s="12">
        <v>6</v>
      </c>
      <c r="E369" s="28">
        <f>IF(D369=1,B369,F368)</f>
        <v>47335</v>
      </c>
      <c r="F369" s="28">
        <f>IF(D369&lt;参数设置!$B$12,DATE(YEAR(EDATE(B369,D369+1)),MONTH(EDATE(B369,D369+1)),参数设置!$B$13),EDATE(B369,参数设置!$B$12))</f>
        <v>47366</v>
      </c>
      <c r="G369" s="20">
        <f>F369-E369</f>
        <v>31</v>
      </c>
      <c r="H369" s="25">
        <f>IF(D369=参数设置!$B$12,C369,0)</f>
        <v>0</v>
      </c>
      <c r="I369" s="25">
        <f>IF(L369=1,ROUND(C369*参数设置!$B$10*G369/参数设置!$B$11,参数设置!$B$14),0)</f>
        <v>0</v>
      </c>
      <c r="J369" s="25">
        <f>H369+I369</f>
        <v>0</v>
      </c>
      <c r="K369" s="28">
        <f>EDATE(B369,参数设置!$B$12)</f>
        <v>47524</v>
      </c>
      <c r="L369" s="20">
        <f>--(A369&lt;=参数设置!$B$6)</f>
        <v>0</v>
      </c>
    </row>
    <row r="370" spans="1:12">
      <c r="A370" s="12">
        <v>31</v>
      </c>
      <c r="B370" s="21">
        <f>EDATE(参数设置!$B$4,A370-1)</f>
        <v>47159</v>
      </c>
      <c r="C370" s="22">
        <f>参数设置!$B$5</f>
        <v>23400</v>
      </c>
      <c r="D370" s="12">
        <v>7</v>
      </c>
      <c r="E370" s="28">
        <f>IF(D370=1,B370,F369)</f>
        <v>47366</v>
      </c>
      <c r="F370" s="28">
        <f>IF(D370&lt;参数设置!$B$12,DATE(YEAR(EDATE(B370,D370+1)),MONTH(EDATE(B370,D370+1)),参数设置!$B$13),EDATE(B370,参数设置!$B$12))</f>
        <v>47396</v>
      </c>
      <c r="G370" s="20">
        <f>F370-E370</f>
        <v>30</v>
      </c>
      <c r="H370" s="25">
        <f>IF(D370=参数设置!$B$12,C370,0)</f>
        <v>0</v>
      </c>
      <c r="I370" s="25">
        <f>IF(L370=1,ROUND(C370*参数设置!$B$10*G370/参数设置!$B$11,参数设置!$B$14),0)</f>
        <v>0</v>
      </c>
      <c r="J370" s="25">
        <f>H370+I370</f>
        <v>0</v>
      </c>
      <c r="K370" s="28">
        <f>EDATE(B370,参数设置!$B$12)</f>
        <v>47524</v>
      </c>
      <c r="L370" s="20">
        <f>--(A370&lt;=参数设置!$B$6)</f>
        <v>0</v>
      </c>
    </row>
    <row r="371" spans="1:12">
      <c r="A371" s="12">
        <v>31</v>
      </c>
      <c r="B371" s="21">
        <f>EDATE(参数设置!$B$4,A371-1)</f>
        <v>47159</v>
      </c>
      <c r="C371" s="22">
        <f>参数设置!$B$5</f>
        <v>23400</v>
      </c>
      <c r="D371" s="12">
        <v>8</v>
      </c>
      <c r="E371" s="28">
        <f>IF(D371=1,B371,F370)</f>
        <v>47396</v>
      </c>
      <c r="F371" s="28">
        <f>IF(D371&lt;参数设置!$B$12,DATE(YEAR(EDATE(B371,D371+1)),MONTH(EDATE(B371,D371+1)),参数设置!$B$13),EDATE(B371,参数设置!$B$12))</f>
        <v>47427</v>
      </c>
      <c r="G371" s="20">
        <f>F371-E371</f>
        <v>31</v>
      </c>
      <c r="H371" s="25">
        <f>IF(D371=参数设置!$B$12,C371,0)</f>
        <v>0</v>
      </c>
      <c r="I371" s="25">
        <f>IF(L371=1,ROUND(C371*参数设置!$B$10*G371/参数设置!$B$11,参数设置!$B$14),0)</f>
        <v>0</v>
      </c>
      <c r="J371" s="25">
        <f>H371+I371</f>
        <v>0</v>
      </c>
      <c r="K371" s="28">
        <f>EDATE(B371,参数设置!$B$12)</f>
        <v>47524</v>
      </c>
      <c r="L371" s="20">
        <f>--(A371&lt;=参数设置!$B$6)</f>
        <v>0</v>
      </c>
    </row>
    <row r="372" spans="1:12">
      <c r="A372" s="12">
        <v>31</v>
      </c>
      <c r="B372" s="21">
        <f>EDATE(参数设置!$B$4,A372-1)</f>
        <v>47159</v>
      </c>
      <c r="C372" s="22">
        <f>参数设置!$B$5</f>
        <v>23400</v>
      </c>
      <c r="D372" s="12">
        <v>9</v>
      </c>
      <c r="E372" s="28">
        <f>IF(D372=1,B372,F371)</f>
        <v>47427</v>
      </c>
      <c r="F372" s="28">
        <f>IF(D372&lt;参数设置!$B$12,DATE(YEAR(EDATE(B372,D372+1)),MONTH(EDATE(B372,D372+1)),参数设置!$B$13),EDATE(B372,参数设置!$B$12))</f>
        <v>47457</v>
      </c>
      <c r="G372" s="20">
        <f>F372-E372</f>
        <v>30</v>
      </c>
      <c r="H372" s="25">
        <f>IF(D372=参数设置!$B$12,C372,0)</f>
        <v>0</v>
      </c>
      <c r="I372" s="25">
        <f>IF(L372=1,ROUND(C372*参数设置!$B$10*G372/参数设置!$B$11,参数设置!$B$14),0)</f>
        <v>0</v>
      </c>
      <c r="J372" s="25">
        <f>H372+I372</f>
        <v>0</v>
      </c>
      <c r="K372" s="28">
        <f>EDATE(B372,参数设置!$B$12)</f>
        <v>47524</v>
      </c>
      <c r="L372" s="20">
        <f>--(A372&lt;=参数设置!$B$6)</f>
        <v>0</v>
      </c>
    </row>
    <row r="373" spans="1:12">
      <c r="A373" s="12">
        <v>31</v>
      </c>
      <c r="B373" s="21">
        <f>EDATE(参数设置!$B$4,A373-1)</f>
        <v>47159</v>
      </c>
      <c r="C373" s="22">
        <f>参数设置!$B$5</f>
        <v>23400</v>
      </c>
      <c r="D373" s="12">
        <v>10</v>
      </c>
      <c r="E373" s="28">
        <f>IF(D373=1,B373,F372)</f>
        <v>47457</v>
      </c>
      <c r="F373" s="28">
        <f>IF(D373&lt;参数设置!$B$12,DATE(YEAR(EDATE(B373,D373+1)),MONTH(EDATE(B373,D373+1)),参数设置!$B$13),EDATE(B373,参数设置!$B$12))</f>
        <v>47488</v>
      </c>
      <c r="G373" s="20">
        <f>F373-E373</f>
        <v>31</v>
      </c>
      <c r="H373" s="25">
        <f>IF(D373=参数设置!$B$12,C373,0)</f>
        <v>0</v>
      </c>
      <c r="I373" s="25">
        <f>IF(L373=1,ROUND(C373*参数设置!$B$10*G373/参数设置!$B$11,参数设置!$B$14),0)</f>
        <v>0</v>
      </c>
      <c r="J373" s="25">
        <f>H373+I373</f>
        <v>0</v>
      </c>
      <c r="K373" s="28">
        <f>EDATE(B373,参数设置!$B$12)</f>
        <v>47524</v>
      </c>
      <c r="L373" s="20">
        <f>--(A373&lt;=参数设置!$B$6)</f>
        <v>0</v>
      </c>
    </row>
    <row r="374" spans="1:12">
      <c r="A374" s="12">
        <v>31</v>
      </c>
      <c r="B374" s="21">
        <f>EDATE(参数设置!$B$4,A374-1)</f>
        <v>47159</v>
      </c>
      <c r="C374" s="22">
        <f>参数设置!$B$5</f>
        <v>23400</v>
      </c>
      <c r="D374" s="12">
        <v>11</v>
      </c>
      <c r="E374" s="28">
        <f>IF(D374=1,B374,F373)</f>
        <v>47488</v>
      </c>
      <c r="F374" s="28">
        <f>IF(D374&lt;参数设置!$B$12,DATE(YEAR(EDATE(B374,D374+1)),MONTH(EDATE(B374,D374+1)),参数设置!$B$13),EDATE(B374,参数设置!$B$12))</f>
        <v>47519</v>
      </c>
      <c r="G374" s="20">
        <f>F374-E374</f>
        <v>31</v>
      </c>
      <c r="H374" s="25">
        <f>IF(D374=参数设置!$B$12,C374,0)</f>
        <v>0</v>
      </c>
      <c r="I374" s="25">
        <f>IF(L374=1,ROUND(C374*参数设置!$B$10*G374/参数设置!$B$11,参数设置!$B$14),0)</f>
        <v>0</v>
      </c>
      <c r="J374" s="25">
        <f>H374+I374</f>
        <v>0</v>
      </c>
      <c r="K374" s="28">
        <f>EDATE(B374,参数设置!$B$12)</f>
        <v>47524</v>
      </c>
      <c r="L374" s="20">
        <f>--(A374&lt;=参数设置!$B$6)</f>
        <v>0</v>
      </c>
    </row>
    <row r="375" spans="1:12">
      <c r="A375" s="12">
        <v>31</v>
      </c>
      <c r="B375" s="21">
        <f>EDATE(参数设置!$B$4,A375-1)</f>
        <v>47159</v>
      </c>
      <c r="C375" s="22">
        <f>参数设置!$B$5</f>
        <v>23400</v>
      </c>
      <c r="D375" s="12">
        <v>12</v>
      </c>
      <c r="E375" s="28">
        <f>IF(D375=1,B375,F374)</f>
        <v>47519</v>
      </c>
      <c r="F375" s="28">
        <f>IF(D375&lt;参数设置!$B$12,DATE(YEAR(EDATE(B375,D375+1)),MONTH(EDATE(B375,D375+1)),参数设置!$B$13),EDATE(B375,参数设置!$B$12))</f>
        <v>47524</v>
      </c>
      <c r="G375" s="20">
        <f>F375-E375</f>
        <v>5</v>
      </c>
      <c r="H375" s="25">
        <f>IF(D375=参数设置!$B$12,C375,0)</f>
        <v>23400</v>
      </c>
      <c r="I375" s="25">
        <f>IF(L375=1,ROUND(C375*参数设置!$B$10*G375/参数设置!$B$11,参数设置!$B$14),0)</f>
        <v>0</v>
      </c>
      <c r="J375" s="25">
        <f>H375+I375</f>
        <v>23400</v>
      </c>
      <c r="K375" s="28">
        <f>EDATE(B375,参数设置!$B$12)</f>
        <v>47524</v>
      </c>
      <c r="L375" s="20">
        <f>--(A375&lt;=参数设置!$B$6)</f>
        <v>0</v>
      </c>
    </row>
    <row r="376" spans="1:12">
      <c r="A376" s="12">
        <v>32</v>
      </c>
      <c r="B376" s="21">
        <f>EDATE(参数设置!$B$4,A376-1)</f>
        <v>47187</v>
      </c>
      <c r="C376" s="22">
        <f>参数设置!$B$5</f>
        <v>23400</v>
      </c>
      <c r="D376" s="12">
        <v>1</v>
      </c>
      <c r="E376" s="28">
        <f>IF(D376=1,B376,F375)</f>
        <v>47187</v>
      </c>
      <c r="F376" s="28">
        <f>IF(D376&lt;参数设置!$B$12,DATE(YEAR(EDATE(B376,D376+1)),MONTH(EDATE(B376,D376+1)),参数设置!$B$13),EDATE(B376,参数设置!$B$12))</f>
        <v>47243</v>
      </c>
      <c r="G376" s="20">
        <f>F376-E376</f>
        <v>56</v>
      </c>
      <c r="H376" s="25">
        <f>IF(D376=参数设置!$B$12,C376,0)</f>
        <v>0</v>
      </c>
      <c r="I376" s="25">
        <f>IF(L376=1,ROUND(C376*参数设置!$B$10*G376/参数设置!$B$11,参数设置!$B$14),0)</f>
        <v>0</v>
      </c>
      <c r="J376" s="25">
        <f>H376+I376</f>
        <v>0</v>
      </c>
      <c r="K376" s="28">
        <f>EDATE(B376,参数设置!$B$12)</f>
        <v>47552</v>
      </c>
      <c r="L376" s="20">
        <f>--(A376&lt;=参数设置!$B$6)</f>
        <v>0</v>
      </c>
    </row>
    <row r="377" spans="1:12">
      <c r="A377" s="12">
        <v>32</v>
      </c>
      <c r="B377" s="21">
        <f>EDATE(参数设置!$B$4,A377-1)</f>
        <v>47187</v>
      </c>
      <c r="C377" s="22">
        <f>参数设置!$B$5</f>
        <v>23400</v>
      </c>
      <c r="D377" s="12">
        <v>2</v>
      </c>
      <c r="E377" s="28">
        <f>IF(D377=1,B377,F376)</f>
        <v>47243</v>
      </c>
      <c r="F377" s="28">
        <f>IF(D377&lt;参数设置!$B$12,DATE(YEAR(EDATE(B377,D377+1)),MONTH(EDATE(B377,D377+1)),参数设置!$B$13),EDATE(B377,参数设置!$B$12))</f>
        <v>47274</v>
      </c>
      <c r="G377" s="20">
        <f>F377-E377</f>
        <v>31</v>
      </c>
      <c r="H377" s="25">
        <f>IF(D377=参数设置!$B$12,C377,0)</f>
        <v>0</v>
      </c>
      <c r="I377" s="25">
        <f>IF(L377=1,ROUND(C377*参数设置!$B$10*G377/参数设置!$B$11,参数设置!$B$14),0)</f>
        <v>0</v>
      </c>
      <c r="J377" s="25">
        <f>H377+I377</f>
        <v>0</v>
      </c>
      <c r="K377" s="28">
        <f>EDATE(B377,参数设置!$B$12)</f>
        <v>47552</v>
      </c>
      <c r="L377" s="20">
        <f>--(A377&lt;=参数设置!$B$6)</f>
        <v>0</v>
      </c>
    </row>
    <row r="378" spans="1:12">
      <c r="A378" s="12">
        <v>32</v>
      </c>
      <c r="B378" s="21">
        <f>EDATE(参数设置!$B$4,A378-1)</f>
        <v>47187</v>
      </c>
      <c r="C378" s="22">
        <f>参数设置!$B$5</f>
        <v>23400</v>
      </c>
      <c r="D378" s="12">
        <v>3</v>
      </c>
      <c r="E378" s="28">
        <f>IF(D378=1,B378,F377)</f>
        <v>47274</v>
      </c>
      <c r="F378" s="28">
        <f>IF(D378&lt;参数设置!$B$12,DATE(YEAR(EDATE(B378,D378+1)),MONTH(EDATE(B378,D378+1)),参数设置!$B$13),EDATE(B378,参数设置!$B$12))</f>
        <v>47304</v>
      </c>
      <c r="G378" s="20">
        <f>F378-E378</f>
        <v>30</v>
      </c>
      <c r="H378" s="25">
        <f>IF(D378=参数设置!$B$12,C378,0)</f>
        <v>0</v>
      </c>
      <c r="I378" s="25">
        <f>IF(L378=1,ROUND(C378*参数设置!$B$10*G378/参数设置!$B$11,参数设置!$B$14),0)</f>
        <v>0</v>
      </c>
      <c r="J378" s="25">
        <f>H378+I378</f>
        <v>0</v>
      </c>
      <c r="K378" s="28">
        <f>EDATE(B378,参数设置!$B$12)</f>
        <v>47552</v>
      </c>
      <c r="L378" s="20">
        <f>--(A378&lt;=参数设置!$B$6)</f>
        <v>0</v>
      </c>
    </row>
    <row r="379" spans="1:12">
      <c r="A379" s="12">
        <v>32</v>
      </c>
      <c r="B379" s="21">
        <f>EDATE(参数设置!$B$4,A379-1)</f>
        <v>47187</v>
      </c>
      <c r="C379" s="22">
        <f>参数设置!$B$5</f>
        <v>23400</v>
      </c>
      <c r="D379" s="12">
        <v>4</v>
      </c>
      <c r="E379" s="28">
        <f>IF(D379=1,B379,F378)</f>
        <v>47304</v>
      </c>
      <c r="F379" s="28">
        <f>IF(D379&lt;参数设置!$B$12,DATE(YEAR(EDATE(B379,D379+1)),MONTH(EDATE(B379,D379+1)),参数设置!$B$13),EDATE(B379,参数设置!$B$12))</f>
        <v>47335</v>
      </c>
      <c r="G379" s="20">
        <f>F379-E379</f>
        <v>31</v>
      </c>
      <c r="H379" s="25">
        <f>IF(D379=参数设置!$B$12,C379,0)</f>
        <v>0</v>
      </c>
      <c r="I379" s="25">
        <f>IF(L379=1,ROUND(C379*参数设置!$B$10*G379/参数设置!$B$11,参数设置!$B$14),0)</f>
        <v>0</v>
      </c>
      <c r="J379" s="25">
        <f>H379+I379</f>
        <v>0</v>
      </c>
      <c r="K379" s="28">
        <f>EDATE(B379,参数设置!$B$12)</f>
        <v>47552</v>
      </c>
      <c r="L379" s="20">
        <f>--(A379&lt;=参数设置!$B$6)</f>
        <v>0</v>
      </c>
    </row>
    <row r="380" spans="1:12">
      <c r="A380" s="12">
        <v>32</v>
      </c>
      <c r="B380" s="21">
        <f>EDATE(参数设置!$B$4,A380-1)</f>
        <v>47187</v>
      </c>
      <c r="C380" s="22">
        <f>参数设置!$B$5</f>
        <v>23400</v>
      </c>
      <c r="D380" s="12">
        <v>5</v>
      </c>
      <c r="E380" s="28">
        <f>IF(D380=1,B380,F379)</f>
        <v>47335</v>
      </c>
      <c r="F380" s="28">
        <f>IF(D380&lt;参数设置!$B$12,DATE(YEAR(EDATE(B380,D380+1)),MONTH(EDATE(B380,D380+1)),参数设置!$B$13),EDATE(B380,参数设置!$B$12))</f>
        <v>47366</v>
      </c>
      <c r="G380" s="20">
        <f>F380-E380</f>
        <v>31</v>
      </c>
      <c r="H380" s="25">
        <f>IF(D380=参数设置!$B$12,C380,0)</f>
        <v>0</v>
      </c>
      <c r="I380" s="25">
        <f>IF(L380=1,ROUND(C380*参数设置!$B$10*G380/参数设置!$B$11,参数设置!$B$14),0)</f>
        <v>0</v>
      </c>
      <c r="J380" s="25">
        <f>H380+I380</f>
        <v>0</v>
      </c>
      <c r="K380" s="28">
        <f>EDATE(B380,参数设置!$B$12)</f>
        <v>47552</v>
      </c>
      <c r="L380" s="20">
        <f>--(A380&lt;=参数设置!$B$6)</f>
        <v>0</v>
      </c>
    </row>
    <row r="381" spans="1:12">
      <c r="A381" s="12">
        <v>32</v>
      </c>
      <c r="B381" s="21">
        <f>EDATE(参数设置!$B$4,A381-1)</f>
        <v>47187</v>
      </c>
      <c r="C381" s="22">
        <f>参数设置!$B$5</f>
        <v>23400</v>
      </c>
      <c r="D381" s="12">
        <v>6</v>
      </c>
      <c r="E381" s="28">
        <f>IF(D381=1,B381,F380)</f>
        <v>47366</v>
      </c>
      <c r="F381" s="28">
        <f>IF(D381&lt;参数设置!$B$12,DATE(YEAR(EDATE(B381,D381+1)),MONTH(EDATE(B381,D381+1)),参数设置!$B$13),EDATE(B381,参数设置!$B$12))</f>
        <v>47396</v>
      </c>
      <c r="G381" s="20">
        <f>F381-E381</f>
        <v>30</v>
      </c>
      <c r="H381" s="25">
        <f>IF(D381=参数设置!$B$12,C381,0)</f>
        <v>0</v>
      </c>
      <c r="I381" s="25">
        <f>IF(L381=1,ROUND(C381*参数设置!$B$10*G381/参数设置!$B$11,参数设置!$B$14),0)</f>
        <v>0</v>
      </c>
      <c r="J381" s="25">
        <f>H381+I381</f>
        <v>0</v>
      </c>
      <c r="K381" s="28">
        <f>EDATE(B381,参数设置!$B$12)</f>
        <v>47552</v>
      </c>
      <c r="L381" s="20">
        <f>--(A381&lt;=参数设置!$B$6)</f>
        <v>0</v>
      </c>
    </row>
    <row r="382" spans="1:12">
      <c r="A382" s="12">
        <v>32</v>
      </c>
      <c r="B382" s="21">
        <f>EDATE(参数设置!$B$4,A382-1)</f>
        <v>47187</v>
      </c>
      <c r="C382" s="22">
        <f>参数设置!$B$5</f>
        <v>23400</v>
      </c>
      <c r="D382" s="12">
        <v>7</v>
      </c>
      <c r="E382" s="28">
        <f>IF(D382=1,B382,F381)</f>
        <v>47396</v>
      </c>
      <c r="F382" s="28">
        <f>IF(D382&lt;参数设置!$B$12,DATE(YEAR(EDATE(B382,D382+1)),MONTH(EDATE(B382,D382+1)),参数设置!$B$13),EDATE(B382,参数设置!$B$12))</f>
        <v>47427</v>
      </c>
      <c r="G382" s="20">
        <f>F382-E382</f>
        <v>31</v>
      </c>
      <c r="H382" s="25">
        <f>IF(D382=参数设置!$B$12,C382,0)</f>
        <v>0</v>
      </c>
      <c r="I382" s="25">
        <f>IF(L382=1,ROUND(C382*参数设置!$B$10*G382/参数设置!$B$11,参数设置!$B$14),0)</f>
        <v>0</v>
      </c>
      <c r="J382" s="25">
        <f>H382+I382</f>
        <v>0</v>
      </c>
      <c r="K382" s="28">
        <f>EDATE(B382,参数设置!$B$12)</f>
        <v>47552</v>
      </c>
      <c r="L382" s="20">
        <f>--(A382&lt;=参数设置!$B$6)</f>
        <v>0</v>
      </c>
    </row>
    <row r="383" spans="1:12">
      <c r="A383" s="12">
        <v>32</v>
      </c>
      <c r="B383" s="21">
        <f>EDATE(参数设置!$B$4,A383-1)</f>
        <v>47187</v>
      </c>
      <c r="C383" s="22">
        <f>参数设置!$B$5</f>
        <v>23400</v>
      </c>
      <c r="D383" s="12">
        <v>8</v>
      </c>
      <c r="E383" s="28">
        <f>IF(D383=1,B383,F382)</f>
        <v>47427</v>
      </c>
      <c r="F383" s="28">
        <f>IF(D383&lt;参数设置!$B$12,DATE(YEAR(EDATE(B383,D383+1)),MONTH(EDATE(B383,D383+1)),参数设置!$B$13),EDATE(B383,参数设置!$B$12))</f>
        <v>47457</v>
      </c>
      <c r="G383" s="20">
        <f>F383-E383</f>
        <v>30</v>
      </c>
      <c r="H383" s="25">
        <f>IF(D383=参数设置!$B$12,C383,0)</f>
        <v>0</v>
      </c>
      <c r="I383" s="25">
        <f>IF(L383=1,ROUND(C383*参数设置!$B$10*G383/参数设置!$B$11,参数设置!$B$14),0)</f>
        <v>0</v>
      </c>
      <c r="J383" s="25">
        <f>H383+I383</f>
        <v>0</v>
      </c>
      <c r="K383" s="28">
        <f>EDATE(B383,参数设置!$B$12)</f>
        <v>47552</v>
      </c>
      <c r="L383" s="20">
        <f>--(A383&lt;=参数设置!$B$6)</f>
        <v>0</v>
      </c>
    </row>
    <row r="384" spans="1:12">
      <c r="A384" s="12">
        <v>32</v>
      </c>
      <c r="B384" s="21">
        <f>EDATE(参数设置!$B$4,A384-1)</f>
        <v>47187</v>
      </c>
      <c r="C384" s="22">
        <f>参数设置!$B$5</f>
        <v>23400</v>
      </c>
      <c r="D384" s="12">
        <v>9</v>
      </c>
      <c r="E384" s="28">
        <f>IF(D384=1,B384,F383)</f>
        <v>47457</v>
      </c>
      <c r="F384" s="28">
        <f>IF(D384&lt;参数设置!$B$12,DATE(YEAR(EDATE(B384,D384+1)),MONTH(EDATE(B384,D384+1)),参数设置!$B$13),EDATE(B384,参数设置!$B$12))</f>
        <v>47488</v>
      </c>
      <c r="G384" s="20">
        <f>F384-E384</f>
        <v>31</v>
      </c>
      <c r="H384" s="25">
        <f>IF(D384=参数设置!$B$12,C384,0)</f>
        <v>0</v>
      </c>
      <c r="I384" s="25">
        <f>IF(L384=1,ROUND(C384*参数设置!$B$10*G384/参数设置!$B$11,参数设置!$B$14),0)</f>
        <v>0</v>
      </c>
      <c r="J384" s="25">
        <f>H384+I384</f>
        <v>0</v>
      </c>
      <c r="K384" s="28">
        <f>EDATE(B384,参数设置!$B$12)</f>
        <v>47552</v>
      </c>
      <c r="L384" s="20">
        <f>--(A384&lt;=参数设置!$B$6)</f>
        <v>0</v>
      </c>
    </row>
    <row r="385" spans="1:12">
      <c r="A385" s="12">
        <v>32</v>
      </c>
      <c r="B385" s="21">
        <f>EDATE(参数设置!$B$4,A385-1)</f>
        <v>47187</v>
      </c>
      <c r="C385" s="22">
        <f>参数设置!$B$5</f>
        <v>23400</v>
      </c>
      <c r="D385" s="12">
        <v>10</v>
      </c>
      <c r="E385" s="28">
        <f>IF(D385=1,B385,F384)</f>
        <v>47488</v>
      </c>
      <c r="F385" s="28">
        <f>IF(D385&lt;参数设置!$B$12,DATE(YEAR(EDATE(B385,D385+1)),MONTH(EDATE(B385,D385+1)),参数设置!$B$13),EDATE(B385,参数设置!$B$12))</f>
        <v>47519</v>
      </c>
      <c r="G385" s="20">
        <f>F385-E385</f>
        <v>31</v>
      </c>
      <c r="H385" s="25">
        <f>IF(D385=参数设置!$B$12,C385,0)</f>
        <v>0</v>
      </c>
      <c r="I385" s="25">
        <f>IF(L385=1,ROUND(C385*参数设置!$B$10*G385/参数设置!$B$11,参数设置!$B$14),0)</f>
        <v>0</v>
      </c>
      <c r="J385" s="25">
        <f>H385+I385</f>
        <v>0</v>
      </c>
      <c r="K385" s="28">
        <f>EDATE(B385,参数设置!$B$12)</f>
        <v>47552</v>
      </c>
      <c r="L385" s="20">
        <f>--(A385&lt;=参数设置!$B$6)</f>
        <v>0</v>
      </c>
    </row>
    <row r="386" spans="1:12">
      <c r="A386" s="12">
        <v>32</v>
      </c>
      <c r="B386" s="21">
        <f>EDATE(参数设置!$B$4,A386-1)</f>
        <v>47187</v>
      </c>
      <c r="C386" s="22">
        <f>参数设置!$B$5</f>
        <v>23400</v>
      </c>
      <c r="D386" s="12">
        <v>11</v>
      </c>
      <c r="E386" s="28">
        <f>IF(D386=1,B386,F385)</f>
        <v>47519</v>
      </c>
      <c r="F386" s="28">
        <f>IF(D386&lt;参数设置!$B$12,DATE(YEAR(EDATE(B386,D386+1)),MONTH(EDATE(B386,D386+1)),参数设置!$B$13),EDATE(B386,参数设置!$B$12))</f>
        <v>47547</v>
      </c>
      <c r="G386" s="20">
        <f>F386-E386</f>
        <v>28</v>
      </c>
      <c r="H386" s="25">
        <f>IF(D386=参数设置!$B$12,C386,0)</f>
        <v>0</v>
      </c>
      <c r="I386" s="25">
        <f>IF(L386=1,ROUND(C386*参数设置!$B$10*G386/参数设置!$B$11,参数设置!$B$14),0)</f>
        <v>0</v>
      </c>
      <c r="J386" s="25">
        <f>H386+I386</f>
        <v>0</v>
      </c>
      <c r="K386" s="28">
        <f>EDATE(B386,参数设置!$B$12)</f>
        <v>47552</v>
      </c>
      <c r="L386" s="20">
        <f>--(A386&lt;=参数设置!$B$6)</f>
        <v>0</v>
      </c>
    </row>
    <row r="387" spans="1:12">
      <c r="A387" s="12">
        <v>32</v>
      </c>
      <c r="B387" s="21">
        <f>EDATE(参数设置!$B$4,A387-1)</f>
        <v>47187</v>
      </c>
      <c r="C387" s="22">
        <f>参数设置!$B$5</f>
        <v>23400</v>
      </c>
      <c r="D387" s="12">
        <v>12</v>
      </c>
      <c r="E387" s="28">
        <f>IF(D387=1,B387,F386)</f>
        <v>47547</v>
      </c>
      <c r="F387" s="28">
        <f>IF(D387&lt;参数设置!$B$12,DATE(YEAR(EDATE(B387,D387+1)),MONTH(EDATE(B387,D387+1)),参数设置!$B$13),EDATE(B387,参数设置!$B$12))</f>
        <v>47552</v>
      </c>
      <c r="G387" s="20">
        <f>F387-E387</f>
        <v>5</v>
      </c>
      <c r="H387" s="25">
        <f>IF(D387=参数设置!$B$12,C387,0)</f>
        <v>23400</v>
      </c>
      <c r="I387" s="25">
        <f>IF(L387=1,ROUND(C387*参数设置!$B$10*G387/参数设置!$B$11,参数设置!$B$14),0)</f>
        <v>0</v>
      </c>
      <c r="J387" s="25">
        <f>H387+I387</f>
        <v>23400</v>
      </c>
      <c r="K387" s="28">
        <f>EDATE(B387,参数设置!$B$12)</f>
        <v>47552</v>
      </c>
      <c r="L387" s="20">
        <f>--(A387&lt;=参数设置!$B$6)</f>
        <v>0</v>
      </c>
    </row>
    <row r="388" spans="1:12">
      <c r="A388" s="12">
        <v>33</v>
      </c>
      <c r="B388" s="21">
        <f>EDATE(参数设置!$B$4,A388-1)</f>
        <v>47218</v>
      </c>
      <c r="C388" s="22">
        <f>参数设置!$B$5</f>
        <v>23400</v>
      </c>
      <c r="D388" s="12">
        <v>1</v>
      </c>
      <c r="E388" s="28">
        <f>IF(D388=1,B388,F387)</f>
        <v>47218</v>
      </c>
      <c r="F388" s="28">
        <f>IF(D388&lt;参数设置!$B$12,DATE(YEAR(EDATE(B388,D388+1)),MONTH(EDATE(B388,D388+1)),参数设置!$B$13),EDATE(B388,参数设置!$B$12))</f>
        <v>47274</v>
      </c>
      <c r="G388" s="20">
        <f>F388-E388</f>
        <v>56</v>
      </c>
      <c r="H388" s="25">
        <f>IF(D388=参数设置!$B$12,C388,0)</f>
        <v>0</v>
      </c>
      <c r="I388" s="25">
        <f>IF(L388=1,ROUND(C388*参数设置!$B$10*G388/参数设置!$B$11,参数设置!$B$14),0)</f>
        <v>0</v>
      </c>
      <c r="J388" s="25">
        <f>H388+I388</f>
        <v>0</v>
      </c>
      <c r="K388" s="28">
        <f>EDATE(B388,参数设置!$B$12)</f>
        <v>47583</v>
      </c>
      <c r="L388" s="20">
        <f>--(A388&lt;=参数设置!$B$6)</f>
        <v>0</v>
      </c>
    </row>
    <row r="389" spans="1:12">
      <c r="A389" s="12">
        <v>33</v>
      </c>
      <c r="B389" s="21">
        <f>EDATE(参数设置!$B$4,A389-1)</f>
        <v>47218</v>
      </c>
      <c r="C389" s="22">
        <f>参数设置!$B$5</f>
        <v>23400</v>
      </c>
      <c r="D389" s="12">
        <v>2</v>
      </c>
      <c r="E389" s="28">
        <f>IF(D389=1,B389,F388)</f>
        <v>47274</v>
      </c>
      <c r="F389" s="28">
        <f>IF(D389&lt;参数设置!$B$12,DATE(YEAR(EDATE(B389,D389+1)),MONTH(EDATE(B389,D389+1)),参数设置!$B$13),EDATE(B389,参数设置!$B$12))</f>
        <v>47304</v>
      </c>
      <c r="G389" s="20">
        <f>F389-E389</f>
        <v>30</v>
      </c>
      <c r="H389" s="25">
        <f>IF(D389=参数设置!$B$12,C389,0)</f>
        <v>0</v>
      </c>
      <c r="I389" s="25">
        <f>IF(L389=1,ROUND(C389*参数设置!$B$10*G389/参数设置!$B$11,参数设置!$B$14),0)</f>
        <v>0</v>
      </c>
      <c r="J389" s="25">
        <f>H389+I389</f>
        <v>0</v>
      </c>
      <c r="K389" s="28">
        <f>EDATE(B389,参数设置!$B$12)</f>
        <v>47583</v>
      </c>
      <c r="L389" s="20">
        <f>--(A389&lt;=参数设置!$B$6)</f>
        <v>0</v>
      </c>
    </row>
    <row r="390" spans="1:12">
      <c r="A390" s="12">
        <v>33</v>
      </c>
      <c r="B390" s="21">
        <f>EDATE(参数设置!$B$4,A390-1)</f>
        <v>47218</v>
      </c>
      <c r="C390" s="22">
        <f>参数设置!$B$5</f>
        <v>23400</v>
      </c>
      <c r="D390" s="12">
        <v>3</v>
      </c>
      <c r="E390" s="28">
        <f>IF(D390=1,B390,F389)</f>
        <v>47304</v>
      </c>
      <c r="F390" s="28">
        <f>IF(D390&lt;参数设置!$B$12,DATE(YEAR(EDATE(B390,D390+1)),MONTH(EDATE(B390,D390+1)),参数设置!$B$13),EDATE(B390,参数设置!$B$12))</f>
        <v>47335</v>
      </c>
      <c r="G390" s="20">
        <f>F390-E390</f>
        <v>31</v>
      </c>
      <c r="H390" s="25">
        <f>IF(D390=参数设置!$B$12,C390,0)</f>
        <v>0</v>
      </c>
      <c r="I390" s="25">
        <f>IF(L390=1,ROUND(C390*参数设置!$B$10*G390/参数设置!$B$11,参数设置!$B$14),0)</f>
        <v>0</v>
      </c>
      <c r="J390" s="25">
        <f>H390+I390</f>
        <v>0</v>
      </c>
      <c r="K390" s="28">
        <f>EDATE(B390,参数设置!$B$12)</f>
        <v>47583</v>
      </c>
      <c r="L390" s="20">
        <f>--(A390&lt;=参数设置!$B$6)</f>
        <v>0</v>
      </c>
    </row>
    <row r="391" spans="1:12">
      <c r="A391" s="12">
        <v>33</v>
      </c>
      <c r="B391" s="21">
        <f>EDATE(参数设置!$B$4,A391-1)</f>
        <v>47218</v>
      </c>
      <c r="C391" s="22">
        <f>参数设置!$B$5</f>
        <v>23400</v>
      </c>
      <c r="D391" s="12">
        <v>4</v>
      </c>
      <c r="E391" s="28">
        <f>IF(D391=1,B391,F390)</f>
        <v>47335</v>
      </c>
      <c r="F391" s="28">
        <f>IF(D391&lt;参数设置!$B$12,DATE(YEAR(EDATE(B391,D391+1)),MONTH(EDATE(B391,D391+1)),参数设置!$B$13),EDATE(B391,参数设置!$B$12))</f>
        <v>47366</v>
      </c>
      <c r="G391" s="20">
        <f>F391-E391</f>
        <v>31</v>
      </c>
      <c r="H391" s="25">
        <f>IF(D391=参数设置!$B$12,C391,0)</f>
        <v>0</v>
      </c>
      <c r="I391" s="25">
        <f>IF(L391=1,ROUND(C391*参数设置!$B$10*G391/参数设置!$B$11,参数设置!$B$14),0)</f>
        <v>0</v>
      </c>
      <c r="J391" s="25">
        <f>H391+I391</f>
        <v>0</v>
      </c>
      <c r="K391" s="28">
        <f>EDATE(B391,参数设置!$B$12)</f>
        <v>47583</v>
      </c>
      <c r="L391" s="20">
        <f>--(A391&lt;=参数设置!$B$6)</f>
        <v>0</v>
      </c>
    </row>
    <row r="392" spans="1:12">
      <c r="A392" s="12">
        <v>33</v>
      </c>
      <c r="B392" s="21">
        <f>EDATE(参数设置!$B$4,A392-1)</f>
        <v>47218</v>
      </c>
      <c r="C392" s="22">
        <f>参数设置!$B$5</f>
        <v>23400</v>
      </c>
      <c r="D392" s="12">
        <v>5</v>
      </c>
      <c r="E392" s="28">
        <f>IF(D392=1,B392,F391)</f>
        <v>47366</v>
      </c>
      <c r="F392" s="28">
        <f>IF(D392&lt;参数设置!$B$12,DATE(YEAR(EDATE(B392,D392+1)),MONTH(EDATE(B392,D392+1)),参数设置!$B$13),EDATE(B392,参数设置!$B$12))</f>
        <v>47396</v>
      </c>
      <c r="G392" s="20">
        <f>F392-E392</f>
        <v>30</v>
      </c>
      <c r="H392" s="25">
        <f>IF(D392=参数设置!$B$12,C392,0)</f>
        <v>0</v>
      </c>
      <c r="I392" s="25">
        <f>IF(L392=1,ROUND(C392*参数设置!$B$10*G392/参数设置!$B$11,参数设置!$B$14),0)</f>
        <v>0</v>
      </c>
      <c r="J392" s="25">
        <f>H392+I392</f>
        <v>0</v>
      </c>
      <c r="K392" s="28">
        <f>EDATE(B392,参数设置!$B$12)</f>
        <v>47583</v>
      </c>
      <c r="L392" s="20">
        <f>--(A392&lt;=参数设置!$B$6)</f>
        <v>0</v>
      </c>
    </row>
    <row r="393" spans="1:12">
      <c r="A393" s="12">
        <v>33</v>
      </c>
      <c r="B393" s="21">
        <f>EDATE(参数设置!$B$4,A393-1)</f>
        <v>47218</v>
      </c>
      <c r="C393" s="22">
        <f>参数设置!$B$5</f>
        <v>23400</v>
      </c>
      <c r="D393" s="12">
        <v>6</v>
      </c>
      <c r="E393" s="28">
        <f>IF(D393=1,B393,F392)</f>
        <v>47396</v>
      </c>
      <c r="F393" s="28">
        <f>IF(D393&lt;参数设置!$B$12,DATE(YEAR(EDATE(B393,D393+1)),MONTH(EDATE(B393,D393+1)),参数设置!$B$13),EDATE(B393,参数设置!$B$12))</f>
        <v>47427</v>
      </c>
      <c r="G393" s="20">
        <f>F393-E393</f>
        <v>31</v>
      </c>
      <c r="H393" s="25">
        <f>IF(D393=参数设置!$B$12,C393,0)</f>
        <v>0</v>
      </c>
      <c r="I393" s="25">
        <f>IF(L393=1,ROUND(C393*参数设置!$B$10*G393/参数设置!$B$11,参数设置!$B$14),0)</f>
        <v>0</v>
      </c>
      <c r="J393" s="25">
        <f>H393+I393</f>
        <v>0</v>
      </c>
      <c r="K393" s="28">
        <f>EDATE(B393,参数设置!$B$12)</f>
        <v>47583</v>
      </c>
      <c r="L393" s="20">
        <f>--(A393&lt;=参数设置!$B$6)</f>
        <v>0</v>
      </c>
    </row>
    <row r="394" spans="1:12">
      <c r="A394" s="12">
        <v>33</v>
      </c>
      <c r="B394" s="21">
        <f>EDATE(参数设置!$B$4,A394-1)</f>
        <v>47218</v>
      </c>
      <c r="C394" s="22">
        <f>参数设置!$B$5</f>
        <v>23400</v>
      </c>
      <c r="D394" s="12">
        <v>7</v>
      </c>
      <c r="E394" s="28">
        <f>IF(D394=1,B394,F393)</f>
        <v>47427</v>
      </c>
      <c r="F394" s="28">
        <f>IF(D394&lt;参数设置!$B$12,DATE(YEAR(EDATE(B394,D394+1)),MONTH(EDATE(B394,D394+1)),参数设置!$B$13),EDATE(B394,参数设置!$B$12))</f>
        <v>47457</v>
      </c>
      <c r="G394" s="20">
        <f>F394-E394</f>
        <v>30</v>
      </c>
      <c r="H394" s="25">
        <f>IF(D394=参数设置!$B$12,C394,0)</f>
        <v>0</v>
      </c>
      <c r="I394" s="25">
        <f>IF(L394=1,ROUND(C394*参数设置!$B$10*G394/参数设置!$B$11,参数设置!$B$14),0)</f>
        <v>0</v>
      </c>
      <c r="J394" s="25">
        <f>H394+I394</f>
        <v>0</v>
      </c>
      <c r="K394" s="28">
        <f>EDATE(B394,参数设置!$B$12)</f>
        <v>47583</v>
      </c>
      <c r="L394" s="20">
        <f>--(A394&lt;=参数设置!$B$6)</f>
        <v>0</v>
      </c>
    </row>
    <row r="395" spans="1:12">
      <c r="A395" s="12">
        <v>33</v>
      </c>
      <c r="B395" s="21">
        <f>EDATE(参数设置!$B$4,A395-1)</f>
        <v>47218</v>
      </c>
      <c r="C395" s="22">
        <f>参数设置!$B$5</f>
        <v>23400</v>
      </c>
      <c r="D395" s="12">
        <v>8</v>
      </c>
      <c r="E395" s="28">
        <f>IF(D395=1,B395,F394)</f>
        <v>47457</v>
      </c>
      <c r="F395" s="28">
        <f>IF(D395&lt;参数设置!$B$12,DATE(YEAR(EDATE(B395,D395+1)),MONTH(EDATE(B395,D395+1)),参数设置!$B$13),EDATE(B395,参数设置!$B$12))</f>
        <v>47488</v>
      </c>
      <c r="G395" s="20">
        <f>F395-E395</f>
        <v>31</v>
      </c>
      <c r="H395" s="25">
        <f>IF(D395=参数设置!$B$12,C395,0)</f>
        <v>0</v>
      </c>
      <c r="I395" s="25">
        <f>IF(L395=1,ROUND(C395*参数设置!$B$10*G395/参数设置!$B$11,参数设置!$B$14),0)</f>
        <v>0</v>
      </c>
      <c r="J395" s="25">
        <f>H395+I395</f>
        <v>0</v>
      </c>
      <c r="K395" s="28">
        <f>EDATE(B395,参数设置!$B$12)</f>
        <v>47583</v>
      </c>
      <c r="L395" s="20">
        <f>--(A395&lt;=参数设置!$B$6)</f>
        <v>0</v>
      </c>
    </row>
    <row r="396" spans="1:12">
      <c r="A396" s="12">
        <v>33</v>
      </c>
      <c r="B396" s="21">
        <f>EDATE(参数设置!$B$4,A396-1)</f>
        <v>47218</v>
      </c>
      <c r="C396" s="22">
        <f>参数设置!$B$5</f>
        <v>23400</v>
      </c>
      <c r="D396" s="12">
        <v>9</v>
      </c>
      <c r="E396" s="28">
        <f>IF(D396=1,B396,F395)</f>
        <v>47488</v>
      </c>
      <c r="F396" s="28">
        <f>IF(D396&lt;参数设置!$B$12,DATE(YEAR(EDATE(B396,D396+1)),MONTH(EDATE(B396,D396+1)),参数设置!$B$13),EDATE(B396,参数设置!$B$12))</f>
        <v>47519</v>
      </c>
      <c r="G396" s="20">
        <f>F396-E396</f>
        <v>31</v>
      </c>
      <c r="H396" s="25">
        <f>IF(D396=参数设置!$B$12,C396,0)</f>
        <v>0</v>
      </c>
      <c r="I396" s="25">
        <f>IF(L396=1,ROUND(C396*参数设置!$B$10*G396/参数设置!$B$11,参数设置!$B$14),0)</f>
        <v>0</v>
      </c>
      <c r="J396" s="25">
        <f>H396+I396</f>
        <v>0</v>
      </c>
      <c r="K396" s="28">
        <f>EDATE(B396,参数设置!$B$12)</f>
        <v>47583</v>
      </c>
      <c r="L396" s="20">
        <f>--(A396&lt;=参数设置!$B$6)</f>
        <v>0</v>
      </c>
    </row>
    <row r="397" spans="1:12">
      <c r="A397" s="12">
        <v>33</v>
      </c>
      <c r="B397" s="21">
        <f>EDATE(参数设置!$B$4,A397-1)</f>
        <v>47218</v>
      </c>
      <c r="C397" s="22">
        <f>参数设置!$B$5</f>
        <v>23400</v>
      </c>
      <c r="D397" s="12">
        <v>10</v>
      </c>
      <c r="E397" s="28">
        <f>IF(D397=1,B397,F396)</f>
        <v>47519</v>
      </c>
      <c r="F397" s="28">
        <f>IF(D397&lt;参数设置!$B$12,DATE(YEAR(EDATE(B397,D397+1)),MONTH(EDATE(B397,D397+1)),参数设置!$B$13),EDATE(B397,参数设置!$B$12))</f>
        <v>47547</v>
      </c>
      <c r="G397" s="20">
        <f>F397-E397</f>
        <v>28</v>
      </c>
      <c r="H397" s="25">
        <f>IF(D397=参数设置!$B$12,C397,0)</f>
        <v>0</v>
      </c>
      <c r="I397" s="25">
        <f>IF(L397=1,ROUND(C397*参数设置!$B$10*G397/参数设置!$B$11,参数设置!$B$14),0)</f>
        <v>0</v>
      </c>
      <c r="J397" s="25">
        <f>H397+I397</f>
        <v>0</v>
      </c>
      <c r="K397" s="28">
        <f>EDATE(B397,参数设置!$B$12)</f>
        <v>47583</v>
      </c>
      <c r="L397" s="20">
        <f>--(A397&lt;=参数设置!$B$6)</f>
        <v>0</v>
      </c>
    </row>
    <row r="398" spans="1:12">
      <c r="A398" s="12">
        <v>33</v>
      </c>
      <c r="B398" s="21">
        <f>EDATE(参数设置!$B$4,A398-1)</f>
        <v>47218</v>
      </c>
      <c r="C398" s="22">
        <f>参数设置!$B$5</f>
        <v>23400</v>
      </c>
      <c r="D398" s="12">
        <v>11</v>
      </c>
      <c r="E398" s="28">
        <f>IF(D398=1,B398,F397)</f>
        <v>47547</v>
      </c>
      <c r="F398" s="28">
        <f>IF(D398&lt;参数设置!$B$12,DATE(YEAR(EDATE(B398,D398+1)),MONTH(EDATE(B398,D398+1)),参数设置!$B$13),EDATE(B398,参数设置!$B$12))</f>
        <v>47578</v>
      </c>
      <c r="G398" s="20">
        <f>F398-E398</f>
        <v>31</v>
      </c>
      <c r="H398" s="25">
        <f>IF(D398=参数设置!$B$12,C398,0)</f>
        <v>0</v>
      </c>
      <c r="I398" s="25">
        <f>IF(L398=1,ROUND(C398*参数设置!$B$10*G398/参数设置!$B$11,参数设置!$B$14),0)</f>
        <v>0</v>
      </c>
      <c r="J398" s="25">
        <f>H398+I398</f>
        <v>0</v>
      </c>
      <c r="K398" s="28">
        <f>EDATE(B398,参数设置!$B$12)</f>
        <v>47583</v>
      </c>
      <c r="L398" s="20">
        <f>--(A398&lt;=参数设置!$B$6)</f>
        <v>0</v>
      </c>
    </row>
    <row r="399" spans="1:12">
      <c r="A399" s="12">
        <v>33</v>
      </c>
      <c r="B399" s="21">
        <f>EDATE(参数设置!$B$4,A399-1)</f>
        <v>47218</v>
      </c>
      <c r="C399" s="22">
        <f>参数设置!$B$5</f>
        <v>23400</v>
      </c>
      <c r="D399" s="12">
        <v>12</v>
      </c>
      <c r="E399" s="28">
        <f>IF(D399=1,B399,F398)</f>
        <v>47578</v>
      </c>
      <c r="F399" s="28">
        <f>IF(D399&lt;参数设置!$B$12,DATE(YEAR(EDATE(B399,D399+1)),MONTH(EDATE(B399,D399+1)),参数设置!$B$13),EDATE(B399,参数设置!$B$12))</f>
        <v>47583</v>
      </c>
      <c r="G399" s="20">
        <f>F399-E399</f>
        <v>5</v>
      </c>
      <c r="H399" s="25">
        <f>IF(D399=参数设置!$B$12,C399,0)</f>
        <v>23400</v>
      </c>
      <c r="I399" s="25">
        <f>IF(L399=1,ROUND(C399*参数设置!$B$10*G399/参数设置!$B$11,参数设置!$B$14),0)</f>
        <v>0</v>
      </c>
      <c r="J399" s="25">
        <f>H399+I399</f>
        <v>23400</v>
      </c>
      <c r="K399" s="28">
        <f>EDATE(B399,参数设置!$B$12)</f>
        <v>47583</v>
      </c>
      <c r="L399" s="20">
        <f>--(A399&lt;=参数设置!$B$6)</f>
        <v>0</v>
      </c>
    </row>
    <row r="400" spans="1:12">
      <c r="A400" s="12">
        <v>34</v>
      </c>
      <c r="B400" s="21">
        <f>EDATE(参数设置!$B$4,A400-1)</f>
        <v>47248</v>
      </c>
      <c r="C400" s="22">
        <f>参数设置!$B$5</f>
        <v>23400</v>
      </c>
      <c r="D400" s="12">
        <v>1</v>
      </c>
      <c r="E400" s="28">
        <f>IF(D400=1,B400,F399)</f>
        <v>47248</v>
      </c>
      <c r="F400" s="28">
        <f>IF(D400&lt;参数设置!$B$12,DATE(YEAR(EDATE(B400,D400+1)),MONTH(EDATE(B400,D400+1)),参数设置!$B$13),EDATE(B400,参数设置!$B$12))</f>
        <v>47304</v>
      </c>
      <c r="G400" s="20">
        <f>F400-E400</f>
        <v>56</v>
      </c>
      <c r="H400" s="25">
        <f>IF(D400=参数设置!$B$12,C400,0)</f>
        <v>0</v>
      </c>
      <c r="I400" s="25">
        <f>IF(L400=1,ROUND(C400*参数设置!$B$10*G400/参数设置!$B$11,参数设置!$B$14),0)</f>
        <v>0</v>
      </c>
      <c r="J400" s="25">
        <f>H400+I400</f>
        <v>0</v>
      </c>
      <c r="K400" s="28">
        <f>EDATE(B400,参数设置!$B$12)</f>
        <v>47613</v>
      </c>
      <c r="L400" s="20">
        <f>--(A400&lt;=参数设置!$B$6)</f>
        <v>0</v>
      </c>
    </row>
    <row r="401" spans="1:12">
      <c r="A401" s="12">
        <v>34</v>
      </c>
      <c r="B401" s="21">
        <f>EDATE(参数设置!$B$4,A401-1)</f>
        <v>47248</v>
      </c>
      <c r="C401" s="22">
        <f>参数设置!$B$5</f>
        <v>23400</v>
      </c>
      <c r="D401" s="12">
        <v>2</v>
      </c>
      <c r="E401" s="28">
        <f>IF(D401=1,B401,F400)</f>
        <v>47304</v>
      </c>
      <c r="F401" s="28">
        <f>IF(D401&lt;参数设置!$B$12,DATE(YEAR(EDATE(B401,D401+1)),MONTH(EDATE(B401,D401+1)),参数设置!$B$13),EDATE(B401,参数设置!$B$12))</f>
        <v>47335</v>
      </c>
      <c r="G401" s="20">
        <f>F401-E401</f>
        <v>31</v>
      </c>
      <c r="H401" s="25">
        <f>IF(D401=参数设置!$B$12,C401,0)</f>
        <v>0</v>
      </c>
      <c r="I401" s="25">
        <f>IF(L401=1,ROUND(C401*参数设置!$B$10*G401/参数设置!$B$11,参数设置!$B$14),0)</f>
        <v>0</v>
      </c>
      <c r="J401" s="25">
        <f>H401+I401</f>
        <v>0</v>
      </c>
      <c r="K401" s="28">
        <f>EDATE(B401,参数设置!$B$12)</f>
        <v>47613</v>
      </c>
      <c r="L401" s="20">
        <f>--(A401&lt;=参数设置!$B$6)</f>
        <v>0</v>
      </c>
    </row>
    <row r="402" spans="1:12">
      <c r="A402" s="12">
        <v>34</v>
      </c>
      <c r="B402" s="21">
        <f>EDATE(参数设置!$B$4,A402-1)</f>
        <v>47248</v>
      </c>
      <c r="C402" s="22">
        <f>参数设置!$B$5</f>
        <v>23400</v>
      </c>
      <c r="D402" s="12">
        <v>3</v>
      </c>
      <c r="E402" s="28">
        <f>IF(D402=1,B402,F401)</f>
        <v>47335</v>
      </c>
      <c r="F402" s="28">
        <f>IF(D402&lt;参数设置!$B$12,DATE(YEAR(EDATE(B402,D402+1)),MONTH(EDATE(B402,D402+1)),参数设置!$B$13),EDATE(B402,参数设置!$B$12))</f>
        <v>47366</v>
      </c>
      <c r="G402" s="20">
        <f>F402-E402</f>
        <v>31</v>
      </c>
      <c r="H402" s="25">
        <f>IF(D402=参数设置!$B$12,C402,0)</f>
        <v>0</v>
      </c>
      <c r="I402" s="25">
        <f>IF(L402=1,ROUND(C402*参数设置!$B$10*G402/参数设置!$B$11,参数设置!$B$14),0)</f>
        <v>0</v>
      </c>
      <c r="J402" s="25">
        <f>H402+I402</f>
        <v>0</v>
      </c>
      <c r="K402" s="28">
        <f>EDATE(B402,参数设置!$B$12)</f>
        <v>47613</v>
      </c>
      <c r="L402" s="20">
        <f>--(A402&lt;=参数设置!$B$6)</f>
        <v>0</v>
      </c>
    </row>
    <row r="403" spans="1:12">
      <c r="A403" s="12">
        <v>34</v>
      </c>
      <c r="B403" s="21">
        <f>EDATE(参数设置!$B$4,A403-1)</f>
        <v>47248</v>
      </c>
      <c r="C403" s="22">
        <f>参数设置!$B$5</f>
        <v>23400</v>
      </c>
      <c r="D403" s="12">
        <v>4</v>
      </c>
      <c r="E403" s="28">
        <f>IF(D403=1,B403,F402)</f>
        <v>47366</v>
      </c>
      <c r="F403" s="28">
        <f>IF(D403&lt;参数设置!$B$12,DATE(YEAR(EDATE(B403,D403+1)),MONTH(EDATE(B403,D403+1)),参数设置!$B$13),EDATE(B403,参数设置!$B$12))</f>
        <v>47396</v>
      </c>
      <c r="G403" s="20">
        <f>F403-E403</f>
        <v>30</v>
      </c>
      <c r="H403" s="25">
        <f>IF(D403=参数设置!$B$12,C403,0)</f>
        <v>0</v>
      </c>
      <c r="I403" s="25">
        <f>IF(L403=1,ROUND(C403*参数设置!$B$10*G403/参数设置!$B$11,参数设置!$B$14),0)</f>
        <v>0</v>
      </c>
      <c r="J403" s="25">
        <f>H403+I403</f>
        <v>0</v>
      </c>
      <c r="K403" s="28">
        <f>EDATE(B403,参数设置!$B$12)</f>
        <v>47613</v>
      </c>
      <c r="L403" s="20">
        <f>--(A403&lt;=参数设置!$B$6)</f>
        <v>0</v>
      </c>
    </row>
    <row r="404" spans="1:12">
      <c r="A404" s="12">
        <v>34</v>
      </c>
      <c r="B404" s="21">
        <f>EDATE(参数设置!$B$4,A404-1)</f>
        <v>47248</v>
      </c>
      <c r="C404" s="22">
        <f>参数设置!$B$5</f>
        <v>23400</v>
      </c>
      <c r="D404" s="12">
        <v>5</v>
      </c>
      <c r="E404" s="28">
        <f>IF(D404=1,B404,F403)</f>
        <v>47396</v>
      </c>
      <c r="F404" s="28">
        <f>IF(D404&lt;参数设置!$B$12,DATE(YEAR(EDATE(B404,D404+1)),MONTH(EDATE(B404,D404+1)),参数设置!$B$13),EDATE(B404,参数设置!$B$12))</f>
        <v>47427</v>
      </c>
      <c r="G404" s="20">
        <f>F404-E404</f>
        <v>31</v>
      </c>
      <c r="H404" s="25">
        <f>IF(D404=参数设置!$B$12,C404,0)</f>
        <v>0</v>
      </c>
      <c r="I404" s="25">
        <f>IF(L404=1,ROUND(C404*参数设置!$B$10*G404/参数设置!$B$11,参数设置!$B$14),0)</f>
        <v>0</v>
      </c>
      <c r="J404" s="25">
        <f>H404+I404</f>
        <v>0</v>
      </c>
      <c r="K404" s="28">
        <f>EDATE(B404,参数设置!$B$12)</f>
        <v>47613</v>
      </c>
      <c r="L404" s="20">
        <f>--(A404&lt;=参数设置!$B$6)</f>
        <v>0</v>
      </c>
    </row>
    <row r="405" spans="1:12">
      <c r="A405" s="12">
        <v>34</v>
      </c>
      <c r="B405" s="21">
        <f>EDATE(参数设置!$B$4,A405-1)</f>
        <v>47248</v>
      </c>
      <c r="C405" s="22">
        <f>参数设置!$B$5</f>
        <v>23400</v>
      </c>
      <c r="D405" s="12">
        <v>6</v>
      </c>
      <c r="E405" s="28">
        <f>IF(D405=1,B405,F404)</f>
        <v>47427</v>
      </c>
      <c r="F405" s="28">
        <f>IF(D405&lt;参数设置!$B$12,DATE(YEAR(EDATE(B405,D405+1)),MONTH(EDATE(B405,D405+1)),参数设置!$B$13),EDATE(B405,参数设置!$B$12))</f>
        <v>47457</v>
      </c>
      <c r="G405" s="20">
        <f>F405-E405</f>
        <v>30</v>
      </c>
      <c r="H405" s="25">
        <f>IF(D405=参数设置!$B$12,C405,0)</f>
        <v>0</v>
      </c>
      <c r="I405" s="25">
        <f>IF(L405=1,ROUND(C405*参数设置!$B$10*G405/参数设置!$B$11,参数设置!$B$14),0)</f>
        <v>0</v>
      </c>
      <c r="J405" s="25">
        <f>H405+I405</f>
        <v>0</v>
      </c>
      <c r="K405" s="28">
        <f>EDATE(B405,参数设置!$B$12)</f>
        <v>47613</v>
      </c>
      <c r="L405" s="20">
        <f>--(A405&lt;=参数设置!$B$6)</f>
        <v>0</v>
      </c>
    </row>
    <row r="406" spans="1:12">
      <c r="A406" s="12">
        <v>34</v>
      </c>
      <c r="B406" s="21">
        <f>EDATE(参数设置!$B$4,A406-1)</f>
        <v>47248</v>
      </c>
      <c r="C406" s="22">
        <f>参数设置!$B$5</f>
        <v>23400</v>
      </c>
      <c r="D406" s="12">
        <v>7</v>
      </c>
      <c r="E406" s="28">
        <f>IF(D406=1,B406,F405)</f>
        <v>47457</v>
      </c>
      <c r="F406" s="28">
        <f>IF(D406&lt;参数设置!$B$12,DATE(YEAR(EDATE(B406,D406+1)),MONTH(EDATE(B406,D406+1)),参数设置!$B$13),EDATE(B406,参数设置!$B$12))</f>
        <v>47488</v>
      </c>
      <c r="G406" s="20">
        <f>F406-E406</f>
        <v>31</v>
      </c>
      <c r="H406" s="25">
        <f>IF(D406=参数设置!$B$12,C406,0)</f>
        <v>0</v>
      </c>
      <c r="I406" s="25">
        <f>IF(L406=1,ROUND(C406*参数设置!$B$10*G406/参数设置!$B$11,参数设置!$B$14),0)</f>
        <v>0</v>
      </c>
      <c r="J406" s="25">
        <f>H406+I406</f>
        <v>0</v>
      </c>
      <c r="K406" s="28">
        <f>EDATE(B406,参数设置!$B$12)</f>
        <v>47613</v>
      </c>
      <c r="L406" s="20">
        <f>--(A406&lt;=参数设置!$B$6)</f>
        <v>0</v>
      </c>
    </row>
    <row r="407" spans="1:12">
      <c r="A407" s="12">
        <v>34</v>
      </c>
      <c r="B407" s="21">
        <f>EDATE(参数设置!$B$4,A407-1)</f>
        <v>47248</v>
      </c>
      <c r="C407" s="22">
        <f>参数设置!$B$5</f>
        <v>23400</v>
      </c>
      <c r="D407" s="12">
        <v>8</v>
      </c>
      <c r="E407" s="28">
        <f>IF(D407=1,B407,F406)</f>
        <v>47488</v>
      </c>
      <c r="F407" s="28">
        <f>IF(D407&lt;参数设置!$B$12,DATE(YEAR(EDATE(B407,D407+1)),MONTH(EDATE(B407,D407+1)),参数设置!$B$13),EDATE(B407,参数设置!$B$12))</f>
        <v>47519</v>
      </c>
      <c r="G407" s="20">
        <f>F407-E407</f>
        <v>31</v>
      </c>
      <c r="H407" s="25">
        <f>IF(D407=参数设置!$B$12,C407,0)</f>
        <v>0</v>
      </c>
      <c r="I407" s="25">
        <f>IF(L407=1,ROUND(C407*参数设置!$B$10*G407/参数设置!$B$11,参数设置!$B$14),0)</f>
        <v>0</v>
      </c>
      <c r="J407" s="25">
        <f>H407+I407</f>
        <v>0</v>
      </c>
      <c r="K407" s="28">
        <f>EDATE(B407,参数设置!$B$12)</f>
        <v>47613</v>
      </c>
      <c r="L407" s="20">
        <f>--(A407&lt;=参数设置!$B$6)</f>
        <v>0</v>
      </c>
    </row>
    <row r="408" spans="1:12">
      <c r="A408" s="12">
        <v>34</v>
      </c>
      <c r="B408" s="21">
        <f>EDATE(参数设置!$B$4,A408-1)</f>
        <v>47248</v>
      </c>
      <c r="C408" s="22">
        <f>参数设置!$B$5</f>
        <v>23400</v>
      </c>
      <c r="D408" s="12">
        <v>9</v>
      </c>
      <c r="E408" s="28">
        <f>IF(D408=1,B408,F407)</f>
        <v>47519</v>
      </c>
      <c r="F408" s="28">
        <f>IF(D408&lt;参数设置!$B$12,DATE(YEAR(EDATE(B408,D408+1)),MONTH(EDATE(B408,D408+1)),参数设置!$B$13),EDATE(B408,参数设置!$B$12))</f>
        <v>47547</v>
      </c>
      <c r="G408" s="20">
        <f>F408-E408</f>
        <v>28</v>
      </c>
      <c r="H408" s="25">
        <f>IF(D408=参数设置!$B$12,C408,0)</f>
        <v>0</v>
      </c>
      <c r="I408" s="25">
        <f>IF(L408=1,ROUND(C408*参数设置!$B$10*G408/参数设置!$B$11,参数设置!$B$14),0)</f>
        <v>0</v>
      </c>
      <c r="J408" s="25">
        <f>H408+I408</f>
        <v>0</v>
      </c>
      <c r="K408" s="28">
        <f>EDATE(B408,参数设置!$B$12)</f>
        <v>47613</v>
      </c>
      <c r="L408" s="20">
        <f>--(A408&lt;=参数设置!$B$6)</f>
        <v>0</v>
      </c>
    </row>
    <row r="409" spans="1:12">
      <c r="A409" s="12">
        <v>34</v>
      </c>
      <c r="B409" s="21">
        <f>EDATE(参数设置!$B$4,A409-1)</f>
        <v>47248</v>
      </c>
      <c r="C409" s="22">
        <f>参数设置!$B$5</f>
        <v>23400</v>
      </c>
      <c r="D409" s="12">
        <v>10</v>
      </c>
      <c r="E409" s="28">
        <f>IF(D409=1,B409,F408)</f>
        <v>47547</v>
      </c>
      <c r="F409" s="28">
        <f>IF(D409&lt;参数设置!$B$12,DATE(YEAR(EDATE(B409,D409+1)),MONTH(EDATE(B409,D409+1)),参数设置!$B$13),EDATE(B409,参数设置!$B$12))</f>
        <v>47578</v>
      </c>
      <c r="G409" s="20">
        <f>F409-E409</f>
        <v>31</v>
      </c>
      <c r="H409" s="25">
        <f>IF(D409=参数设置!$B$12,C409,0)</f>
        <v>0</v>
      </c>
      <c r="I409" s="25">
        <f>IF(L409=1,ROUND(C409*参数设置!$B$10*G409/参数设置!$B$11,参数设置!$B$14),0)</f>
        <v>0</v>
      </c>
      <c r="J409" s="25">
        <f>H409+I409</f>
        <v>0</v>
      </c>
      <c r="K409" s="28">
        <f>EDATE(B409,参数设置!$B$12)</f>
        <v>47613</v>
      </c>
      <c r="L409" s="20">
        <f>--(A409&lt;=参数设置!$B$6)</f>
        <v>0</v>
      </c>
    </row>
    <row r="410" spans="1:12">
      <c r="A410" s="12">
        <v>34</v>
      </c>
      <c r="B410" s="21">
        <f>EDATE(参数设置!$B$4,A410-1)</f>
        <v>47248</v>
      </c>
      <c r="C410" s="22">
        <f>参数设置!$B$5</f>
        <v>23400</v>
      </c>
      <c r="D410" s="12">
        <v>11</v>
      </c>
      <c r="E410" s="28">
        <f>IF(D410=1,B410,F409)</f>
        <v>47578</v>
      </c>
      <c r="F410" s="28">
        <f>IF(D410&lt;参数设置!$B$12,DATE(YEAR(EDATE(B410,D410+1)),MONTH(EDATE(B410,D410+1)),参数设置!$B$13),EDATE(B410,参数设置!$B$12))</f>
        <v>47608</v>
      </c>
      <c r="G410" s="20">
        <f>F410-E410</f>
        <v>30</v>
      </c>
      <c r="H410" s="25">
        <f>IF(D410=参数设置!$B$12,C410,0)</f>
        <v>0</v>
      </c>
      <c r="I410" s="25">
        <f>IF(L410=1,ROUND(C410*参数设置!$B$10*G410/参数设置!$B$11,参数设置!$B$14),0)</f>
        <v>0</v>
      </c>
      <c r="J410" s="25">
        <f>H410+I410</f>
        <v>0</v>
      </c>
      <c r="K410" s="28">
        <f>EDATE(B410,参数设置!$B$12)</f>
        <v>47613</v>
      </c>
      <c r="L410" s="20">
        <f>--(A410&lt;=参数设置!$B$6)</f>
        <v>0</v>
      </c>
    </row>
    <row r="411" spans="1:12">
      <c r="A411" s="12">
        <v>34</v>
      </c>
      <c r="B411" s="21">
        <f>EDATE(参数设置!$B$4,A411-1)</f>
        <v>47248</v>
      </c>
      <c r="C411" s="22">
        <f>参数设置!$B$5</f>
        <v>23400</v>
      </c>
      <c r="D411" s="12">
        <v>12</v>
      </c>
      <c r="E411" s="28">
        <f>IF(D411=1,B411,F410)</f>
        <v>47608</v>
      </c>
      <c r="F411" s="28">
        <f>IF(D411&lt;参数设置!$B$12,DATE(YEAR(EDATE(B411,D411+1)),MONTH(EDATE(B411,D411+1)),参数设置!$B$13),EDATE(B411,参数设置!$B$12))</f>
        <v>47613</v>
      </c>
      <c r="G411" s="20">
        <f>F411-E411</f>
        <v>5</v>
      </c>
      <c r="H411" s="25">
        <f>IF(D411=参数设置!$B$12,C411,0)</f>
        <v>23400</v>
      </c>
      <c r="I411" s="25">
        <f>IF(L411=1,ROUND(C411*参数设置!$B$10*G411/参数设置!$B$11,参数设置!$B$14),0)</f>
        <v>0</v>
      </c>
      <c r="J411" s="25">
        <f>H411+I411</f>
        <v>23400</v>
      </c>
      <c r="K411" s="28">
        <f>EDATE(B411,参数设置!$B$12)</f>
        <v>47613</v>
      </c>
      <c r="L411" s="20">
        <f>--(A411&lt;=参数设置!$B$6)</f>
        <v>0</v>
      </c>
    </row>
    <row r="412" spans="1:12">
      <c r="A412" s="12">
        <v>35</v>
      </c>
      <c r="B412" s="21">
        <f>EDATE(参数设置!$B$4,A412-1)</f>
        <v>47279</v>
      </c>
      <c r="C412" s="22">
        <f>参数设置!$B$5</f>
        <v>23400</v>
      </c>
      <c r="D412" s="12">
        <v>1</v>
      </c>
      <c r="E412" s="28">
        <f>IF(D412=1,B412,F411)</f>
        <v>47279</v>
      </c>
      <c r="F412" s="28">
        <f>IF(D412&lt;参数设置!$B$12,DATE(YEAR(EDATE(B412,D412+1)),MONTH(EDATE(B412,D412+1)),参数设置!$B$13),EDATE(B412,参数设置!$B$12))</f>
        <v>47335</v>
      </c>
      <c r="G412" s="20">
        <f>F412-E412</f>
        <v>56</v>
      </c>
      <c r="H412" s="25">
        <f>IF(D412=参数设置!$B$12,C412,0)</f>
        <v>0</v>
      </c>
      <c r="I412" s="25">
        <f>IF(L412=1,ROUND(C412*参数设置!$B$10*G412/参数设置!$B$11,参数设置!$B$14),0)</f>
        <v>0</v>
      </c>
      <c r="J412" s="25">
        <f>H412+I412</f>
        <v>0</v>
      </c>
      <c r="K412" s="28">
        <f>EDATE(B412,参数设置!$B$12)</f>
        <v>47644</v>
      </c>
      <c r="L412" s="20">
        <f>--(A412&lt;=参数设置!$B$6)</f>
        <v>0</v>
      </c>
    </row>
    <row r="413" spans="1:12">
      <c r="A413" s="12">
        <v>35</v>
      </c>
      <c r="B413" s="21">
        <f>EDATE(参数设置!$B$4,A413-1)</f>
        <v>47279</v>
      </c>
      <c r="C413" s="22">
        <f>参数设置!$B$5</f>
        <v>23400</v>
      </c>
      <c r="D413" s="12">
        <v>2</v>
      </c>
      <c r="E413" s="28">
        <f>IF(D413=1,B413,F412)</f>
        <v>47335</v>
      </c>
      <c r="F413" s="28">
        <f>IF(D413&lt;参数设置!$B$12,DATE(YEAR(EDATE(B413,D413+1)),MONTH(EDATE(B413,D413+1)),参数设置!$B$13),EDATE(B413,参数设置!$B$12))</f>
        <v>47366</v>
      </c>
      <c r="G413" s="20">
        <f>F413-E413</f>
        <v>31</v>
      </c>
      <c r="H413" s="25">
        <f>IF(D413=参数设置!$B$12,C413,0)</f>
        <v>0</v>
      </c>
      <c r="I413" s="25">
        <f>IF(L413=1,ROUND(C413*参数设置!$B$10*G413/参数设置!$B$11,参数设置!$B$14),0)</f>
        <v>0</v>
      </c>
      <c r="J413" s="25">
        <f>H413+I413</f>
        <v>0</v>
      </c>
      <c r="K413" s="28">
        <f>EDATE(B413,参数设置!$B$12)</f>
        <v>47644</v>
      </c>
      <c r="L413" s="20">
        <f>--(A413&lt;=参数设置!$B$6)</f>
        <v>0</v>
      </c>
    </row>
    <row r="414" spans="1:12">
      <c r="A414" s="12">
        <v>35</v>
      </c>
      <c r="B414" s="21">
        <f>EDATE(参数设置!$B$4,A414-1)</f>
        <v>47279</v>
      </c>
      <c r="C414" s="22">
        <f>参数设置!$B$5</f>
        <v>23400</v>
      </c>
      <c r="D414" s="12">
        <v>3</v>
      </c>
      <c r="E414" s="28">
        <f>IF(D414=1,B414,F413)</f>
        <v>47366</v>
      </c>
      <c r="F414" s="28">
        <f>IF(D414&lt;参数设置!$B$12,DATE(YEAR(EDATE(B414,D414+1)),MONTH(EDATE(B414,D414+1)),参数设置!$B$13),EDATE(B414,参数设置!$B$12))</f>
        <v>47396</v>
      </c>
      <c r="G414" s="20">
        <f>F414-E414</f>
        <v>30</v>
      </c>
      <c r="H414" s="25">
        <f>IF(D414=参数设置!$B$12,C414,0)</f>
        <v>0</v>
      </c>
      <c r="I414" s="25">
        <f>IF(L414=1,ROUND(C414*参数设置!$B$10*G414/参数设置!$B$11,参数设置!$B$14),0)</f>
        <v>0</v>
      </c>
      <c r="J414" s="25">
        <f>H414+I414</f>
        <v>0</v>
      </c>
      <c r="K414" s="28">
        <f>EDATE(B414,参数设置!$B$12)</f>
        <v>47644</v>
      </c>
      <c r="L414" s="20">
        <f>--(A414&lt;=参数设置!$B$6)</f>
        <v>0</v>
      </c>
    </row>
    <row r="415" spans="1:12">
      <c r="A415" s="12">
        <v>35</v>
      </c>
      <c r="B415" s="21">
        <f>EDATE(参数设置!$B$4,A415-1)</f>
        <v>47279</v>
      </c>
      <c r="C415" s="22">
        <f>参数设置!$B$5</f>
        <v>23400</v>
      </c>
      <c r="D415" s="12">
        <v>4</v>
      </c>
      <c r="E415" s="28">
        <f>IF(D415=1,B415,F414)</f>
        <v>47396</v>
      </c>
      <c r="F415" s="28">
        <f>IF(D415&lt;参数设置!$B$12,DATE(YEAR(EDATE(B415,D415+1)),MONTH(EDATE(B415,D415+1)),参数设置!$B$13),EDATE(B415,参数设置!$B$12))</f>
        <v>47427</v>
      </c>
      <c r="G415" s="20">
        <f>F415-E415</f>
        <v>31</v>
      </c>
      <c r="H415" s="25">
        <f>IF(D415=参数设置!$B$12,C415,0)</f>
        <v>0</v>
      </c>
      <c r="I415" s="25">
        <f>IF(L415=1,ROUND(C415*参数设置!$B$10*G415/参数设置!$B$11,参数设置!$B$14),0)</f>
        <v>0</v>
      </c>
      <c r="J415" s="25">
        <f>H415+I415</f>
        <v>0</v>
      </c>
      <c r="K415" s="28">
        <f>EDATE(B415,参数设置!$B$12)</f>
        <v>47644</v>
      </c>
      <c r="L415" s="20">
        <f>--(A415&lt;=参数设置!$B$6)</f>
        <v>0</v>
      </c>
    </row>
    <row r="416" spans="1:12">
      <c r="A416" s="12">
        <v>35</v>
      </c>
      <c r="B416" s="21">
        <f>EDATE(参数设置!$B$4,A416-1)</f>
        <v>47279</v>
      </c>
      <c r="C416" s="22">
        <f>参数设置!$B$5</f>
        <v>23400</v>
      </c>
      <c r="D416" s="12">
        <v>5</v>
      </c>
      <c r="E416" s="28">
        <f>IF(D416=1,B416,F415)</f>
        <v>47427</v>
      </c>
      <c r="F416" s="28">
        <f>IF(D416&lt;参数设置!$B$12,DATE(YEAR(EDATE(B416,D416+1)),MONTH(EDATE(B416,D416+1)),参数设置!$B$13),EDATE(B416,参数设置!$B$12))</f>
        <v>47457</v>
      </c>
      <c r="G416" s="20">
        <f>F416-E416</f>
        <v>30</v>
      </c>
      <c r="H416" s="25">
        <f>IF(D416=参数设置!$B$12,C416,0)</f>
        <v>0</v>
      </c>
      <c r="I416" s="25">
        <f>IF(L416=1,ROUND(C416*参数设置!$B$10*G416/参数设置!$B$11,参数设置!$B$14),0)</f>
        <v>0</v>
      </c>
      <c r="J416" s="25">
        <f>H416+I416</f>
        <v>0</v>
      </c>
      <c r="K416" s="28">
        <f>EDATE(B416,参数设置!$B$12)</f>
        <v>47644</v>
      </c>
      <c r="L416" s="20">
        <f>--(A416&lt;=参数设置!$B$6)</f>
        <v>0</v>
      </c>
    </row>
    <row r="417" spans="1:12">
      <c r="A417" s="12">
        <v>35</v>
      </c>
      <c r="B417" s="21">
        <f>EDATE(参数设置!$B$4,A417-1)</f>
        <v>47279</v>
      </c>
      <c r="C417" s="22">
        <f>参数设置!$B$5</f>
        <v>23400</v>
      </c>
      <c r="D417" s="12">
        <v>6</v>
      </c>
      <c r="E417" s="28">
        <f>IF(D417=1,B417,F416)</f>
        <v>47457</v>
      </c>
      <c r="F417" s="28">
        <f>IF(D417&lt;参数设置!$B$12,DATE(YEAR(EDATE(B417,D417+1)),MONTH(EDATE(B417,D417+1)),参数设置!$B$13),EDATE(B417,参数设置!$B$12))</f>
        <v>47488</v>
      </c>
      <c r="G417" s="20">
        <f>F417-E417</f>
        <v>31</v>
      </c>
      <c r="H417" s="25">
        <f>IF(D417=参数设置!$B$12,C417,0)</f>
        <v>0</v>
      </c>
      <c r="I417" s="25">
        <f>IF(L417=1,ROUND(C417*参数设置!$B$10*G417/参数设置!$B$11,参数设置!$B$14),0)</f>
        <v>0</v>
      </c>
      <c r="J417" s="25">
        <f>H417+I417</f>
        <v>0</v>
      </c>
      <c r="K417" s="28">
        <f>EDATE(B417,参数设置!$B$12)</f>
        <v>47644</v>
      </c>
      <c r="L417" s="20">
        <f>--(A417&lt;=参数设置!$B$6)</f>
        <v>0</v>
      </c>
    </row>
    <row r="418" spans="1:12">
      <c r="A418" s="12">
        <v>35</v>
      </c>
      <c r="B418" s="21">
        <f>EDATE(参数设置!$B$4,A418-1)</f>
        <v>47279</v>
      </c>
      <c r="C418" s="22">
        <f>参数设置!$B$5</f>
        <v>23400</v>
      </c>
      <c r="D418" s="12">
        <v>7</v>
      </c>
      <c r="E418" s="28">
        <f>IF(D418=1,B418,F417)</f>
        <v>47488</v>
      </c>
      <c r="F418" s="28">
        <f>IF(D418&lt;参数设置!$B$12,DATE(YEAR(EDATE(B418,D418+1)),MONTH(EDATE(B418,D418+1)),参数设置!$B$13),EDATE(B418,参数设置!$B$12))</f>
        <v>47519</v>
      </c>
      <c r="G418" s="20">
        <f>F418-E418</f>
        <v>31</v>
      </c>
      <c r="H418" s="25">
        <f>IF(D418=参数设置!$B$12,C418,0)</f>
        <v>0</v>
      </c>
      <c r="I418" s="25">
        <f>IF(L418=1,ROUND(C418*参数设置!$B$10*G418/参数设置!$B$11,参数设置!$B$14),0)</f>
        <v>0</v>
      </c>
      <c r="J418" s="25">
        <f>H418+I418</f>
        <v>0</v>
      </c>
      <c r="K418" s="28">
        <f>EDATE(B418,参数设置!$B$12)</f>
        <v>47644</v>
      </c>
      <c r="L418" s="20">
        <f>--(A418&lt;=参数设置!$B$6)</f>
        <v>0</v>
      </c>
    </row>
    <row r="419" spans="1:12">
      <c r="A419" s="12">
        <v>35</v>
      </c>
      <c r="B419" s="21">
        <f>EDATE(参数设置!$B$4,A419-1)</f>
        <v>47279</v>
      </c>
      <c r="C419" s="22">
        <f>参数设置!$B$5</f>
        <v>23400</v>
      </c>
      <c r="D419" s="12">
        <v>8</v>
      </c>
      <c r="E419" s="28">
        <f>IF(D419=1,B419,F418)</f>
        <v>47519</v>
      </c>
      <c r="F419" s="28">
        <f>IF(D419&lt;参数设置!$B$12,DATE(YEAR(EDATE(B419,D419+1)),MONTH(EDATE(B419,D419+1)),参数设置!$B$13),EDATE(B419,参数设置!$B$12))</f>
        <v>47547</v>
      </c>
      <c r="G419" s="20">
        <f>F419-E419</f>
        <v>28</v>
      </c>
      <c r="H419" s="25">
        <f>IF(D419=参数设置!$B$12,C419,0)</f>
        <v>0</v>
      </c>
      <c r="I419" s="25">
        <f>IF(L419=1,ROUND(C419*参数设置!$B$10*G419/参数设置!$B$11,参数设置!$B$14),0)</f>
        <v>0</v>
      </c>
      <c r="J419" s="25">
        <f>H419+I419</f>
        <v>0</v>
      </c>
      <c r="K419" s="28">
        <f>EDATE(B419,参数设置!$B$12)</f>
        <v>47644</v>
      </c>
      <c r="L419" s="20">
        <f>--(A419&lt;=参数设置!$B$6)</f>
        <v>0</v>
      </c>
    </row>
    <row r="420" spans="1:12">
      <c r="A420" s="12">
        <v>35</v>
      </c>
      <c r="B420" s="21">
        <f>EDATE(参数设置!$B$4,A420-1)</f>
        <v>47279</v>
      </c>
      <c r="C420" s="22">
        <f>参数设置!$B$5</f>
        <v>23400</v>
      </c>
      <c r="D420" s="12">
        <v>9</v>
      </c>
      <c r="E420" s="28">
        <f>IF(D420=1,B420,F419)</f>
        <v>47547</v>
      </c>
      <c r="F420" s="28">
        <f>IF(D420&lt;参数设置!$B$12,DATE(YEAR(EDATE(B420,D420+1)),MONTH(EDATE(B420,D420+1)),参数设置!$B$13),EDATE(B420,参数设置!$B$12))</f>
        <v>47578</v>
      </c>
      <c r="G420" s="20">
        <f>F420-E420</f>
        <v>31</v>
      </c>
      <c r="H420" s="25">
        <f>IF(D420=参数设置!$B$12,C420,0)</f>
        <v>0</v>
      </c>
      <c r="I420" s="25">
        <f>IF(L420=1,ROUND(C420*参数设置!$B$10*G420/参数设置!$B$11,参数设置!$B$14),0)</f>
        <v>0</v>
      </c>
      <c r="J420" s="25">
        <f>H420+I420</f>
        <v>0</v>
      </c>
      <c r="K420" s="28">
        <f>EDATE(B420,参数设置!$B$12)</f>
        <v>47644</v>
      </c>
      <c r="L420" s="20">
        <f>--(A420&lt;=参数设置!$B$6)</f>
        <v>0</v>
      </c>
    </row>
    <row r="421" spans="1:12">
      <c r="A421" s="12">
        <v>35</v>
      </c>
      <c r="B421" s="21">
        <f>EDATE(参数设置!$B$4,A421-1)</f>
        <v>47279</v>
      </c>
      <c r="C421" s="22">
        <f>参数设置!$B$5</f>
        <v>23400</v>
      </c>
      <c r="D421" s="12">
        <v>10</v>
      </c>
      <c r="E421" s="28">
        <f>IF(D421=1,B421,F420)</f>
        <v>47578</v>
      </c>
      <c r="F421" s="28">
        <f>IF(D421&lt;参数设置!$B$12,DATE(YEAR(EDATE(B421,D421+1)),MONTH(EDATE(B421,D421+1)),参数设置!$B$13),EDATE(B421,参数设置!$B$12))</f>
        <v>47608</v>
      </c>
      <c r="G421" s="20">
        <f>F421-E421</f>
        <v>30</v>
      </c>
      <c r="H421" s="25">
        <f>IF(D421=参数设置!$B$12,C421,0)</f>
        <v>0</v>
      </c>
      <c r="I421" s="25">
        <f>IF(L421=1,ROUND(C421*参数设置!$B$10*G421/参数设置!$B$11,参数设置!$B$14),0)</f>
        <v>0</v>
      </c>
      <c r="J421" s="25">
        <f>H421+I421</f>
        <v>0</v>
      </c>
      <c r="K421" s="28">
        <f>EDATE(B421,参数设置!$B$12)</f>
        <v>47644</v>
      </c>
      <c r="L421" s="20">
        <f>--(A421&lt;=参数设置!$B$6)</f>
        <v>0</v>
      </c>
    </row>
    <row r="422" spans="1:12">
      <c r="A422" s="12">
        <v>35</v>
      </c>
      <c r="B422" s="21">
        <f>EDATE(参数设置!$B$4,A422-1)</f>
        <v>47279</v>
      </c>
      <c r="C422" s="22">
        <f>参数设置!$B$5</f>
        <v>23400</v>
      </c>
      <c r="D422" s="12">
        <v>11</v>
      </c>
      <c r="E422" s="28">
        <f>IF(D422=1,B422,F421)</f>
        <v>47608</v>
      </c>
      <c r="F422" s="28">
        <f>IF(D422&lt;参数设置!$B$12,DATE(YEAR(EDATE(B422,D422+1)),MONTH(EDATE(B422,D422+1)),参数设置!$B$13),EDATE(B422,参数设置!$B$12))</f>
        <v>47639</v>
      </c>
      <c r="G422" s="20">
        <f>F422-E422</f>
        <v>31</v>
      </c>
      <c r="H422" s="25">
        <f>IF(D422=参数设置!$B$12,C422,0)</f>
        <v>0</v>
      </c>
      <c r="I422" s="25">
        <f>IF(L422=1,ROUND(C422*参数设置!$B$10*G422/参数设置!$B$11,参数设置!$B$14),0)</f>
        <v>0</v>
      </c>
      <c r="J422" s="25">
        <f>H422+I422</f>
        <v>0</v>
      </c>
      <c r="K422" s="28">
        <f>EDATE(B422,参数设置!$B$12)</f>
        <v>47644</v>
      </c>
      <c r="L422" s="20">
        <f>--(A422&lt;=参数设置!$B$6)</f>
        <v>0</v>
      </c>
    </row>
    <row r="423" spans="1:12">
      <c r="A423" s="12">
        <v>35</v>
      </c>
      <c r="B423" s="21">
        <f>EDATE(参数设置!$B$4,A423-1)</f>
        <v>47279</v>
      </c>
      <c r="C423" s="22">
        <f>参数设置!$B$5</f>
        <v>23400</v>
      </c>
      <c r="D423" s="12">
        <v>12</v>
      </c>
      <c r="E423" s="28">
        <f>IF(D423=1,B423,F422)</f>
        <v>47639</v>
      </c>
      <c r="F423" s="28">
        <f>IF(D423&lt;参数设置!$B$12,DATE(YEAR(EDATE(B423,D423+1)),MONTH(EDATE(B423,D423+1)),参数设置!$B$13),EDATE(B423,参数设置!$B$12))</f>
        <v>47644</v>
      </c>
      <c r="G423" s="20">
        <f>F423-E423</f>
        <v>5</v>
      </c>
      <c r="H423" s="25">
        <f>IF(D423=参数设置!$B$12,C423,0)</f>
        <v>23400</v>
      </c>
      <c r="I423" s="25">
        <f>IF(L423=1,ROUND(C423*参数设置!$B$10*G423/参数设置!$B$11,参数设置!$B$14),0)</f>
        <v>0</v>
      </c>
      <c r="J423" s="25">
        <f>H423+I423</f>
        <v>23400</v>
      </c>
      <c r="K423" s="28">
        <f>EDATE(B423,参数设置!$B$12)</f>
        <v>47644</v>
      </c>
      <c r="L423" s="20">
        <f>--(A423&lt;=参数设置!$B$6)</f>
        <v>0</v>
      </c>
    </row>
    <row r="424" spans="1:12">
      <c r="A424" s="12">
        <v>36</v>
      </c>
      <c r="B424" s="21">
        <f>EDATE(参数设置!$B$4,A424-1)</f>
        <v>47309</v>
      </c>
      <c r="C424" s="22">
        <f>参数设置!$B$5</f>
        <v>23400</v>
      </c>
      <c r="D424" s="12">
        <v>1</v>
      </c>
      <c r="E424" s="28">
        <f>IF(D424=1,B424,F423)</f>
        <v>47309</v>
      </c>
      <c r="F424" s="28">
        <f>IF(D424&lt;参数设置!$B$12,DATE(YEAR(EDATE(B424,D424+1)),MONTH(EDATE(B424,D424+1)),参数设置!$B$13),EDATE(B424,参数设置!$B$12))</f>
        <v>47366</v>
      </c>
      <c r="G424" s="20">
        <f>F424-E424</f>
        <v>57</v>
      </c>
      <c r="H424" s="25">
        <f>IF(D424=参数设置!$B$12,C424,0)</f>
        <v>0</v>
      </c>
      <c r="I424" s="25">
        <f>IF(L424=1,ROUND(C424*参数设置!$B$10*G424/参数设置!$B$11,参数设置!$B$14),0)</f>
        <v>0</v>
      </c>
      <c r="J424" s="25">
        <f>H424+I424</f>
        <v>0</v>
      </c>
      <c r="K424" s="28">
        <f>EDATE(B424,参数设置!$B$12)</f>
        <v>47674</v>
      </c>
      <c r="L424" s="20">
        <f>--(A424&lt;=参数设置!$B$6)</f>
        <v>0</v>
      </c>
    </row>
    <row r="425" spans="1:12">
      <c r="A425" s="12">
        <v>36</v>
      </c>
      <c r="B425" s="21">
        <f>EDATE(参数设置!$B$4,A425-1)</f>
        <v>47309</v>
      </c>
      <c r="C425" s="22">
        <f>参数设置!$B$5</f>
        <v>23400</v>
      </c>
      <c r="D425" s="12">
        <v>2</v>
      </c>
      <c r="E425" s="28">
        <f>IF(D425=1,B425,F424)</f>
        <v>47366</v>
      </c>
      <c r="F425" s="28">
        <f>IF(D425&lt;参数设置!$B$12,DATE(YEAR(EDATE(B425,D425+1)),MONTH(EDATE(B425,D425+1)),参数设置!$B$13),EDATE(B425,参数设置!$B$12))</f>
        <v>47396</v>
      </c>
      <c r="G425" s="20">
        <f>F425-E425</f>
        <v>30</v>
      </c>
      <c r="H425" s="25">
        <f>IF(D425=参数设置!$B$12,C425,0)</f>
        <v>0</v>
      </c>
      <c r="I425" s="25">
        <f>IF(L425=1,ROUND(C425*参数设置!$B$10*G425/参数设置!$B$11,参数设置!$B$14),0)</f>
        <v>0</v>
      </c>
      <c r="J425" s="25">
        <f>H425+I425</f>
        <v>0</v>
      </c>
      <c r="K425" s="28">
        <f>EDATE(B425,参数设置!$B$12)</f>
        <v>47674</v>
      </c>
      <c r="L425" s="20">
        <f>--(A425&lt;=参数设置!$B$6)</f>
        <v>0</v>
      </c>
    </row>
    <row r="426" spans="1:12">
      <c r="A426" s="12">
        <v>36</v>
      </c>
      <c r="B426" s="21">
        <f>EDATE(参数设置!$B$4,A426-1)</f>
        <v>47309</v>
      </c>
      <c r="C426" s="22">
        <f>参数设置!$B$5</f>
        <v>23400</v>
      </c>
      <c r="D426" s="12">
        <v>3</v>
      </c>
      <c r="E426" s="28">
        <f>IF(D426=1,B426,F425)</f>
        <v>47396</v>
      </c>
      <c r="F426" s="28">
        <f>IF(D426&lt;参数设置!$B$12,DATE(YEAR(EDATE(B426,D426+1)),MONTH(EDATE(B426,D426+1)),参数设置!$B$13),EDATE(B426,参数设置!$B$12))</f>
        <v>47427</v>
      </c>
      <c r="G426" s="20">
        <f>F426-E426</f>
        <v>31</v>
      </c>
      <c r="H426" s="25">
        <f>IF(D426=参数设置!$B$12,C426,0)</f>
        <v>0</v>
      </c>
      <c r="I426" s="25">
        <f>IF(L426=1,ROUND(C426*参数设置!$B$10*G426/参数设置!$B$11,参数设置!$B$14),0)</f>
        <v>0</v>
      </c>
      <c r="J426" s="25">
        <f>H426+I426</f>
        <v>0</v>
      </c>
      <c r="K426" s="28">
        <f>EDATE(B426,参数设置!$B$12)</f>
        <v>47674</v>
      </c>
      <c r="L426" s="20">
        <f>--(A426&lt;=参数设置!$B$6)</f>
        <v>0</v>
      </c>
    </row>
    <row r="427" spans="1:12">
      <c r="A427" s="12">
        <v>36</v>
      </c>
      <c r="B427" s="21">
        <f>EDATE(参数设置!$B$4,A427-1)</f>
        <v>47309</v>
      </c>
      <c r="C427" s="22">
        <f>参数设置!$B$5</f>
        <v>23400</v>
      </c>
      <c r="D427" s="12">
        <v>4</v>
      </c>
      <c r="E427" s="28">
        <f>IF(D427=1,B427,F426)</f>
        <v>47427</v>
      </c>
      <c r="F427" s="28">
        <f>IF(D427&lt;参数设置!$B$12,DATE(YEAR(EDATE(B427,D427+1)),MONTH(EDATE(B427,D427+1)),参数设置!$B$13),EDATE(B427,参数设置!$B$12))</f>
        <v>47457</v>
      </c>
      <c r="G427" s="20">
        <f>F427-E427</f>
        <v>30</v>
      </c>
      <c r="H427" s="25">
        <f>IF(D427=参数设置!$B$12,C427,0)</f>
        <v>0</v>
      </c>
      <c r="I427" s="25">
        <f>IF(L427=1,ROUND(C427*参数设置!$B$10*G427/参数设置!$B$11,参数设置!$B$14),0)</f>
        <v>0</v>
      </c>
      <c r="J427" s="25">
        <f>H427+I427</f>
        <v>0</v>
      </c>
      <c r="K427" s="28">
        <f>EDATE(B427,参数设置!$B$12)</f>
        <v>47674</v>
      </c>
      <c r="L427" s="20">
        <f>--(A427&lt;=参数设置!$B$6)</f>
        <v>0</v>
      </c>
    </row>
    <row r="428" spans="1:12">
      <c r="A428" s="12">
        <v>36</v>
      </c>
      <c r="B428" s="21">
        <f>EDATE(参数设置!$B$4,A428-1)</f>
        <v>47309</v>
      </c>
      <c r="C428" s="22">
        <f>参数设置!$B$5</f>
        <v>23400</v>
      </c>
      <c r="D428" s="12">
        <v>5</v>
      </c>
      <c r="E428" s="28">
        <f>IF(D428=1,B428,F427)</f>
        <v>47457</v>
      </c>
      <c r="F428" s="28">
        <f>IF(D428&lt;参数设置!$B$12,DATE(YEAR(EDATE(B428,D428+1)),MONTH(EDATE(B428,D428+1)),参数设置!$B$13),EDATE(B428,参数设置!$B$12))</f>
        <v>47488</v>
      </c>
      <c r="G428" s="20">
        <f>F428-E428</f>
        <v>31</v>
      </c>
      <c r="H428" s="25">
        <f>IF(D428=参数设置!$B$12,C428,0)</f>
        <v>0</v>
      </c>
      <c r="I428" s="25">
        <f>IF(L428=1,ROUND(C428*参数设置!$B$10*G428/参数设置!$B$11,参数设置!$B$14),0)</f>
        <v>0</v>
      </c>
      <c r="J428" s="25">
        <f>H428+I428</f>
        <v>0</v>
      </c>
      <c r="K428" s="28">
        <f>EDATE(B428,参数设置!$B$12)</f>
        <v>47674</v>
      </c>
      <c r="L428" s="20">
        <f>--(A428&lt;=参数设置!$B$6)</f>
        <v>0</v>
      </c>
    </row>
    <row r="429" spans="1:12">
      <c r="A429" s="12">
        <v>36</v>
      </c>
      <c r="B429" s="21">
        <f>EDATE(参数设置!$B$4,A429-1)</f>
        <v>47309</v>
      </c>
      <c r="C429" s="22">
        <f>参数设置!$B$5</f>
        <v>23400</v>
      </c>
      <c r="D429" s="12">
        <v>6</v>
      </c>
      <c r="E429" s="28">
        <f>IF(D429=1,B429,F428)</f>
        <v>47488</v>
      </c>
      <c r="F429" s="28">
        <f>IF(D429&lt;参数设置!$B$12,DATE(YEAR(EDATE(B429,D429+1)),MONTH(EDATE(B429,D429+1)),参数设置!$B$13),EDATE(B429,参数设置!$B$12))</f>
        <v>47519</v>
      </c>
      <c r="G429" s="20">
        <f>F429-E429</f>
        <v>31</v>
      </c>
      <c r="H429" s="25">
        <f>IF(D429=参数设置!$B$12,C429,0)</f>
        <v>0</v>
      </c>
      <c r="I429" s="25">
        <f>IF(L429=1,ROUND(C429*参数设置!$B$10*G429/参数设置!$B$11,参数设置!$B$14),0)</f>
        <v>0</v>
      </c>
      <c r="J429" s="25">
        <f>H429+I429</f>
        <v>0</v>
      </c>
      <c r="K429" s="28">
        <f>EDATE(B429,参数设置!$B$12)</f>
        <v>47674</v>
      </c>
      <c r="L429" s="20">
        <f>--(A429&lt;=参数设置!$B$6)</f>
        <v>0</v>
      </c>
    </row>
    <row r="430" spans="1:12">
      <c r="A430" s="12">
        <v>36</v>
      </c>
      <c r="B430" s="21">
        <f>EDATE(参数设置!$B$4,A430-1)</f>
        <v>47309</v>
      </c>
      <c r="C430" s="22">
        <f>参数设置!$B$5</f>
        <v>23400</v>
      </c>
      <c r="D430" s="12">
        <v>7</v>
      </c>
      <c r="E430" s="28">
        <f>IF(D430=1,B430,F429)</f>
        <v>47519</v>
      </c>
      <c r="F430" s="28">
        <f>IF(D430&lt;参数设置!$B$12,DATE(YEAR(EDATE(B430,D430+1)),MONTH(EDATE(B430,D430+1)),参数设置!$B$13),EDATE(B430,参数设置!$B$12))</f>
        <v>47547</v>
      </c>
      <c r="G430" s="20">
        <f>F430-E430</f>
        <v>28</v>
      </c>
      <c r="H430" s="25">
        <f>IF(D430=参数设置!$B$12,C430,0)</f>
        <v>0</v>
      </c>
      <c r="I430" s="25">
        <f>IF(L430=1,ROUND(C430*参数设置!$B$10*G430/参数设置!$B$11,参数设置!$B$14),0)</f>
        <v>0</v>
      </c>
      <c r="J430" s="25">
        <f>H430+I430</f>
        <v>0</v>
      </c>
      <c r="K430" s="28">
        <f>EDATE(B430,参数设置!$B$12)</f>
        <v>47674</v>
      </c>
      <c r="L430" s="20">
        <f>--(A430&lt;=参数设置!$B$6)</f>
        <v>0</v>
      </c>
    </row>
    <row r="431" spans="1:12">
      <c r="A431" s="12">
        <v>36</v>
      </c>
      <c r="B431" s="21">
        <f>EDATE(参数设置!$B$4,A431-1)</f>
        <v>47309</v>
      </c>
      <c r="C431" s="22">
        <f>参数设置!$B$5</f>
        <v>23400</v>
      </c>
      <c r="D431" s="12">
        <v>8</v>
      </c>
      <c r="E431" s="28">
        <f>IF(D431=1,B431,F430)</f>
        <v>47547</v>
      </c>
      <c r="F431" s="28">
        <f>IF(D431&lt;参数设置!$B$12,DATE(YEAR(EDATE(B431,D431+1)),MONTH(EDATE(B431,D431+1)),参数设置!$B$13),EDATE(B431,参数设置!$B$12))</f>
        <v>47578</v>
      </c>
      <c r="G431" s="20">
        <f>F431-E431</f>
        <v>31</v>
      </c>
      <c r="H431" s="25">
        <f>IF(D431=参数设置!$B$12,C431,0)</f>
        <v>0</v>
      </c>
      <c r="I431" s="25">
        <f>IF(L431=1,ROUND(C431*参数设置!$B$10*G431/参数设置!$B$11,参数设置!$B$14),0)</f>
        <v>0</v>
      </c>
      <c r="J431" s="25">
        <f>H431+I431</f>
        <v>0</v>
      </c>
      <c r="K431" s="28">
        <f>EDATE(B431,参数设置!$B$12)</f>
        <v>47674</v>
      </c>
      <c r="L431" s="20">
        <f>--(A431&lt;=参数设置!$B$6)</f>
        <v>0</v>
      </c>
    </row>
    <row r="432" spans="1:12">
      <c r="A432" s="12">
        <v>36</v>
      </c>
      <c r="B432" s="21">
        <f>EDATE(参数设置!$B$4,A432-1)</f>
        <v>47309</v>
      </c>
      <c r="C432" s="22">
        <f>参数设置!$B$5</f>
        <v>23400</v>
      </c>
      <c r="D432" s="12">
        <v>9</v>
      </c>
      <c r="E432" s="28">
        <f>IF(D432=1,B432,F431)</f>
        <v>47578</v>
      </c>
      <c r="F432" s="28">
        <f>IF(D432&lt;参数设置!$B$12,DATE(YEAR(EDATE(B432,D432+1)),MONTH(EDATE(B432,D432+1)),参数设置!$B$13),EDATE(B432,参数设置!$B$12))</f>
        <v>47608</v>
      </c>
      <c r="G432" s="20">
        <f>F432-E432</f>
        <v>30</v>
      </c>
      <c r="H432" s="25">
        <f>IF(D432=参数设置!$B$12,C432,0)</f>
        <v>0</v>
      </c>
      <c r="I432" s="25">
        <f>IF(L432=1,ROUND(C432*参数设置!$B$10*G432/参数设置!$B$11,参数设置!$B$14),0)</f>
        <v>0</v>
      </c>
      <c r="J432" s="25">
        <f>H432+I432</f>
        <v>0</v>
      </c>
      <c r="K432" s="28">
        <f>EDATE(B432,参数设置!$B$12)</f>
        <v>47674</v>
      </c>
      <c r="L432" s="20">
        <f>--(A432&lt;=参数设置!$B$6)</f>
        <v>0</v>
      </c>
    </row>
    <row r="433" spans="1:12">
      <c r="A433" s="12">
        <v>36</v>
      </c>
      <c r="B433" s="21">
        <f>EDATE(参数设置!$B$4,A433-1)</f>
        <v>47309</v>
      </c>
      <c r="C433" s="22">
        <f>参数设置!$B$5</f>
        <v>23400</v>
      </c>
      <c r="D433" s="12">
        <v>10</v>
      </c>
      <c r="E433" s="28">
        <f>IF(D433=1,B433,F432)</f>
        <v>47608</v>
      </c>
      <c r="F433" s="28">
        <f>IF(D433&lt;参数设置!$B$12,DATE(YEAR(EDATE(B433,D433+1)),MONTH(EDATE(B433,D433+1)),参数设置!$B$13),EDATE(B433,参数设置!$B$12))</f>
        <v>47639</v>
      </c>
      <c r="G433" s="20">
        <f>F433-E433</f>
        <v>31</v>
      </c>
      <c r="H433" s="25">
        <f>IF(D433=参数设置!$B$12,C433,0)</f>
        <v>0</v>
      </c>
      <c r="I433" s="25">
        <f>IF(L433=1,ROUND(C433*参数设置!$B$10*G433/参数设置!$B$11,参数设置!$B$14),0)</f>
        <v>0</v>
      </c>
      <c r="J433" s="25">
        <f>H433+I433</f>
        <v>0</v>
      </c>
      <c r="K433" s="28">
        <f>EDATE(B433,参数设置!$B$12)</f>
        <v>47674</v>
      </c>
      <c r="L433" s="20">
        <f>--(A433&lt;=参数设置!$B$6)</f>
        <v>0</v>
      </c>
    </row>
    <row r="434" spans="1:12">
      <c r="A434" s="12">
        <v>36</v>
      </c>
      <c r="B434" s="21">
        <f>EDATE(参数设置!$B$4,A434-1)</f>
        <v>47309</v>
      </c>
      <c r="C434" s="22">
        <f>参数设置!$B$5</f>
        <v>23400</v>
      </c>
      <c r="D434" s="12">
        <v>11</v>
      </c>
      <c r="E434" s="28">
        <f>IF(D434=1,B434,F433)</f>
        <v>47639</v>
      </c>
      <c r="F434" s="28">
        <f>IF(D434&lt;参数设置!$B$12,DATE(YEAR(EDATE(B434,D434+1)),MONTH(EDATE(B434,D434+1)),参数设置!$B$13),EDATE(B434,参数设置!$B$12))</f>
        <v>47669</v>
      </c>
      <c r="G434" s="20">
        <f>F434-E434</f>
        <v>30</v>
      </c>
      <c r="H434" s="25">
        <f>IF(D434=参数设置!$B$12,C434,0)</f>
        <v>0</v>
      </c>
      <c r="I434" s="25">
        <f>IF(L434=1,ROUND(C434*参数设置!$B$10*G434/参数设置!$B$11,参数设置!$B$14),0)</f>
        <v>0</v>
      </c>
      <c r="J434" s="25">
        <f>H434+I434</f>
        <v>0</v>
      </c>
      <c r="K434" s="28">
        <f>EDATE(B434,参数设置!$B$12)</f>
        <v>47674</v>
      </c>
      <c r="L434" s="20">
        <f>--(A434&lt;=参数设置!$B$6)</f>
        <v>0</v>
      </c>
    </row>
    <row r="435" spans="1:12">
      <c r="A435" s="12">
        <v>36</v>
      </c>
      <c r="B435" s="21">
        <f>EDATE(参数设置!$B$4,A435-1)</f>
        <v>47309</v>
      </c>
      <c r="C435" s="22">
        <f>参数设置!$B$5</f>
        <v>23400</v>
      </c>
      <c r="D435" s="12">
        <v>12</v>
      </c>
      <c r="E435" s="28">
        <f>IF(D435=1,B435,F434)</f>
        <v>47669</v>
      </c>
      <c r="F435" s="28">
        <f>IF(D435&lt;参数设置!$B$12,DATE(YEAR(EDATE(B435,D435+1)),MONTH(EDATE(B435,D435+1)),参数设置!$B$13),EDATE(B435,参数设置!$B$12))</f>
        <v>47674</v>
      </c>
      <c r="G435" s="20">
        <f>F435-E435</f>
        <v>5</v>
      </c>
      <c r="H435" s="25">
        <f>IF(D435=参数设置!$B$12,C435,0)</f>
        <v>23400</v>
      </c>
      <c r="I435" s="25">
        <f>IF(L435=1,ROUND(C435*参数设置!$B$10*G435/参数设置!$B$11,参数设置!$B$14),0)</f>
        <v>0</v>
      </c>
      <c r="J435" s="25">
        <f>H435+I435</f>
        <v>23400</v>
      </c>
      <c r="K435" s="28">
        <f>EDATE(B435,参数设置!$B$12)</f>
        <v>47674</v>
      </c>
      <c r="L435" s="20">
        <f>--(A435&lt;=参数设置!$B$6)</f>
        <v>0</v>
      </c>
    </row>
  </sheetData>
  <autoFilter ref="A3:L435" xr:uid="{00000000-0009-0000-0000-000003000000}"/>
  <mergeCells count="1">
    <mergeCell ref="A1:L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Shicheng Lin</dc:creator>
  <cp:keywords/>
  <dc:description/>
  <cp:lastModifiedBy/>
  <cp:revision>0</cp:revision>
  <dcterms:created xsi:type="dcterms:W3CDTF">2026-08-06T02:22:00Z</dcterms:created>
  <dcterms:modified xsi:type="dcterms:W3CDTF">2026-08-06T02:23:49Z</dcterms:modified>
  <cp:category/>
  <cp:contentStatus/>
</cp:coreProperties>
</file>
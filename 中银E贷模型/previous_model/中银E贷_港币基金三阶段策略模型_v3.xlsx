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West\Downloads\"/>
    </mc:Choice>
  </mc:AlternateContent>
  <xr:revisionPtr revIDLastSave="0" documentId="13_ncr:1_{3C567A99-8324-482B-A38C-7BBD92E95FA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模型说明" sheetId="1" r:id="rId1"/>
    <sheet name="参数设置" sheetId="2" r:id="rId2"/>
    <sheet name="月度资金流" sheetId="3" r:id="rId3"/>
    <sheet name="贷款明细" sheetId="4" r:id="rId4"/>
    <sheet name="策略字典" sheetId="5" state="hidden" r:id="rId5"/>
  </sheets>
  <definedNames>
    <definedName name="_xlnm._FilterDatabase" localSheetId="2" hidden="1">月度资金流!$A$6:$AA$54</definedName>
    <definedName name="_xlnm._FilterDatabase" localSheetId="3" hidden="1">贷款明细!$A$3:$M$435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435" i="4" l="1"/>
  <c r="C435" i="4"/>
  <c r="I434" i="4"/>
  <c r="D434" i="4"/>
  <c r="M434" i="4" s="1"/>
  <c r="J434" i="4" s="1"/>
  <c r="C434" i="4"/>
  <c r="I433" i="4"/>
  <c r="D433" i="4"/>
  <c r="M433" i="4" s="1"/>
  <c r="J433" i="4" s="1"/>
  <c r="C433" i="4"/>
  <c r="I432" i="4"/>
  <c r="D432" i="4"/>
  <c r="M432" i="4" s="1"/>
  <c r="J432" i="4" s="1"/>
  <c r="C432" i="4"/>
  <c r="I431" i="4"/>
  <c r="D431" i="4"/>
  <c r="M431" i="4" s="1"/>
  <c r="J431" i="4" s="1"/>
  <c r="C431" i="4"/>
  <c r="I430" i="4"/>
  <c r="D430" i="4"/>
  <c r="M430" i="4" s="1"/>
  <c r="J430" i="4" s="1"/>
  <c r="C430" i="4"/>
  <c r="I429" i="4"/>
  <c r="D429" i="4"/>
  <c r="M429" i="4" s="1"/>
  <c r="J429" i="4" s="1"/>
  <c r="C429" i="4"/>
  <c r="I428" i="4"/>
  <c r="D428" i="4"/>
  <c r="M428" i="4" s="1"/>
  <c r="J428" i="4" s="1"/>
  <c r="C428" i="4"/>
  <c r="I427" i="4"/>
  <c r="D427" i="4"/>
  <c r="M427" i="4" s="1"/>
  <c r="J427" i="4" s="1"/>
  <c r="C427" i="4"/>
  <c r="I426" i="4"/>
  <c r="D426" i="4"/>
  <c r="M426" i="4" s="1"/>
  <c r="J426" i="4" s="1"/>
  <c r="C426" i="4"/>
  <c r="I425" i="4"/>
  <c r="D425" i="4"/>
  <c r="M425" i="4" s="1"/>
  <c r="J425" i="4" s="1"/>
  <c r="C425" i="4"/>
  <c r="I424" i="4"/>
  <c r="D424" i="4"/>
  <c r="M424" i="4" s="1"/>
  <c r="J424" i="4" s="1"/>
  <c r="C424" i="4"/>
  <c r="D423" i="4"/>
  <c r="C423" i="4"/>
  <c r="I422" i="4"/>
  <c r="D422" i="4"/>
  <c r="M422" i="4" s="1"/>
  <c r="J422" i="4" s="1"/>
  <c r="C422" i="4"/>
  <c r="I421" i="4"/>
  <c r="D421" i="4"/>
  <c r="M421" i="4" s="1"/>
  <c r="J421" i="4" s="1"/>
  <c r="C421" i="4"/>
  <c r="I420" i="4"/>
  <c r="D420" i="4"/>
  <c r="M420" i="4" s="1"/>
  <c r="J420" i="4" s="1"/>
  <c r="C420" i="4"/>
  <c r="I419" i="4"/>
  <c r="D419" i="4"/>
  <c r="M419" i="4" s="1"/>
  <c r="J419" i="4" s="1"/>
  <c r="C419" i="4"/>
  <c r="I418" i="4"/>
  <c r="D418" i="4"/>
  <c r="M418" i="4" s="1"/>
  <c r="J418" i="4" s="1"/>
  <c r="C418" i="4"/>
  <c r="I417" i="4"/>
  <c r="D417" i="4"/>
  <c r="M417" i="4" s="1"/>
  <c r="J417" i="4" s="1"/>
  <c r="C417" i="4"/>
  <c r="I416" i="4"/>
  <c r="D416" i="4"/>
  <c r="M416" i="4" s="1"/>
  <c r="J416" i="4" s="1"/>
  <c r="C416" i="4"/>
  <c r="I415" i="4"/>
  <c r="D415" i="4"/>
  <c r="M415" i="4" s="1"/>
  <c r="J415" i="4" s="1"/>
  <c r="C415" i="4"/>
  <c r="I414" i="4"/>
  <c r="D414" i="4"/>
  <c r="M414" i="4" s="1"/>
  <c r="J414" i="4" s="1"/>
  <c r="C414" i="4"/>
  <c r="I413" i="4"/>
  <c r="D413" i="4"/>
  <c r="M413" i="4" s="1"/>
  <c r="J413" i="4" s="1"/>
  <c r="C413" i="4"/>
  <c r="I412" i="4"/>
  <c r="D412" i="4"/>
  <c r="M412" i="4" s="1"/>
  <c r="J412" i="4" s="1"/>
  <c r="C412" i="4"/>
  <c r="D411" i="4"/>
  <c r="C411" i="4"/>
  <c r="I410" i="4"/>
  <c r="D410" i="4"/>
  <c r="M410" i="4" s="1"/>
  <c r="J410" i="4" s="1"/>
  <c r="C410" i="4"/>
  <c r="I409" i="4"/>
  <c r="D409" i="4"/>
  <c r="M409" i="4" s="1"/>
  <c r="J409" i="4" s="1"/>
  <c r="C409" i="4"/>
  <c r="I408" i="4"/>
  <c r="D408" i="4"/>
  <c r="M408" i="4" s="1"/>
  <c r="J408" i="4" s="1"/>
  <c r="C408" i="4"/>
  <c r="I407" i="4"/>
  <c r="D407" i="4"/>
  <c r="M407" i="4" s="1"/>
  <c r="J407" i="4" s="1"/>
  <c r="C407" i="4"/>
  <c r="I406" i="4"/>
  <c r="D406" i="4"/>
  <c r="M406" i="4" s="1"/>
  <c r="J406" i="4" s="1"/>
  <c r="C406" i="4"/>
  <c r="I405" i="4"/>
  <c r="D405" i="4"/>
  <c r="M405" i="4" s="1"/>
  <c r="J405" i="4" s="1"/>
  <c r="C405" i="4"/>
  <c r="I404" i="4"/>
  <c r="D404" i="4"/>
  <c r="M404" i="4" s="1"/>
  <c r="J404" i="4" s="1"/>
  <c r="C404" i="4"/>
  <c r="I403" i="4"/>
  <c r="D403" i="4"/>
  <c r="M403" i="4" s="1"/>
  <c r="J403" i="4" s="1"/>
  <c r="C403" i="4"/>
  <c r="I402" i="4"/>
  <c r="D402" i="4"/>
  <c r="M402" i="4" s="1"/>
  <c r="J402" i="4" s="1"/>
  <c r="C402" i="4"/>
  <c r="I401" i="4"/>
  <c r="D401" i="4"/>
  <c r="M401" i="4" s="1"/>
  <c r="J401" i="4" s="1"/>
  <c r="C401" i="4"/>
  <c r="I400" i="4"/>
  <c r="D400" i="4"/>
  <c r="M400" i="4" s="1"/>
  <c r="J400" i="4" s="1"/>
  <c r="C400" i="4"/>
  <c r="D399" i="4"/>
  <c r="C399" i="4"/>
  <c r="I398" i="4"/>
  <c r="D398" i="4"/>
  <c r="M398" i="4" s="1"/>
  <c r="J398" i="4" s="1"/>
  <c r="C398" i="4"/>
  <c r="I397" i="4"/>
  <c r="D397" i="4"/>
  <c r="M397" i="4" s="1"/>
  <c r="J397" i="4" s="1"/>
  <c r="C397" i="4"/>
  <c r="I396" i="4"/>
  <c r="D396" i="4"/>
  <c r="M396" i="4" s="1"/>
  <c r="J396" i="4" s="1"/>
  <c r="C396" i="4"/>
  <c r="I395" i="4"/>
  <c r="D395" i="4"/>
  <c r="M395" i="4" s="1"/>
  <c r="J395" i="4" s="1"/>
  <c r="C395" i="4"/>
  <c r="I394" i="4"/>
  <c r="D394" i="4"/>
  <c r="M394" i="4" s="1"/>
  <c r="J394" i="4" s="1"/>
  <c r="C394" i="4"/>
  <c r="I393" i="4"/>
  <c r="D393" i="4"/>
  <c r="M393" i="4" s="1"/>
  <c r="J393" i="4" s="1"/>
  <c r="C393" i="4"/>
  <c r="I392" i="4"/>
  <c r="D392" i="4"/>
  <c r="M392" i="4" s="1"/>
  <c r="J392" i="4" s="1"/>
  <c r="C392" i="4"/>
  <c r="I391" i="4"/>
  <c r="D391" i="4"/>
  <c r="M391" i="4" s="1"/>
  <c r="J391" i="4" s="1"/>
  <c r="C391" i="4"/>
  <c r="I390" i="4"/>
  <c r="D390" i="4"/>
  <c r="M390" i="4" s="1"/>
  <c r="J390" i="4" s="1"/>
  <c r="C390" i="4"/>
  <c r="I389" i="4"/>
  <c r="D389" i="4"/>
  <c r="M389" i="4" s="1"/>
  <c r="J389" i="4" s="1"/>
  <c r="C389" i="4"/>
  <c r="I388" i="4"/>
  <c r="D388" i="4"/>
  <c r="M388" i="4" s="1"/>
  <c r="J388" i="4" s="1"/>
  <c r="C388" i="4"/>
  <c r="D387" i="4"/>
  <c r="C387" i="4"/>
  <c r="I386" i="4"/>
  <c r="D386" i="4"/>
  <c r="M386" i="4" s="1"/>
  <c r="J386" i="4" s="1"/>
  <c r="C386" i="4"/>
  <c r="I385" i="4"/>
  <c r="D385" i="4"/>
  <c r="M385" i="4" s="1"/>
  <c r="J385" i="4" s="1"/>
  <c r="C385" i="4"/>
  <c r="I384" i="4"/>
  <c r="D384" i="4"/>
  <c r="M384" i="4" s="1"/>
  <c r="J384" i="4" s="1"/>
  <c r="C384" i="4"/>
  <c r="I383" i="4"/>
  <c r="D383" i="4"/>
  <c r="M383" i="4" s="1"/>
  <c r="J383" i="4" s="1"/>
  <c r="C383" i="4"/>
  <c r="I382" i="4"/>
  <c r="D382" i="4"/>
  <c r="M382" i="4" s="1"/>
  <c r="J382" i="4" s="1"/>
  <c r="C382" i="4"/>
  <c r="I381" i="4"/>
  <c r="D381" i="4"/>
  <c r="M381" i="4" s="1"/>
  <c r="J381" i="4" s="1"/>
  <c r="C381" i="4"/>
  <c r="I380" i="4"/>
  <c r="D380" i="4"/>
  <c r="M380" i="4" s="1"/>
  <c r="J380" i="4" s="1"/>
  <c r="C380" i="4"/>
  <c r="I379" i="4"/>
  <c r="D379" i="4"/>
  <c r="M379" i="4" s="1"/>
  <c r="J379" i="4" s="1"/>
  <c r="C379" i="4"/>
  <c r="I378" i="4"/>
  <c r="D378" i="4"/>
  <c r="M378" i="4" s="1"/>
  <c r="J378" i="4" s="1"/>
  <c r="C378" i="4"/>
  <c r="I377" i="4"/>
  <c r="D377" i="4"/>
  <c r="M377" i="4" s="1"/>
  <c r="J377" i="4" s="1"/>
  <c r="C377" i="4"/>
  <c r="I376" i="4"/>
  <c r="D376" i="4"/>
  <c r="M376" i="4" s="1"/>
  <c r="J376" i="4" s="1"/>
  <c r="C376" i="4"/>
  <c r="D375" i="4"/>
  <c r="C375" i="4"/>
  <c r="I374" i="4"/>
  <c r="D374" i="4"/>
  <c r="M374" i="4" s="1"/>
  <c r="J374" i="4" s="1"/>
  <c r="C374" i="4"/>
  <c r="I373" i="4"/>
  <c r="D373" i="4"/>
  <c r="M373" i="4" s="1"/>
  <c r="J373" i="4" s="1"/>
  <c r="C373" i="4"/>
  <c r="I372" i="4"/>
  <c r="D372" i="4"/>
  <c r="M372" i="4" s="1"/>
  <c r="J372" i="4" s="1"/>
  <c r="C372" i="4"/>
  <c r="I371" i="4"/>
  <c r="D371" i="4"/>
  <c r="M371" i="4" s="1"/>
  <c r="J371" i="4" s="1"/>
  <c r="C371" i="4"/>
  <c r="I370" i="4"/>
  <c r="D370" i="4"/>
  <c r="M370" i="4" s="1"/>
  <c r="J370" i="4" s="1"/>
  <c r="C370" i="4"/>
  <c r="I369" i="4"/>
  <c r="D369" i="4"/>
  <c r="M369" i="4" s="1"/>
  <c r="J369" i="4" s="1"/>
  <c r="C369" i="4"/>
  <c r="I368" i="4"/>
  <c r="D368" i="4"/>
  <c r="M368" i="4" s="1"/>
  <c r="J368" i="4" s="1"/>
  <c r="C368" i="4"/>
  <c r="I367" i="4"/>
  <c r="D367" i="4"/>
  <c r="M367" i="4" s="1"/>
  <c r="J367" i="4" s="1"/>
  <c r="C367" i="4"/>
  <c r="I366" i="4"/>
  <c r="D366" i="4"/>
  <c r="M366" i="4" s="1"/>
  <c r="J366" i="4" s="1"/>
  <c r="C366" i="4"/>
  <c r="I365" i="4"/>
  <c r="D365" i="4"/>
  <c r="M365" i="4" s="1"/>
  <c r="J365" i="4" s="1"/>
  <c r="C365" i="4"/>
  <c r="I364" i="4"/>
  <c r="D364" i="4"/>
  <c r="M364" i="4" s="1"/>
  <c r="J364" i="4" s="1"/>
  <c r="C364" i="4"/>
  <c r="D363" i="4"/>
  <c r="C363" i="4"/>
  <c r="I362" i="4"/>
  <c r="D362" i="4"/>
  <c r="M362" i="4" s="1"/>
  <c r="J362" i="4" s="1"/>
  <c r="C362" i="4"/>
  <c r="I361" i="4"/>
  <c r="D361" i="4"/>
  <c r="M361" i="4" s="1"/>
  <c r="J361" i="4" s="1"/>
  <c r="C361" i="4"/>
  <c r="I360" i="4"/>
  <c r="D360" i="4"/>
  <c r="M360" i="4" s="1"/>
  <c r="J360" i="4" s="1"/>
  <c r="C360" i="4"/>
  <c r="I359" i="4"/>
  <c r="D359" i="4"/>
  <c r="M359" i="4" s="1"/>
  <c r="J359" i="4" s="1"/>
  <c r="C359" i="4"/>
  <c r="I358" i="4"/>
  <c r="D358" i="4"/>
  <c r="M358" i="4" s="1"/>
  <c r="J358" i="4" s="1"/>
  <c r="C358" i="4"/>
  <c r="I357" i="4"/>
  <c r="D357" i="4"/>
  <c r="M357" i="4" s="1"/>
  <c r="J357" i="4" s="1"/>
  <c r="C357" i="4"/>
  <c r="I356" i="4"/>
  <c r="D356" i="4"/>
  <c r="M356" i="4" s="1"/>
  <c r="J356" i="4" s="1"/>
  <c r="C356" i="4"/>
  <c r="I355" i="4"/>
  <c r="D355" i="4"/>
  <c r="M355" i="4" s="1"/>
  <c r="J355" i="4" s="1"/>
  <c r="C355" i="4"/>
  <c r="I354" i="4"/>
  <c r="D354" i="4"/>
  <c r="M354" i="4" s="1"/>
  <c r="J354" i="4" s="1"/>
  <c r="C354" i="4"/>
  <c r="I353" i="4"/>
  <c r="D353" i="4"/>
  <c r="M353" i="4" s="1"/>
  <c r="J353" i="4" s="1"/>
  <c r="C353" i="4"/>
  <c r="I352" i="4"/>
  <c r="D352" i="4"/>
  <c r="M352" i="4" s="1"/>
  <c r="J352" i="4" s="1"/>
  <c r="C352" i="4"/>
  <c r="D351" i="4"/>
  <c r="C351" i="4"/>
  <c r="I350" i="4"/>
  <c r="D350" i="4"/>
  <c r="M350" i="4" s="1"/>
  <c r="J350" i="4" s="1"/>
  <c r="C350" i="4"/>
  <c r="I349" i="4"/>
  <c r="D349" i="4"/>
  <c r="M349" i="4" s="1"/>
  <c r="J349" i="4" s="1"/>
  <c r="C349" i="4"/>
  <c r="I348" i="4"/>
  <c r="D348" i="4"/>
  <c r="M348" i="4" s="1"/>
  <c r="J348" i="4" s="1"/>
  <c r="C348" i="4"/>
  <c r="I347" i="4"/>
  <c r="D347" i="4"/>
  <c r="M347" i="4" s="1"/>
  <c r="J347" i="4" s="1"/>
  <c r="C347" i="4"/>
  <c r="I346" i="4"/>
  <c r="D346" i="4"/>
  <c r="M346" i="4" s="1"/>
  <c r="J346" i="4" s="1"/>
  <c r="C346" i="4"/>
  <c r="I345" i="4"/>
  <c r="D345" i="4"/>
  <c r="M345" i="4" s="1"/>
  <c r="J345" i="4" s="1"/>
  <c r="C345" i="4"/>
  <c r="I344" i="4"/>
  <c r="D344" i="4"/>
  <c r="M344" i="4" s="1"/>
  <c r="J344" i="4" s="1"/>
  <c r="C344" i="4"/>
  <c r="I343" i="4"/>
  <c r="D343" i="4"/>
  <c r="M343" i="4" s="1"/>
  <c r="J343" i="4" s="1"/>
  <c r="C343" i="4"/>
  <c r="I342" i="4"/>
  <c r="D342" i="4"/>
  <c r="M342" i="4" s="1"/>
  <c r="J342" i="4" s="1"/>
  <c r="C342" i="4"/>
  <c r="I341" i="4"/>
  <c r="D341" i="4"/>
  <c r="M341" i="4" s="1"/>
  <c r="J341" i="4" s="1"/>
  <c r="C341" i="4"/>
  <c r="I340" i="4"/>
  <c r="D340" i="4"/>
  <c r="M340" i="4" s="1"/>
  <c r="J340" i="4" s="1"/>
  <c r="C340" i="4"/>
  <c r="D339" i="4"/>
  <c r="C339" i="4"/>
  <c r="I338" i="4"/>
  <c r="D338" i="4"/>
  <c r="M338" i="4" s="1"/>
  <c r="J338" i="4" s="1"/>
  <c r="C338" i="4"/>
  <c r="I337" i="4"/>
  <c r="D337" i="4"/>
  <c r="M337" i="4" s="1"/>
  <c r="J337" i="4" s="1"/>
  <c r="C337" i="4"/>
  <c r="I336" i="4"/>
  <c r="D336" i="4"/>
  <c r="M336" i="4" s="1"/>
  <c r="J336" i="4" s="1"/>
  <c r="C336" i="4"/>
  <c r="I335" i="4"/>
  <c r="D335" i="4"/>
  <c r="M335" i="4" s="1"/>
  <c r="J335" i="4" s="1"/>
  <c r="C335" i="4"/>
  <c r="I334" i="4"/>
  <c r="D334" i="4"/>
  <c r="M334" i="4" s="1"/>
  <c r="J334" i="4" s="1"/>
  <c r="C334" i="4"/>
  <c r="I333" i="4"/>
  <c r="D333" i="4"/>
  <c r="M333" i="4" s="1"/>
  <c r="J333" i="4" s="1"/>
  <c r="C333" i="4"/>
  <c r="I332" i="4"/>
  <c r="D332" i="4"/>
  <c r="M332" i="4" s="1"/>
  <c r="J332" i="4" s="1"/>
  <c r="C332" i="4"/>
  <c r="I331" i="4"/>
  <c r="D331" i="4"/>
  <c r="M331" i="4" s="1"/>
  <c r="J331" i="4" s="1"/>
  <c r="C331" i="4"/>
  <c r="I330" i="4"/>
  <c r="D330" i="4"/>
  <c r="M330" i="4" s="1"/>
  <c r="J330" i="4" s="1"/>
  <c r="C330" i="4"/>
  <c r="I329" i="4"/>
  <c r="D329" i="4"/>
  <c r="M329" i="4" s="1"/>
  <c r="J329" i="4" s="1"/>
  <c r="C329" i="4"/>
  <c r="I328" i="4"/>
  <c r="D328" i="4"/>
  <c r="M328" i="4" s="1"/>
  <c r="J328" i="4" s="1"/>
  <c r="C328" i="4"/>
  <c r="D327" i="4"/>
  <c r="C327" i="4"/>
  <c r="I326" i="4"/>
  <c r="D326" i="4"/>
  <c r="M326" i="4" s="1"/>
  <c r="J326" i="4" s="1"/>
  <c r="C326" i="4"/>
  <c r="I325" i="4"/>
  <c r="D325" i="4"/>
  <c r="M325" i="4" s="1"/>
  <c r="J325" i="4" s="1"/>
  <c r="C325" i="4"/>
  <c r="I324" i="4"/>
  <c r="D324" i="4"/>
  <c r="M324" i="4" s="1"/>
  <c r="J324" i="4" s="1"/>
  <c r="C324" i="4"/>
  <c r="I323" i="4"/>
  <c r="D323" i="4"/>
  <c r="M323" i="4" s="1"/>
  <c r="J323" i="4" s="1"/>
  <c r="C323" i="4"/>
  <c r="I322" i="4"/>
  <c r="D322" i="4"/>
  <c r="M322" i="4" s="1"/>
  <c r="J322" i="4" s="1"/>
  <c r="C322" i="4"/>
  <c r="I321" i="4"/>
  <c r="D321" i="4"/>
  <c r="M321" i="4" s="1"/>
  <c r="J321" i="4" s="1"/>
  <c r="C321" i="4"/>
  <c r="I320" i="4"/>
  <c r="D320" i="4"/>
  <c r="M320" i="4" s="1"/>
  <c r="J320" i="4" s="1"/>
  <c r="C320" i="4"/>
  <c r="I319" i="4"/>
  <c r="D319" i="4"/>
  <c r="M319" i="4" s="1"/>
  <c r="J319" i="4" s="1"/>
  <c r="C319" i="4"/>
  <c r="I318" i="4"/>
  <c r="D318" i="4"/>
  <c r="M318" i="4" s="1"/>
  <c r="J318" i="4" s="1"/>
  <c r="C318" i="4"/>
  <c r="I317" i="4"/>
  <c r="D317" i="4"/>
  <c r="M317" i="4" s="1"/>
  <c r="J317" i="4" s="1"/>
  <c r="C317" i="4"/>
  <c r="I316" i="4"/>
  <c r="D316" i="4"/>
  <c r="M316" i="4" s="1"/>
  <c r="J316" i="4" s="1"/>
  <c r="C316" i="4"/>
  <c r="D315" i="4"/>
  <c r="C315" i="4"/>
  <c r="I314" i="4"/>
  <c r="D314" i="4"/>
  <c r="M314" i="4" s="1"/>
  <c r="J314" i="4" s="1"/>
  <c r="C314" i="4"/>
  <c r="I313" i="4"/>
  <c r="D313" i="4"/>
  <c r="M313" i="4" s="1"/>
  <c r="J313" i="4" s="1"/>
  <c r="C313" i="4"/>
  <c r="I312" i="4"/>
  <c r="D312" i="4"/>
  <c r="M312" i="4" s="1"/>
  <c r="J312" i="4" s="1"/>
  <c r="C312" i="4"/>
  <c r="I311" i="4"/>
  <c r="D311" i="4"/>
  <c r="M311" i="4" s="1"/>
  <c r="J311" i="4" s="1"/>
  <c r="C311" i="4"/>
  <c r="I310" i="4"/>
  <c r="D310" i="4"/>
  <c r="M310" i="4" s="1"/>
  <c r="J310" i="4" s="1"/>
  <c r="C310" i="4"/>
  <c r="I309" i="4"/>
  <c r="D309" i="4"/>
  <c r="M309" i="4" s="1"/>
  <c r="J309" i="4" s="1"/>
  <c r="C309" i="4"/>
  <c r="I308" i="4"/>
  <c r="D308" i="4"/>
  <c r="M308" i="4" s="1"/>
  <c r="J308" i="4" s="1"/>
  <c r="C308" i="4"/>
  <c r="I307" i="4"/>
  <c r="D307" i="4"/>
  <c r="M307" i="4" s="1"/>
  <c r="J307" i="4" s="1"/>
  <c r="C307" i="4"/>
  <c r="I306" i="4"/>
  <c r="D306" i="4"/>
  <c r="M306" i="4" s="1"/>
  <c r="J306" i="4" s="1"/>
  <c r="C306" i="4"/>
  <c r="I305" i="4"/>
  <c r="D305" i="4"/>
  <c r="M305" i="4" s="1"/>
  <c r="J305" i="4" s="1"/>
  <c r="C305" i="4"/>
  <c r="I304" i="4"/>
  <c r="D304" i="4"/>
  <c r="M304" i="4" s="1"/>
  <c r="J304" i="4" s="1"/>
  <c r="C304" i="4"/>
  <c r="D303" i="4"/>
  <c r="C303" i="4"/>
  <c r="I302" i="4"/>
  <c r="D302" i="4"/>
  <c r="M302" i="4" s="1"/>
  <c r="J302" i="4" s="1"/>
  <c r="C302" i="4"/>
  <c r="I301" i="4"/>
  <c r="D301" i="4"/>
  <c r="M301" i="4" s="1"/>
  <c r="J301" i="4" s="1"/>
  <c r="C301" i="4"/>
  <c r="I300" i="4"/>
  <c r="D300" i="4"/>
  <c r="M300" i="4" s="1"/>
  <c r="J300" i="4" s="1"/>
  <c r="C300" i="4"/>
  <c r="I299" i="4"/>
  <c r="D299" i="4"/>
  <c r="M299" i="4" s="1"/>
  <c r="J299" i="4" s="1"/>
  <c r="C299" i="4"/>
  <c r="I298" i="4"/>
  <c r="D298" i="4"/>
  <c r="M298" i="4" s="1"/>
  <c r="J298" i="4" s="1"/>
  <c r="C298" i="4"/>
  <c r="I297" i="4"/>
  <c r="D297" i="4"/>
  <c r="M297" i="4" s="1"/>
  <c r="J297" i="4" s="1"/>
  <c r="C297" i="4"/>
  <c r="I296" i="4"/>
  <c r="D296" i="4"/>
  <c r="M296" i="4" s="1"/>
  <c r="J296" i="4" s="1"/>
  <c r="C296" i="4"/>
  <c r="I295" i="4"/>
  <c r="D295" i="4"/>
  <c r="M295" i="4" s="1"/>
  <c r="J295" i="4" s="1"/>
  <c r="C295" i="4"/>
  <c r="I294" i="4"/>
  <c r="D294" i="4"/>
  <c r="M294" i="4" s="1"/>
  <c r="J294" i="4" s="1"/>
  <c r="C294" i="4"/>
  <c r="I293" i="4"/>
  <c r="D293" i="4"/>
  <c r="M293" i="4" s="1"/>
  <c r="J293" i="4" s="1"/>
  <c r="C293" i="4"/>
  <c r="I292" i="4"/>
  <c r="D292" i="4"/>
  <c r="M292" i="4" s="1"/>
  <c r="J292" i="4" s="1"/>
  <c r="C292" i="4"/>
  <c r="D291" i="4"/>
  <c r="C291" i="4"/>
  <c r="I290" i="4"/>
  <c r="D290" i="4"/>
  <c r="M290" i="4" s="1"/>
  <c r="C290" i="4"/>
  <c r="I289" i="4"/>
  <c r="D289" i="4"/>
  <c r="M289" i="4" s="1"/>
  <c r="C289" i="4"/>
  <c r="I288" i="4"/>
  <c r="D288" i="4"/>
  <c r="M288" i="4" s="1"/>
  <c r="C288" i="4"/>
  <c r="I287" i="4"/>
  <c r="D287" i="4"/>
  <c r="M287" i="4" s="1"/>
  <c r="C287" i="4"/>
  <c r="I286" i="4"/>
  <c r="D286" i="4"/>
  <c r="M286" i="4" s="1"/>
  <c r="C286" i="4"/>
  <c r="I285" i="4"/>
  <c r="D285" i="4"/>
  <c r="M285" i="4" s="1"/>
  <c r="C285" i="4"/>
  <c r="I284" i="4"/>
  <c r="D284" i="4"/>
  <c r="M284" i="4" s="1"/>
  <c r="C284" i="4"/>
  <c r="I283" i="4"/>
  <c r="D283" i="4"/>
  <c r="M283" i="4" s="1"/>
  <c r="C283" i="4"/>
  <c r="I282" i="4"/>
  <c r="D282" i="4"/>
  <c r="M282" i="4" s="1"/>
  <c r="C282" i="4"/>
  <c r="I281" i="4"/>
  <c r="D281" i="4"/>
  <c r="M281" i="4" s="1"/>
  <c r="C281" i="4"/>
  <c r="I280" i="4"/>
  <c r="D280" i="4"/>
  <c r="M280" i="4" s="1"/>
  <c r="C280" i="4"/>
  <c r="D279" i="4"/>
  <c r="C279" i="4"/>
  <c r="I278" i="4"/>
  <c r="D278" i="4"/>
  <c r="M278" i="4" s="1"/>
  <c r="C278" i="4"/>
  <c r="I277" i="4"/>
  <c r="D277" i="4"/>
  <c r="M277" i="4" s="1"/>
  <c r="C277" i="4"/>
  <c r="I276" i="4"/>
  <c r="D276" i="4"/>
  <c r="M276" i="4" s="1"/>
  <c r="C276" i="4"/>
  <c r="I275" i="4"/>
  <c r="D275" i="4"/>
  <c r="M275" i="4" s="1"/>
  <c r="C275" i="4"/>
  <c r="I274" i="4"/>
  <c r="D274" i="4"/>
  <c r="M274" i="4" s="1"/>
  <c r="C274" i="4"/>
  <c r="I273" i="4"/>
  <c r="D273" i="4"/>
  <c r="M273" i="4" s="1"/>
  <c r="C273" i="4"/>
  <c r="I272" i="4"/>
  <c r="D272" i="4"/>
  <c r="M272" i="4" s="1"/>
  <c r="C272" i="4"/>
  <c r="I271" i="4"/>
  <c r="D271" i="4"/>
  <c r="M271" i="4" s="1"/>
  <c r="C271" i="4"/>
  <c r="I270" i="4"/>
  <c r="D270" i="4"/>
  <c r="M270" i="4" s="1"/>
  <c r="C270" i="4"/>
  <c r="I269" i="4"/>
  <c r="D269" i="4"/>
  <c r="M269" i="4" s="1"/>
  <c r="C269" i="4"/>
  <c r="I268" i="4"/>
  <c r="D268" i="4"/>
  <c r="M268" i="4" s="1"/>
  <c r="C268" i="4"/>
  <c r="D267" i="4"/>
  <c r="C267" i="4"/>
  <c r="I266" i="4"/>
  <c r="D266" i="4"/>
  <c r="M266" i="4" s="1"/>
  <c r="C266" i="4"/>
  <c r="I265" i="4"/>
  <c r="D265" i="4"/>
  <c r="M265" i="4" s="1"/>
  <c r="C265" i="4"/>
  <c r="I264" i="4"/>
  <c r="D264" i="4"/>
  <c r="M264" i="4" s="1"/>
  <c r="C264" i="4"/>
  <c r="I263" i="4"/>
  <c r="D263" i="4"/>
  <c r="M263" i="4" s="1"/>
  <c r="C263" i="4"/>
  <c r="I262" i="4"/>
  <c r="D262" i="4"/>
  <c r="M262" i="4" s="1"/>
  <c r="C262" i="4"/>
  <c r="I261" i="4"/>
  <c r="D261" i="4"/>
  <c r="M261" i="4" s="1"/>
  <c r="C261" i="4"/>
  <c r="I260" i="4"/>
  <c r="D260" i="4"/>
  <c r="M260" i="4" s="1"/>
  <c r="C260" i="4"/>
  <c r="I259" i="4"/>
  <c r="D259" i="4"/>
  <c r="M259" i="4" s="1"/>
  <c r="C259" i="4"/>
  <c r="I258" i="4"/>
  <c r="D258" i="4"/>
  <c r="M258" i="4" s="1"/>
  <c r="C258" i="4"/>
  <c r="I257" i="4"/>
  <c r="D257" i="4"/>
  <c r="M257" i="4" s="1"/>
  <c r="C257" i="4"/>
  <c r="I256" i="4"/>
  <c r="D256" i="4"/>
  <c r="M256" i="4" s="1"/>
  <c r="C256" i="4"/>
  <c r="D255" i="4"/>
  <c r="C255" i="4"/>
  <c r="I254" i="4"/>
  <c r="D254" i="4"/>
  <c r="M254" i="4" s="1"/>
  <c r="C254" i="4"/>
  <c r="I253" i="4"/>
  <c r="D253" i="4"/>
  <c r="M253" i="4" s="1"/>
  <c r="C253" i="4"/>
  <c r="I252" i="4"/>
  <c r="D252" i="4"/>
  <c r="M252" i="4" s="1"/>
  <c r="C252" i="4"/>
  <c r="I251" i="4"/>
  <c r="D251" i="4"/>
  <c r="M251" i="4" s="1"/>
  <c r="C251" i="4"/>
  <c r="I250" i="4"/>
  <c r="D250" i="4"/>
  <c r="M250" i="4" s="1"/>
  <c r="C250" i="4"/>
  <c r="I249" i="4"/>
  <c r="D249" i="4"/>
  <c r="M249" i="4" s="1"/>
  <c r="C249" i="4"/>
  <c r="I248" i="4"/>
  <c r="D248" i="4"/>
  <c r="M248" i="4" s="1"/>
  <c r="C248" i="4"/>
  <c r="I247" i="4"/>
  <c r="D247" i="4"/>
  <c r="M247" i="4" s="1"/>
  <c r="C247" i="4"/>
  <c r="I246" i="4"/>
  <c r="D246" i="4"/>
  <c r="M246" i="4" s="1"/>
  <c r="C246" i="4"/>
  <c r="I245" i="4"/>
  <c r="D245" i="4"/>
  <c r="M245" i="4" s="1"/>
  <c r="C245" i="4"/>
  <c r="I244" i="4"/>
  <c r="D244" i="4"/>
  <c r="M244" i="4" s="1"/>
  <c r="C244" i="4"/>
  <c r="D243" i="4"/>
  <c r="C243" i="4"/>
  <c r="I242" i="4"/>
  <c r="D242" i="4"/>
  <c r="M242" i="4" s="1"/>
  <c r="C242" i="4"/>
  <c r="I241" i="4"/>
  <c r="D241" i="4"/>
  <c r="M241" i="4" s="1"/>
  <c r="C241" i="4"/>
  <c r="I240" i="4"/>
  <c r="D240" i="4"/>
  <c r="M240" i="4" s="1"/>
  <c r="C240" i="4"/>
  <c r="I239" i="4"/>
  <c r="D239" i="4"/>
  <c r="M239" i="4" s="1"/>
  <c r="C239" i="4"/>
  <c r="I238" i="4"/>
  <c r="D238" i="4"/>
  <c r="M238" i="4" s="1"/>
  <c r="C238" i="4"/>
  <c r="I237" i="4"/>
  <c r="D237" i="4"/>
  <c r="M237" i="4" s="1"/>
  <c r="C237" i="4"/>
  <c r="I236" i="4"/>
  <c r="D236" i="4"/>
  <c r="M236" i="4" s="1"/>
  <c r="C236" i="4"/>
  <c r="I235" i="4"/>
  <c r="D235" i="4"/>
  <c r="M235" i="4" s="1"/>
  <c r="C235" i="4"/>
  <c r="I234" i="4"/>
  <c r="D234" i="4"/>
  <c r="M234" i="4" s="1"/>
  <c r="C234" i="4"/>
  <c r="I233" i="4"/>
  <c r="D233" i="4"/>
  <c r="M233" i="4" s="1"/>
  <c r="C233" i="4"/>
  <c r="I232" i="4"/>
  <c r="D232" i="4"/>
  <c r="M232" i="4" s="1"/>
  <c r="C232" i="4"/>
  <c r="D231" i="4"/>
  <c r="C231" i="4"/>
  <c r="I230" i="4"/>
  <c r="D230" i="4"/>
  <c r="M230" i="4" s="1"/>
  <c r="C230" i="4"/>
  <c r="I229" i="4"/>
  <c r="D229" i="4"/>
  <c r="M229" i="4" s="1"/>
  <c r="C229" i="4"/>
  <c r="I228" i="4"/>
  <c r="D228" i="4"/>
  <c r="M228" i="4" s="1"/>
  <c r="C228" i="4"/>
  <c r="I227" i="4"/>
  <c r="D227" i="4"/>
  <c r="M227" i="4" s="1"/>
  <c r="C227" i="4"/>
  <c r="I226" i="4"/>
  <c r="D226" i="4"/>
  <c r="M226" i="4" s="1"/>
  <c r="C226" i="4"/>
  <c r="I225" i="4"/>
  <c r="D225" i="4"/>
  <c r="M225" i="4" s="1"/>
  <c r="C225" i="4"/>
  <c r="I224" i="4"/>
  <c r="D224" i="4"/>
  <c r="M224" i="4" s="1"/>
  <c r="C224" i="4"/>
  <c r="I223" i="4"/>
  <c r="D223" i="4"/>
  <c r="M223" i="4" s="1"/>
  <c r="C223" i="4"/>
  <c r="I222" i="4"/>
  <c r="D222" i="4"/>
  <c r="M222" i="4" s="1"/>
  <c r="C222" i="4"/>
  <c r="I221" i="4"/>
  <c r="D221" i="4"/>
  <c r="M221" i="4" s="1"/>
  <c r="C221" i="4"/>
  <c r="I220" i="4"/>
  <c r="D220" i="4"/>
  <c r="M220" i="4" s="1"/>
  <c r="C220" i="4"/>
  <c r="D219" i="4"/>
  <c r="C219" i="4"/>
  <c r="I218" i="4"/>
  <c r="D218" i="4"/>
  <c r="M218" i="4" s="1"/>
  <c r="C218" i="4"/>
  <c r="I217" i="4"/>
  <c r="D217" i="4"/>
  <c r="M217" i="4" s="1"/>
  <c r="C217" i="4"/>
  <c r="I216" i="4"/>
  <c r="D216" i="4"/>
  <c r="M216" i="4" s="1"/>
  <c r="C216" i="4"/>
  <c r="I215" i="4"/>
  <c r="D215" i="4"/>
  <c r="M215" i="4" s="1"/>
  <c r="C215" i="4"/>
  <c r="I214" i="4"/>
  <c r="D214" i="4"/>
  <c r="M214" i="4" s="1"/>
  <c r="C214" i="4"/>
  <c r="I213" i="4"/>
  <c r="D213" i="4"/>
  <c r="M213" i="4" s="1"/>
  <c r="C213" i="4"/>
  <c r="I212" i="4"/>
  <c r="D212" i="4"/>
  <c r="M212" i="4" s="1"/>
  <c r="C212" i="4"/>
  <c r="I211" i="4"/>
  <c r="D211" i="4"/>
  <c r="M211" i="4" s="1"/>
  <c r="C211" i="4"/>
  <c r="I210" i="4"/>
  <c r="D210" i="4"/>
  <c r="M210" i="4" s="1"/>
  <c r="C210" i="4"/>
  <c r="I209" i="4"/>
  <c r="D209" i="4"/>
  <c r="M209" i="4" s="1"/>
  <c r="C209" i="4"/>
  <c r="I208" i="4"/>
  <c r="D208" i="4"/>
  <c r="M208" i="4" s="1"/>
  <c r="C208" i="4"/>
  <c r="D207" i="4"/>
  <c r="C207" i="4"/>
  <c r="I206" i="4"/>
  <c r="D206" i="4"/>
  <c r="M206" i="4" s="1"/>
  <c r="C206" i="4"/>
  <c r="I205" i="4"/>
  <c r="D205" i="4"/>
  <c r="M205" i="4" s="1"/>
  <c r="C205" i="4"/>
  <c r="I204" i="4"/>
  <c r="D204" i="4"/>
  <c r="M204" i="4" s="1"/>
  <c r="C204" i="4"/>
  <c r="I203" i="4"/>
  <c r="D203" i="4"/>
  <c r="M203" i="4" s="1"/>
  <c r="C203" i="4"/>
  <c r="I202" i="4"/>
  <c r="D202" i="4"/>
  <c r="M202" i="4" s="1"/>
  <c r="C202" i="4"/>
  <c r="I201" i="4"/>
  <c r="D201" i="4"/>
  <c r="M201" i="4" s="1"/>
  <c r="C201" i="4"/>
  <c r="I200" i="4"/>
  <c r="D200" i="4"/>
  <c r="M200" i="4" s="1"/>
  <c r="C200" i="4"/>
  <c r="I199" i="4"/>
  <c r="D199" i="4"/>
  <c r="M199" i="4" s="1"/>
  <c r="C199" i="4"/>
  <c r="I198" i="4"/>
  <c r="D198" i="4"/>
  <c r="M198" i="4" s="1"/>
  <c r="C198" i="4"/>
  <c r="I197" i="4"/>
  <c r="D197" i="4"/>
  <c r="M197" i="4" s="1"/>
  <c r="C197" i="4"/>
  <c r="I196" i="4"/>
  <c r="D196" i="4"/>
  <c r="M196" i="4" s="1"/>
  <c r="C196" i="4"/>
  <c r="D195" i="4"/>
  <c r="C195" i="4"/>
  <c r="I194" i="4"/>
  <c r="D194" i="4"/>
  <c r="M194" i="4" s="1"/>
  <c r="C194" i="4"/>
  <c r="I193" i="4"/>
  <c r="D193" i="4"/>
  <c r="M193" i="4" s="1"/>
  <c r="C193" i="4"/>
  <c r="I192" i="4"/>
  <c r="D192" i="4"/>
  <c r="M192" i="4" s="1"/>
  <c r="C192" i="4"/>
  <c r="I191" i="4"/>
  <c r="D191" i="4"/>
  <c r="M191" i="4" s="1"/>
  <c r="C191" i="4"/>
  <c r="I190" i="4"/>
  <c r="D190" i="4"/>
  <c r="M190" i="4" s="1"/>
  <c r="C190" i="4"/>
  <c r="I189" i="4"/>
  <c r="D189" i="4"/>
  <c r="M189" i="4" s="1"/>
  <c r="C189" i="4"/>
  <c r="I188" i="4"/>
  <c r="D188" i="4"/>
  <c r="M188" i="4" s="1"/>
  <c r="C188" i="4"/>
  <c r="I187" i="4"/>
  <c r="D187" i="4"/>
  <c r="M187" i="4" s="1"/>
  <c r="C187" i="4"/>
  <c r="I186" i="4"/>
  <c r="D186" i="4"/>
  <c r="M186" i="4" s="1"/>
  <c r="C186" i="4"/>
  <c r="I185" i="4"/>
  <c r="D185" i="4"/>
  <c r="M185" i="4" s="1"/>
  <c r="C185" i="4"/>
  <c r="I184" i="4"/>
  <c r="D184" i="4"/>
  <c r="M184" i="4" s="1"/>
  <c r="C184" i="4"/>
  <c r="D183" i="4"/>
  <c r="C183" i="4"/>
  <c r="I182" i="4"/>
  <c r="D182" i="4"/>
  <c r="M182" i="4" s="1"/>
  <c r="C182" i="4"/>
  <c r="I181" i="4"/>
  <c r="D181" i="4"/>
  <c r="M181" i="4" s="1"/>
  <c r="C181" i="4"/>
  <c r="I180" i="4"/>
  <c r="D180" i="4"/>
  <c r="M180" i="4" s="1"/>
  <c r="C180" i="4"/>
  <c r="I179" i="4"/>
  <c r="D179" i="4"/>
  <c r="M179" i="4" s="1"/>
  <c r="C179" i="4"/>
  <c r="I178" i="4"/>
  <c r="D178" i="4"/>
  <c r="M178" i="4" s="1"/>
  <c r="C178" i="4"/>
  <c r="I177" i="4"/>
  <c r="D177" i="4"/>
  <c r="M177" i="4" s="1"/>
  <c r="C177" i="4"/>
  <c r="I176" i="4"/>
  <c r="D176" i="4"/>
  <c r="M176" i="4" s="1"/>
  <c r="C176" i="4"/>
  <c r="I175" i="4"/>
  <c r="D175" i="4"/>
  <c r="M175" i="4" s="1"/>
  <c r="C175" i="4"/>
  <c r="I174" i="4"/>
  <c r="D174" i="4"/>
  <c r="M174" i="4" s="1"/>
  <c r="C174" i="4"/>
  <c r="I173" i="4"/>
  <c r="D173" i="4"/>
  <c r="M173" i="4" s="1"/>
  <c r="C173" i="4"/>
  <c r="I172" i="4"/>
  <c r="D172" i="4"/>
  <c r="M172" i="4" s="1"/>
  <c r="C172" i="4"/>
  <c r="D171" i="4"/>
  <c r="C171" i="4"/>
  <c r="I170" i="4"/>
  <c r="D170" i="4"/>
  <c r="M170" i="4" s="1"/>
  <c r="C170" i="4"/>
  <c r="I169" i="4"/>
  <c r="D169" i="4"/>
  <c r="M169" i="4" s="1"/>
  <c r="C169" i="4"/>
  <c r="I168" i="4"/>
  <c r="D168" i="4"/>
  <c r="M168" i="4" s="1"/>
  <c r="C168" i="4"/>
  <c r="I167" i="4"/>
  <c r="D167" i="4"/>
  <c r="M167" i="4" s="1"/>
  <c r="C167" i="4"/>
  <c r="I166" i="4"/>
  <c r="D166" i="4"/>
  <c r="M166" i="4" s="1"/>
  <c r="C166" i="4"/>
  <c r="I165" i="4"/>
  <c r="D165" i="4"/>
  <c r="M165" i="4" s="1"/>
  <c r="C165" i="4"/>
  <c r="I164" i="4"/>
  <c r="D164" i="4"/>
  <c r="M164" i="4" s="1"/>
  <c r="C164" i="4"/>
  <c r="I163" i="4"/>
  <c r="D163" i="4"/>
  <c r="M163" i="4" s="1"/>
  <c r="C163" i="4"/>
  <c r="I162" i="4"/>
  <c r="D162" i="4"/>
  <c r="M162" i="4" s="1"/>
  <c r="C162" i="4"/>
  <c r="I161" i="4"/>
  <c r="D161" i="4"/>
  <c r="M161" i="4" s="1"/>
  <c r="C161" i="4"/>
  <c r="I160" i="4"/>
  <c r="D160" i="4"/>
  <c r="M160" i="4" s="1"/>
  <c r="C160" i="4"/>
  <c r="D159" i="4"/>
  <c r="C159" i="4"/>
  <c r="I158" i="4"/>
  <c r="D158" i="4"/>
  <c r="M158" i="4" s="1"/>
  <c r="C158" i="4"/>
  <c r="I157" i="4"/>
  <c r="D157" i="4"/>
  <c r="M157" i="4" s="1"/>
  <c r="C157" i="4"/>
  <c r="I156" i="4"/>
  <c r="D156" i="4"/>
  <c r="M156" i="4" s="1"/>
  <c r="C156" i="4"/>
  <c r="I155" i="4"/>
  <c r="D155" i="4"/>
  <c r="M155" i="4" s="1"/>
  <c r="C155" i="4"/>
  <c r="I154" i="4"/>
  <c r="D154" i="4"/>
  <c r="M154" i="4" s="1"/>
  <c r="C154" i="4"/>
  <c r="I153" i="4"/>
  <c r="D153" i="4"/>
  <c r="M153" i="4" s="1"/>
  <c r="C153" i="4"/>
  <c r="I152" i="4"/>
  <c r="D152" i="4"/>
  <c r="M152" i="4" s="1"/>
  <c r="C152" i="4"/>
  <c r="I151" i="4"/>
  <c r="D151" i="4"/>
  <c r="M151" i="4" s="1"/>
  <c r="C151" i="4"/>
  <c r="I150" i="4"/>
  <c r="D150" i="4"/>
  <c r="M150" i="4" s="1"/>
  <c r="C150" i="4"/>
  <c r="I149" i="4"/>
  <c r="D149" i="4"/>
  <c r="M149" i="4" s="1"/>
  <c r="C149" i="4"/>
  <c r="I148" i="4"/>
  <c r="D148" i="4"/>
  <c r="M148" i="4" s="1"/>
  <c r="C148" i="4"/>
  <c r="D147" i="4"/>
  <c r="C147" i="4"/>
  <c r="I146" i="4"/>
  <c r="D146" i="4"/>
  <c r="M146" i="4" s="1"/>
  <c r="C146" i="4"/>
  <c r="I145" i="4"/>
  <c r="D145" i="4"/>
  <c r="M145" i="4" s="1"/>
  <c r="C145" i="4"/>
  <c r="I144" i="4"/>
  <c r="D144" i="4"/>
  <c r="M144" i="4" s="1"/>
  <c r="C144" i="4"/>
  <c r="I143" i="4"/>
  <c r="D143" i="4"/>
  <c r="M143" i="4" s="1"/>
  <c r="C143" i="4"/>
  <c r="I142" i="4"/>
  <c r="D142" i="4"/>
  <c r="M142" i="4" s="1"/>
  <c r="C142" i="4"/>
  <c r="I141" i="4"/>
  <c r="D141" i="4"/>
  <c r="M141" i="4" s="1"/>
  <c r="C141" i="4"/>
  <c r="I140" i="4"/>
  <c r="D140" i="4"/>
  <c r="M140" i="4" s="1"/>
  <c r="C140" i="4"/>
  <c r="I139" i="4"/>
  <c r="D139" i="4"/>
  <c r="M139" i="4" s="1"/>
  <c r="C139" i="4"/>
  <c r="I138" i="4"/>
  <c r="D138" i="4"/>
  <c r="M138" i="4" s="1"/>
  <c r="C138" i="4"/>
  <c r="I137" i="4"/>
  <c r="D137" i="4"/>
  <c r="M137" i="4" s="1"/>
  <c r="C137" i="4"/>
  <c r="I136" i="4"/>
  <c r="D136" i="4"/>
  <c r="M136" i="4" s="1"/>
  <c r="C136" i="4"/>
  <c r="D135" i="4"/>
  <c r="C135" i="4"/>
  <c r="I134" i="4"/>
  <c r="D134" i="4"/>
  <c r="M134" i="4" s="1"/>
  <c r="C134" i="4"/>
  <c r="I133" i="4"/>
  <c r="D133" i="4"/>
  <c r="M133" i="4" s="1"/>
  <c r="C133" i="4"/>
  <c r="I132" i="4"/>
  <c r="D132" i="4"/>
  <c r="M132" i="4" s="1"/>
  <c r="C132" i="4"/>
  <c r="I131" i="4"/>
  <c r="D131" i="4"/>
  <c r="M131" i="4" s="1"/>
  <c r="C131" i="4"/>
  <c r="I130" i="4"/>
  <c r="D130" i="4"/>
  <c r="M130" i="4" s="1"/>
  <c r="C130" i="4"/>
  <c r="I129" i="4"/>
  <c r="D129" i="4"/>
  <c r="M129" i="4" s="1"/>
  <c r="C129" i="4"/>
  <c r="I128" i="4"/>
  <c r="D128" i="4"/>
  <c r="M128" i="4" s="1"/>
  <c r="C128" i="4"/>
  <c r="I127" i="4"/>
  <c r="D127" i="4"/>
  <c r="M127" i="4" s="1"/>
  <c r="C127" i="4"/>
  <c r="I126" i="4"/>
  <c r="D126" i="4"/>
  <c r="M126" i="4" s="1"/>
  <c r="C126" i="4"/>
  <c r="I125" i="4"/>
  <c r="D125" i="4"/>
  <c r="M125" i="4" s="1"/>
  <c r="C125" i="4"/>
  <c r="I124" i="4"/>
  <c r="D124" i="4"/>
  <c r="M124" i="4" s="1"/>
  <c r="C124" i="4"/>
  <c r="D123" i="4"/>
  <c r="C123" i="4"/>
  <c r="I122" i="4"/>
  <c r="D122" i="4"/>
  <c r="M122" i="4" s="1"/>
  <c r="C122" i="4"/>
  <c r="I121" i="4"/>
  <c r="D121" i="4"/>
  <c r="M121" i="4" s="1"/>
  <c r="C121" i="4"/>
  <c r="I120" i="4"/>
  <c r="D120" i="4"/>
  <c r="M120" i="4" s="1"/>
  <c r="C120" i="4"/>
  <c r="I119" i="4"/>
  <c r="D119" i="4"/>
  <c r="M119" i="4" s="1"/>
  <c r="C119" i="4"/>
  <c r="I118" i="4"/>
  <c r="D118" i="4"/>
  <c r="M118" i="4" s="1"/>
  <c r="C118" i="4"/>
  <c r="I117" i="4"/>
  <c r="D117" i="4"/>
  <c r="M117" i="4" s="1"/>
  <c r="C117" i="4"/>
  <c r="I116" i="4"/>
  <c r="D116" i="4"/>
  <c r="M116" i="4" s="1"/>
  <c r="C116" i="4"/>
  <c r="I115" i="4"/>
  <c r="D115" i="4"/>
  <c r="M115" i="4" s="1"/>
  <c r="C115" i="4"/>
  <c r="I114" i="4"/>
  <c r="D114" i="4"/>
  <c r="M114" i="4" s="1"/>
  <c r="C114" i="4"/>
  <c r="I113" i="4"/>
  <c r="D113" i="4"/>
  <c r="M113" i="4" s="1"/>
  <c r="C113" i="4"/>
  <c r="I112" i="4"/>
  <c r="D112" i="4"/>
  <c r="M112" i="4" s="1"/>
  <c r="C112" i="4"/>
  <c r="D111" i="4"/>
  <c r="C111" i="4"/>
  <c r="I110" i="4"/>
  <c r="D110" i="4"/>
  <c r="M110" i="4" s="1"/>
  <c r="C110" i="4"/>
  <c r="I109" i="4"/>
  <c r="D109" i="4"/>
  <c r="M109" i="4" s="1"/>
  <c r="C109" i="4"/>
  <c r="I108" i="4"/>
  <c r="D108" i="4"/>
  <c r="M108" i="4" s="1"/>
  <c r="C108" i="4"/>
  <c r="I107" i="4"/>
  <c r="D107" i="4"/>
  <c r="M107" i="4" s="1"/>
  <c r="C107" i="4"/>
  <c r="I106" i="4"/>
  <c r="D106" i="4"/>
  <c r="M106" i="4" s="1"/>
  <c r="C106" i="4"/>
  <c r="I105" i="4"/>
  <c r="D105" i="4"/>
  <c r="M105" i="4" s="1"/>
  <c r="C105" i="4"/>
  <c r="I104" i="4"/>
  <c r="D104" i="4"/>
  <c r="M104" i="4" s="1"/>
  <c r="C104" i="4"/>
  <c r="I103" i="4"/>
  <c r="D103" i="4"/>
  <c r="M103" i="4" s="1"/>
  <c r="C103" i="4"/>
  <c r="I102" i="4"/>
  <c r="D102" i="4"/>
  <c r="M102" i="4" s="1"/>
  <c r="C102" i="4"/>
  <c r="I101" i="4"/>
  <c r="D101" i="4"/>
  <c r="M101" i="4" s="1"/>
  <c r="C101" i="4"/>
  <c r="I100" i="4"/>
  <c r="D100" i="4"/>
  <c r="M100" i="4" s="1"/>
  <c r="C100" i="4"/>
  <c r="D99" i="4"/>
  <c r="C99" i="4"/>
  <c r="I98" i="4"/>
  <c r="D98" i="4"/>
  <c r="M98" i="4" s="1"/>
  <c r="C98" i="4"/>
  <c r="I97" i="4"/>
  <c r="D97" i="4"/>
  <c r="M97" i="4" s="1"/>
  <c r="C97" i="4"/>
  <c r="I96" i="4"/>
  <c r="D96" i="4"/>
  <c r="M96" i="4" s="1"/>
  <c r="C96" i="4"/>
  <c r="I95" i="4"/>
  <c r="D95" i="4"/>
  <c r="M95" i="4" s="1"/>
  <c r="C95" i="4"/>
  <c r="I94" i="4"/>
  <c r="D94" i="4"/>
  <c r="M94" i="4" s="1"/>
  <c r="C94" i="4"/>
  <c r="I93" i="4"/>
  <c r="D93" i="4"/>
  <c r="M93" i="4" s="1"/>
  <c r="C93" i="4"/>
  <c r="I92" i="4"/>
  <c r="D92" i="4"/>
  <c r="M92" i="4" s="1"/>
  <c r="C92" i="4"/>
  <c r="I91" i="4"/>
  <c r="D91" i="4"/>
  <c r="M91" i="4" s="1"/>
  <c r="C91" i="4"/>
  <c r="I90" i="4"/>
  <c r="D90" i="4"/>
  <c r="M90" i="4" s="1"/>
  <c r="C90" i="4"/>
  <c r="I89" i="4"/>
  <c r="D89" i="4"/>
  <c r="M89" i="4" s="1"/>
  <c r="C89" i="4"/>
  <c r="I88" i="4"/>
  <c r="D88" i="4"/>
  <c r="M88" i="4" s="1"/>
  <c r="C88" i="4"/>
  <c r="D87" i="4"/>
  <c r="C87" i="4"/>
  <c r="I86" i="4"/>
  <c r="D86" i="4"/>
  <c r="M86" i="4" s="1"/>
  <c r="C86" i="4"/>
  <c r="I85" i="4"/>
  <c r="D85" i="4"/>
  <c r="M85" i="4" s="1"/>
  <c r="C85" i="4"/>
  <c r="I84" i="4"/>
  <c r="D84" i="4"/>
  <c r="M84" i="4" s="1"/>
  <c r="C84" i="4"/>
  <c r="I83" i="4"/>
  <c r="D83" i="4"/>
  <c r="M83" i="4" s="1"/>
  <c r="C83" i="4"/>
  <c r="I82" i="4"/>
  <c r="D82" i="4"/>
  <c r="M82" i="4" s="1"/>
  <c r="C82" i="4"/>
  <c r="I81" i="4"/>
  <c r="D81" i="4"/>
  <c r="M81" i="4" s="1"/>
  <c r="C81" i="4"/>
  <c r="I80" i="4"/>
  <c r="D80" i="4"/>
  <c r="M80" i="4" s="1"/>
  <c r="C80" i="4"/>
  <c r="I79" i="4"/>
  <c r="D79" i="4"/>
  <c r="M79" i="4" s="1"/>
  <c r="C79" i="4"/>
  <c r="I78" i="4"/>
  <c r="D78" i="4"/>
  <c r="M78" i="4" s="1"/>
  <c r="C78" i="4"/>
  <c r="I77" i="4"/>
  <c r="D77" i="4"/>
  <c r="M77" i="4" s="1"/>
  <c r="C77" i="4"/>
  <c r="I76" i="4"/>
  <c r="D76" i="4"/>
  <c r="M76" i="4" s="1"/>
  <c r="C76" i="4"/>
  <c r="D75" i="4"/>
  <c r="C75" i="4"/>
  <c r="I74" i="4"/>
  <c r="D74" i="4"/>
  <c r="M74" i="4" s="1"/>
  <c r="C74" i="4"/>
  <c r="I73" i="4"/>
  <c r="D73" i="4"/>
  <c r="M73" i="4" s="1"/>
  <c r="C73" i="4"/>
  <c r="I72" i="4"/>
  <c r="D72" i="4"/>
  <c r="M72" i="4" s="1"/>
  <c r="C72" i="4"/>
  <c r="I71" i="4"/>
  <c r="D71" i="4"/>
  <c r="M71" i="4" s="1"/>
  <c r="C71" i="4"/>
  <c r="I70" i="4"/>
  <c r="D70" i="4"/>
  <c r="M70" i="4" s="1"/>
  <c r="C70" i="4"/>
  <c r="I69" i="4"/>
  <c r="D69" i="4"/>
  <c r="M69" i="4" s="1"/>
  <c r="C69" i="4"/>
  <c r="I68" i="4"/>
  <c r="D68" i="4"/>
  <c r="M68" i="4" s="1"/>
  <c r="C68" i="4"/>
  <c r="I67" i="4"/>
  <c r="D67" i="4"/>
  <c r="M67" i="4" s="1"/>
  <c r="C67" i="4"/>
  <c r="I66" i="4"/>
  <c r="D66" i="4"/>
  <c r="M66" i="4" s="1"/>
  <c r="C66" i="4"/>
  <c r="I65" i="4"/>
  <c r="D65" i="4"/>
  <c r="M65" i="4" s="1"/>
  <c r="C65" i="4"/>
  <c r="I64" i="4"/>
  <c r="D64" i="4"/>
  <c r="M64" i="4" s="1"/>
  <c r="C64" i="4"/>
  <c r="D63" i="4"/>
  <c r="C63" i="4"/>
  <c r="I62" i="4"/>
  <c r="D62" i="4"/>
  <c r="M62" i="4" s="1"/>
  <c r="C62" i="4"/>
  <c r="I61" i="4"/>
  <c r="D61" i="4"/>
  <c r="M61" i="4" s="1"/>
  <c r="C61" i="4"/>
  <c r="I60" i="4"/>
  <c r="D60" i="4"/>
  <c r="M60" i="4" s="1"/>
  <c r="C60" i="4"/>
  <c r="I59" i="4"/>
  <c r="D59" i="4"/>
  <c r="M59" i="4" s="1"/>
  <c r="C59" i="4"/>
  <c r="I58" i="4"/>
  <c r="D58" i="4"/>
  <c r="M58" i="4" s="1"/>
  <c r="C58" i="4"/>
  <c r="I57" i="4"/>
  <c r="D57" i="4"/>
  <c r="M57" i="4" s="1"/>
  <c r="C57" i="4"/>
  <c r="I56" i="4"/>
  <c r="D56" i="4"/>
  <c r="M56" i="4" s="1"/>
  <c r="C56" i="4"/>
  <c r="I55" i="4"/>
  <c r="D55" i="4"/>
  <c r="M55" i="4" s="1"/>
  <c r="C55" i="4"/>
  <c r="I54" i="4"/>
  <c r="D54" i="4"/>
  <c r="M54" i="4" s="1"/>
  <c r="C54" i="4"/>
  <c r="I53" i="4"/>
  <c r="D53" i="4"/>
  <c r="M53" i="4" s="1"/>
  <c r="C53" i="4"/>
  <c r="I52" i="4"/>
  <c r="D52" i="4"/>
  <c r="M52" i="4" s="1"/>
  <c r="C52" i="4"/>
  <c r="D51" i="4"/>
  <c r="C51" i="4"/>
  <c r="I50" i="4"/>
  <c r="D50" i="4"/>
  <c r="M50" i="4" s="1"/>
  <c r="C50" i="4"/>
  <c r="I49" i="4"/>
  <c r="D49" i="4"/>
  <c r="M49" i="4" s="1"/>
  <c r="C49" i="4"/>
  <c r="I48" i="4"/>
  <c r="D48" i="4"/>
  <c r="M48" i="4" s="1"/>
  <c r="C48" i="4"/>
  <c r="I47" i="4"/>
  <c r="D47" i="4"/>
  <c r="M47" i="4" s="1"/>
  <c r="C47" i="4"/>
  <c r="I46" i="4"/>
  <c r="D46" i="4"/>
  <c r="M46" i="4" s="1"/>
  <c r="C46" i="4"/>
  <c r="I45" i="4"/>
  <c r="D45" i="4"/>
  <c r="M45" i="4" s="1"/>
  <c r="C45" i="4"/>
  <c r="I44" i="4"/>
  <c r="D44" i="4"/>
  <c r="M44" i="4" s="1"/>
  <c r="C44" i="4"/>
  <c r="I43" i="4"/>
  <c r="D43" i="4"/>
  <c r="M43" i="4" s="1"/>
  <c r="C43" i="4"/>
  <c r="I42" i="4"/>
  <c r="D42" i="4"/>
  <c r="M42" i="4" s="1"/>
  <c r="C42" i="4"/>
  <c r="I41" i="4"/>
  <c r="D41" i="4"/>
  <c r="M41" i="4" s="1"/>
  <c r="C41" i="4"/>
  <c r="I40" i="4"/>
  <c r="D40" i="4"/>
  <c r="M40" i="4" s="1"/>
  <c r="C40" i="4"/>
  <c r="D39" i="4"/>
  <c r="C39" i="4"/>
  <c r="I38" i="4"/>
  <c r="D38" i="4"/>
  <c r="M38" i="4" s="1"/>
  <c r="C38" i="4"/>
  <c r="I37" i="4"/>
  <c r="D37" i="4"/>
  <c r="M37" i="4" s="1"/>
  <c r="C37" i="4"/>
  <c r="I36" i="4"/>
  <c r="D36" i="4"/>
  <c r="M36" i="4" s="1"/>
  <c r="C36" i="4"/>
  <c r="I35" i="4"/>
  <c r="D35" i="4"/>
  <c r="M35" i="4" s="1"/>
  <c r="C35" i="4"/>
  <c r="I34" i="4"/>
  <c r="D34" i="4"/>
  <c r="M34" i="4" s="1"/>
  <c r="C34" i="4"/>
  <c r="I33" i="4"/>
  <c r="D33" i="4"/>
  <c r="M33" i="4" s="1"/>
  <c r="C33" i="4"/>
  <c r="I32" i="4"/>
  <c r="D32" i="4"/>
  <c r="M32" i="4" s="1"/>
  <c r="C32" i="4"/>
  <c r="I31" i="4"/>
  <c r="D31" i="4"/>
  <c r="M31" i="4" s="1"/>
  <c r="C31" i="4"/>
  <c r="I30" i="4"/>
  <c r="D30" i="4"/>
  <c r="M30" i="4" s="1"/>
  <c r="C30" i="4"/>
  <c r="I29" i="4"/>
  <c r="D29" i="4"/>
  <c r="M29" i="4" s="1"/>
  <c r="C29" i="4"/>
  <c r="I28" i="4"/>
  <c r="D28" i="4"/>
  <c r="M28" i="4" s="1"/>
  <c r="C28" i="4"/>
  <c r="D27" i="4"/>
  <c r="C27" i="4"/>
  <c r="I26" i="4"/>
  <c r="D26" i="4"/>
  <c r="M26" i="4" s="1"/>
  <c r="C26" i="4"/>
  <c r="I25" i="4"/>
  <c r="D25" i="4"/>
  <c r="M25" i="4" s="1"/>
  <c r="C25" i="4"/>
  <c r="I24" i="4"/>
  <c r="D24" i="4"/>
  <c r="M24" i="4" s="1"/>
  <c r="C24" i="4"/>
  <c r="I23" i="4"/>
  <c r="D23" i="4"/>
  <c r="M23" i="4" s="1"/>
  <c r="C23" i="4"/>
  <c r="I22" i="4"/>
  <c r="D22" i="4"/>
  <c r="M22" i="4" s="1"/>
  <c r="C22" i="4"/>
  <c r="I21" i="4"/>
  <c r="D21" i="4"/>
  <c r="M21" i="4" s="1"/>
  <c r="C21" i="4"/>
  <c r="I20" i="4"/>
  <c r="D20" i="4"/>
  <c r="M20" i="4" s="1"/>
  <c r="C20" i="4"/>
  <c r="I19" i="4"/>
  <c r="D19" i="4"/>
  <c r="M19" i="4" s="1"/>
  <c r="C19" i="4"/>
  <c r="I18" i="4"/>
  <c r="D18" i="4"/>
  <c r="M18" i="4" s="1"/>
  <c r="C18" i="4"/>
  <c r="I17" i="4"/>
  <c r="D17" i="4"/>
  <c r="M17" i="4" s="1"/>
  <c r="C17" i="4"/>
  <c r="I16" i="4"/>
  <c r="D16" i="4"/>
  <c r="M16" i="4" s="1"/>
  <c r="C16" i="4"/>
  <c r="D15" i="4"/>
  <c r="C15" i="4"/>
  <c r="I14" i="4"/>
  <c r="D14" i="4"/>
  <c r="M14" i="4" s="1"/>
  <c r="C14" i="4"/>
  <c r="I13" i="4"/>
  <c r="D13" i="4"/>
  <c r="M13" i="4" s="1"/>
  <c r="C13" i="4"/>
  <c r="I12" i="4"/>
  <c r="D12" i="4"/>
  <c r="M12" i="4" s="1"/>
  <c r="C12" i="4"/>
  <c r="I11" i="4"/>
  <c r="D11" i="4"/>
  <c r="M11" i="4" s="1"/>
  <c r="C11" i="4"/>
  <c r="I10" i="4"/>
  <c r="D10" i="4"/>
  <c r="M10" i="4" s="1"/>
  <c r="C10" i="4"/>
  <c r="I9" i="4"/>
  <c r="D9" i="4"/>
  <c r="M9" i="4" s="1"/>
  <c r="C9" i="4"/>
  <c r="I8" i="4"/>
  <c r="D8" i="4"/>
  <c r="M8" i="4" s="1"/>
  <c r="C8" i="4"/>
  <c r="I7" i="4"/>
  <c r="D7" i="4"/>
  <c r="M7" i="4" s="1"/>
  <c r="C7" i="4"/>
  <c r="I6" i="4"/>
  <c r="D6" i="4"/>
  <c r="M6" i="4" s="1"/>
  <c r="C6" i="4"/>
  <c r="I5" i="4"/>
  <c r="D5" i="4"/>
  <c r="M5" i="4" s="1"/>
  <c r="C5" i="4"/>
  <c r="I4" i="4"/>
  <c r="D4" i="4"/>
  <c r="M4" i="4" s="1"/>
  <c r="C4" i="4"/>
  <c r="R54" i="3"/>
  <c r="S54" i="3" s="1"/>
  <c r="N54" i="3"/>
  <c r="E54" i="3"/>
  <c r="D54" i="3"/>
  <c r="C54" i="3"/>
  <c r="A54" i="3"/>
  <c r="R53" i="3"/>
  <c r="S53" i="3" s="1"/>
  <c r="N53" i="3"/>
  <c r="E53" i="3"/>
  <c r="D53" i="3"/>
  <c r="C53" i="3"/>
  <c r="A53" i="3"/>
  <c r="R52" i="3"/>
  <c r="S52" i="3" s="1"/>
  <c r="N52" i="3"/>
  <c r="E52" i="3"/>
  <c r="D52" i="3"/>
  <c r="C52" i="3"/>
  <c r="A52" i="3"/>
  <c r="R51" i="3"/>
  <c r="S51" i="3" s="1"/>
  <c r="N51" i="3"/>
  <c r="E51" i="3"/>
  <c r="D51" i="3"/>
  <c r="C51" i="3"/>
  <c r="A51" i="3"/>
  <c r="R50" i="3"/>
  <c r="S50" i="3" s="1"/>
  <c r="N50" i="3"/>
  <c r="E50" i="3"/>
  <c r="D50" i="3"/>
  <c r="C50" i="3"/>
  <c r="A50" i="3"/>
  <c r="R49" i="3"/>
  <c r="S49" i="3" s="1"/>
  <c r="N49" i="3"/>
  <c r="E49" i="3"/>
  <c r="D49" i="3"/>
  <c r="C49" i="3"/>
  <c r="A49" i="3"/>
  <c r="R48" i="3"/>
  <c r="S48" i="3" s="1"/>
  <c r="N48" i="3"/>
  <c r="E48" i="3"/>
  <c r="D48" i="3"/>
  <c r="C48" i="3"/>
  <c r="A48" i="3"/>
  <c r="R47" i="3"/>
  <c r="S47" i="3" s="1"/>
  <c r="N47" i="3"/>
  <c r="E47" i="3"/>
  <c r="D47" i="3"/>
  <c r="C47" i="3"/>
  <c r="A47" i="3"/>
  <c r="R46" i="3"/>
  <c r="S46" i="3" s="1"/>
  <c r="N46" i="3"/>
  <c r="E46" i="3"/>
  <c r="D46" i="3"/>
  <c r="C46" i="3"/>
  <c r="A46" i="3"/>
  <c r="R45" i="3"/>
  <c r="S45" i="3" s="1"/>
  <c r="N45" i="3"/>
  <c r="E45" i="3"/>
  <c r="D45" i="3"/>
  <c r="C45" i="3"/>
  <c r="A45" i="3"/>
  <c r="R44" i="3"/>
  <c r="S44" i="3" s="1"/>
  <c r="N44" i="3"/>
  <c r="E44" i="3"/>
  <c r="D44" i="3"/>
  <c r="C44" i="3"/>
  <c r="A44" i="3"/>
  <c r="R43" i="3"/>
  <c r="S43" i="3" s="1"/>
  <c r="N43" i="3"/>
  <c r="E43" i="3"/>
  <c r="D43" i="3"/>
  <c r="C43" i="3"/>
  <c r="A43" i="3"/>
  <c r="N42" i="3"/>
  <c r="E42" i="3"/>
  <c r="D42" i="3"/>
  <c r="C42" i="3"/>
  <c r="A42" i="3"/>
  <c r="N41" i="3"/>
  <c r="E41" i="3"/>
  <c r="D41" i="3"/>
  <c r="C41" i="3"/>
  <c r="A41" i="3"/>
  <c r="N40" i="3"/>
  <c r="E40" i="3"/>
  <c r="D40" i="3"/>
  <c r="C40" i="3"/>
  <c r="A40" i="3"/>
  <c r="N39" i="3"/>
  <c r="E39" i="3"/>
  <c r="D39" i="3"/>
  <c r="C39" i="3"/>
  <c r="A39" i="3"/>
  <c r="N38" i="3"/>
  <c r="E38" i="3"/>
  <c r="D38" i="3"/>
  <c r="C38" i="3"/>
  <c r="A38" i="3"/>
  <c r="N37" i="3"/>
  <c r="E37" i="3"/>
  <c r="D37" i="3"/>
  <c r="C37" i="3"/>
  <c r="A37" i="3"/>
  <c r="N36" i="3"/>
  <c r="E36" i="3"/>
  <c r="D36" i="3"/>
  <c r="C36" i="3"/>
  <c r="A36" i="3"/>
  <c r="N35" i="3"/>
  <c r="E35" i="3"/>
  <c r="D35" i="3"/>
  <c r="C35" i="3"/>
  <c r="A35" i="3"/>
  <c r="N34" i="3"/>
  <c r="E34" i="3"/>
  <c r="D34" i="3"/>
  <c r="C34" i="3"/>
  <c r="A34" i="3"/>
  <c r="N33" i="3"/>
  <c r="E33" i="3"/>
  <c r="D33" i="3"/>
  <c r="C33" i="3"/>
  <c r="A33" i="3"/>
  <c r="N32" i="3"/>
  <c r="E32" i="3"/>
  <c r="D32" i="3"/>
  <c r="C32" i="3"/>
  <c r="A32" i="3"/>
  <c r="N31" i="3"/>
  <c r="E31" i="3"/>
  <c r="D31" i="3"/>
  <c r="C31" i="3"/>
  <c r="A31" i="3"/>
  <c r="R30" i="3"/>
  <c r="S30" i="3" s="1"/>
  <c r="E30" i="3"/>
  <c r="D30" i="3"/>
  <c r="C30" i="3"/>
  <c r="A30" i="3"/>
  <c r="R29" i="3"/>
  <c r="S29" i="3" s="1"/>
  <c r="E29" i="3"/>
  <c r="D29" i="3"/>
  <c r="C29" i="3"/>
  <c r="A29" i="3"/>
  <c r="R28" i="3"/>
  <c r="S28" i="3" s="1"/>
  <c r="E28" i="3"/>
  <c r="D28" i="3"/>
  <c r="C28" i="3"/>
  <c r="A28" i="3"/>
  <c r="R27" i="3"/>
  <c r="S27" i="3" s="1"/>
  <c r="E27" i="3"/>
  <c r="D27" i="3"/>
  <c r="C27" i="3"/>
  <c r="A27" i="3"/>
  <c r="R26" i="3"/>
  <c r="S26" i="3" s="1"/>
  <c r="E26" i="3"/>
  <c r="D26" i="3"/>
  <c r="C26" i="3"/>
  <c r="A26" i="3"/>
  <c r="R25" i="3"/>
  <c r="S25" i="3" s="1"/>
  <c r="E25" i="3"/>
  <c r="D25" i="3"/>
  <c r="C25" i="3"/>
  <c r="A25" i="3"/>
  <c r="R24" i="3"/>
  <c r="S24" i="3" s="1"/>
  <c r="E24" i="3"/>
  <c r="D24" i="3"/>
  <c r="C24" i="3"/>
  <c r="A24" i="3"/>
  <c r="R23" i="3"/>
  <c r="S23" i="3" s="1"/>
  <c r="E23" i="3"/>
  <c r="D23" i="3"/>
  <c r="C23" i="3"/>
  <c r="A23" i="3"/>
  <c r="R22" i="3"/>
  <c r="S22" i="3" s="1"/>
  <c r="E22" i="3"/>
  <c r="D22" i="3"/>
  <c r="C22" i="3"/>
  <c r="A22" i="3"/>
  <c r="R21" i="3"/>
  <c r="S21" i="3" s="1"/>
  <c r="E21" i="3"/>
  <c r="D21" i="3"/>
  <c r="C21" i="3"/>
  <c r="A21" i="3"/>
  <c r="R20" i="3"/>
  <c r="S20" i="3" s="1"/>
  <c r="E20" i="3"/>
  <c r="D20" i="3"/>
  <c r="C20" i="3"/>
  <c r="A20" i="3"/>
  <c r="R19" i="3"/>
  <c r="S19" i="3" s="1"/>
  <c r="E19" i="3"/>
  <c r="D19" i="3"/>
  <c r="C19" i="3"/>
  <c r="A19" i="3"/>
  <c r="R18" i="3"/>
  <c r="S18" i="3" s="1"/>
  <c r="N18" i="3"/>
  <c r="D18" i="3"/>
  <c r="C18" i="3"/>
  <c r="E18" i="3" s="1"/>
  <c r="A18" i="3"/>
  <c r="R17" i="3"/>
  <c r="S17" i="3" s="1"/>
  <c r="N17" i="3"/>
  <c r="D17" i="3"/>
  <c r="C17" i="3"/>
  <c r="E17" i="3" s="1"/>
  <c r="A17" i="3"/>
  <c r="R16" i="3"/>
  <c r="S16" i="3" s="1"/>
  <c r="N16" i="3"/>
  <c r="D16" i="3"/>
  <c r="C16" i="3"/>
  <c r="E16" i="3" s="1"/>
  <c r="A16" i="3"/>
  <c r="R15" i="3"/>
  <c r="S15" i="3" s="1"/>
  <c r="N15" i="3"/>
  <c r="D15" i="3"/>
  <c r="C15" i="3"/>
  <c r="E15" i="3" s="1"/>
  <c r="A15" i="3"/>
  <c r="R14" i="3"/>
  <c r="S14" i="3" s="1"/>
  <c r="N14" i="3"/>
  <c r="D14" i="3"/>
  <c r="C14" i="3"/>
  <c r="E14" i="3" s="1"/>
  <c r="A14" i="3"/>
  <c r="R13" i="3"/>
  <c r="S13" i="3" s="1"/>
  <c r="N13" i="3"/>
  <c r="D13" i="3"/>
  <c r="C13" i="3"/>
  <c r="E13" i="3" s="1"/>
  <c r="A13" i="3"/>
  <c r="R12" i="3"/>
  <c r="S12" i="3" s="1"/>
  <c r="N12" i="3"/>
  <c r="D12" i="3"/>
  <c r="C12" i="3"/>
  <c r="E12" i="3" s="1"/>
  <c r="A12" i="3"/>
  <c r="R11" i="3"/>
  <c r="S11" i="3" s="1"/>
  <c r="N11" i="3"/>
  <c r="D11" i="3"/>
  <c r="C11" i="3"/>
  <c r="E11" i="3" s="1"/>
  <c r="A11" i="3"/>
  <c r="R10" i="3"/>
  <c r="S10" i="3" s="1"/>
  <c r="N10" i="3"/>
  <c r="D10" i="3"/>
  <c r="C10" i="3"/>
  <c r="E10" i="3" s="1"/>
  <c r="A10" i="3"/>
  <c r="R9" i="3"/>
  <c r="S9" i="3" s="1"/>
  <c r="N9" i="3"/>
  <c r="D9" i="3"/>
  <c r="C9" i="3"/>
  <c r="E9" i="3" s="1"/>
  <c r="A9" i="3"/>
  <c r="R8" i="3"/>
  <c r="S8" i="3" s="1"/>
  <c r="N8" i="3"/>
  <c r="D8" i="3"/>
  <c r="C8" i="3"/>
  <c r="E8" i="3" s="1"/>
  <c r="A8" i="3"/>
  <c r="R7" i="3"/>
  <c r="O7" i="3"/>
  <c r="J7" i="3"/>
  <c r="H7" i="3"/>
  <c r="D7" i="3"/>
  <c r="C7" i="3"/>
  <c r="A7" i="3"/>
  <c r="C55" i="3" l="1"/>
  <c r="E7" i="3"/>
  <c r="P7" i="3"/>
  <c r="S7" i="3"/>
  <c r="F8" i="3"/>
  <c r="G8" i="3" s="1"/>
  <c r="F9" i="3"/>
  <c r="G9" i="3" s="1"/>
  <c r="F10" i="3"/>
  <c r="G10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L4" i="4"/>
  <c r="G4" i="4"/>
  <c r="F4" i="4"/>
  <c r="L5" i="4"/>
  <c r="G5" i="4"/>
  <c r="L6" i="4"/>
  <c r="G6" i="4"/>
  <c r="L7" i="4"/>
  <c r="G7" i="4"/>
  <c r="L8" i="4"/>
  <c r="G8" i="4"/>
  <c r="L9" i="4"/>
  <c r="G9" i="4"/>
  <c r="L10" i="4"/>
  <c r="G10" i="4"/>
  <c r="L11" i="4"/>
  <c r="G11" i="4"/>
  <c r="L12" i="4"/>
  <c r="G12" i="4"/>
  <c r="L13" i="4"/>
  <c r="G13" i="4"/>
  <c r="L14" i="4"/>
  <c r="G14" i="4"/>
  <c r="L15" i="4"/>
  <c r="G15" i="4"/>
  <c r="M15" i="4"/>
  <c r="I15" i="4"/>
  <c r="L16" i="4"/>
  <c r="G16" i="4"/>
  <c r="F16" i="4"/>
  <c r="L17" i="4"/>
  <c r="G17" i="4"/>
  <c r="L18" i="4"/>
  <c r="G18" i="4"/>
  <c r="L19" i="4"/>
  <c r="G19" i="4"/>
  <c r="L20" i="4"/>
  <c r="G20" i="4"/>
  <c r="L21" i="4"/>
  <c r="G21" i="4"/>
  <c r="L22" i="4"/>
  <c r="G22" i="4"/>
  <c r="L23" i="4"/>
  <c r="G23" i="4"/>
  <c r="L24" i="4"/>
  <c r="G24" i="4"/>
  <c r="L25" i="4"/>
  <c r="G25" i="4"/>
  <c r="L26" i="4"/>
  <c r="G26" i="4"/>
  <c r="L27" i="4"/>
  <c r="G27" i="4"/>
  <c r="M27" i="4"/>
  <c r="I27" i="4"/>
  <c r="L28" i="4"/>
  <c r="G28" i="4"/>
  <c r="F28" i="4"/>
  <c r="L29" i="4"/>
  <c r="G29" i="4"/>
  <c r="L30" i="4"/>
  <c r="G30" i="4"/>
  <c r="L31" i="4"/>
  <c r="G31" i="4"/>
  <c r="L32" i="4"/>
  <c r="G32" i="4"/>
  <c r="L33" i="4"/>
  <c r="G33" i="4"/>
  <c r="L34" i="4"/>
  <c r="G34" i="4"/>
  <c r="L35" i="4"/>
  <c r="G35" i="4"/>
  <c r="L36" i="4"/>
  <c r="G36" i="4"/>
  <c r="L37" i="4"/>
  <c r="G37" i="4"/>
  <c r="L38" i="4"/>
  <c r="G38" i="4"/>
  <c r="L39" i="4"/>
  <c r="G39" i="4"/>
  <c r="M39" i="4"/>
  <c r="I39" i="4"/>
  <c r="L40" i="4"/>
  <c r="G40" i="4"/>
  <c r="F40" i="4"/>
  <c r="L41" i="4"/>
  <c r="G41" i="4"/>
  <c r="L42" i="4"/>
  <c r="G42" i="4"/>
  <c r="L43" i="4"/>
  <c r="G43" i="4"/>
  <c r="L44" i="4"/>
  <c r="G44" i="4"/>
  <c r="L45" i="4"/>
  <c r="G45" i="4"/>
  <c r="L46" i="4"/>
  <c r="G46" i="4"/>
  <c r="L47" i="4"/>
  <c r="G47" i="4"/>
  <c r="L48" i="4"/>
  <c r="G48" i="4"/>
  <c r="L49" i="4"/>
  <c r="G49" i="4"/>
  <c r="L50" i="4"/>
  <c r="G50" i="4"/>
  <c r="L51" i="4"/>
  <c r="G51" i="4"/>
  <c r="M51" i="4"/>
  <c r="I51" i="4"/>
  <c r="L52" i="4"/>
  <c r="G52" i="4"/>
  <c r="F52" i="4"/>
  <c r="L53" i="4"/>
  <c r="G53" i="4"/>
  <c r="L54" i="4"/>
  <c r="G54" i="4"/>
  <c r="L55" i="4"/>
  <c r="G55" i="4"/>
  <c r="L56" i="4"/>
  <c r="G56" i="4"/>
  <c r="L57" i="4"/>
  <c r="G57" i="4"/>
  <c r="L58" i="4"/>
  <c r="G58" i="4"/>
  <c r="L59" i="4"/>
  <c r="G59" i="4"/>
  <c r="L60" i="4"/>
  <c r="G60" i="4"/>
  <c r="L61" i="4"/>
  <c r="G61" i="4"/>
  <c r="L62" i="4"/>
  <c r="G62" i="4"/>
  <c r="L63" i="4"/>
  <c r="G63" i="4"/>
  <c r="M63" i="4"/>
  <c r="I63" i="4"/>
  <c r="L64" i="4"/>
  <c r="G64" i="4"/>
  <c r="F64" i="4"/>
  <c r="L65" i="4"/>
  <c r="G65" i="4"/>
  <c r="L66" i="4"/>
  <c r="G66" i="4"/>
  <c r="L67" i="4"/>
  <c r="G67" i="4"/>
  <c r="L68" i="4"/>
  <c r="G68" i="4"/>
  <c r="L69" i="4"/>
  <c r="G69" i="4"/>
  <c r="L70" i="4"/>
  <c r="G70" i="4"/>
  <c r="L71" i="4"/>
  <c r="G71" i="4"/>
  <c r="L72" i="4"/>
  <c r="G72" i="4"/>
  <c r="L73" i="4"/>
  <c r="G73" i="4"/>
  <c r="L74" i="4"/>
  <c r="G74" i="4"/>
  <c r="L75" i="4"/>
  <c r="G75" i="4"/>
  <c r="M75" i="4"/>
  <c r="I75" i="4"/>
  <c r="L76" i="4"/>
  <c r="G76" i="4"/>
  <c r="F76" i="4"/>
  <c r="L77" i="4"/>
  <c r="G77" i="4"/>
  <c r="L78" i="4"/>
  <c r="G78" i="4"/>
  <c r="L79" i="4"/>
  <c r="G79" i="4"/>
  <c r="L80" i="4"/>
  <c r="G80" i="4"/>
  <c r="L81" i="4"/>
  <c r="G81" i="4"/>
  <c r="L82" i="4"/>
  <c r="G82" i="4"/>
  <c r="L83" i="4"/>
  <c r="G83" i="4"/>
  <c r="L84" i="4"/>
  <c r="G84" i="4"/>
  <c r="L85" i="4"/>
  <c r="G85" i="4"/>
  <c r="L86" i="4"/>
  <c r="G86" i="4"/>
  <c r="L87" i="4"/>
  <c r="G87" i="4"/>
  <c r="M87" i="4"/>
  <c r="I87" i="4"/>
  <c r="L88" i="4"/>
  <c r="G88" i="4"/>
  <c r="F88" i="4"/>
  <c r="L89" i="4"/>
  <c r="G89" i="4"/>
  <c r="L90" i="4"/>
  <c r="G90" i="4"/>
  <c r="L91" i="4"/>
  <c r="G91" i="4"/>
  <c r="L92" i="4"/>
  <c r="G92" i="4"/>
  <c r="L93" i="4"/>
  <c r="G93" i="4"/>
  <c r="L94" i="4"/>
  <c r="G94" i="4"/>
  <c r="L95" i="4"/>
  <c r="G95" i="4"/>
  <c r="L96" i="4"/>
  <c r="G96" i="4"/>
  <c r="L97" i="4"/>
  <c r="G97" i="4"/>
  <c r="L98" i="4"/>
  <c r="G98" i="4"/>
  <c r="L99" i="4"/>
  <c r="G99" i="4"/>
  <c r="M99" i="4"/>
  <c r="I99" i="4"/>
  <c r="L100" i="4"/>
  <c r="G100" i="4"/>
  <c r="F100" i="4"/>
  <c r="L101" i="4"/>
  <c r="G101" i="4"/>
  <c r="L102" i="4"/>
  <c r="G102" i="4"/>
  <c r="L103" i="4"/>
  <c r="G103" i="4"/>
  <c r="L104" i="4"/>
  <c r="G104" i="4"/>
  <c r="L105" i="4"/>
  <c r="G105" i="4"/>
  <c r="L106" i="4"/>
  <c r="G106" i="4"/>
  <c r="L107" i="4"/>
  <c r="G107" i="4"/>
  <c r="L108" i="4"/>
  <c r="G108" i="4"/>
  <c r="L109" i="4"/>
  <c r="G109" i="4"/>
  <c r="L110" i="4"/>
  <c r="G110" i="4"/>
  <c r="L111" i="4"/>
  <c r="G111" i="4"/>
  <c r="M111" i="4"/>
  <c r="I111" i="4"/>
  <c r="L112" i="4"/>
  <c r="G112" i="4"/>
  <c r="F112" i="4"/>
  <c r="L113" i="4"/>
  <c r="G113" i="4"/>
  <c r="L114" i="4"/>
  <c r="G114" i="4"/>
  <c r="L115" i="4"/>
  <c r="G115" i="4"/>
  <c r="L116" i="4"/>
  <c r="G116" i="4"/>
  <c r="L117" i="4"/>
  <c r="G117" i="4"/>
  <c r="L118" i="4"/>
  <c r="G118" i="4"/>
  <c r="L119" i="4"/>
  <c r="G119" i="4"/>
  <c r="L120" i="4"/>
  <c r="G120" i="4"/>
  <c r="L121" i="4"/>
  <c r="G121" i="4"/>
  <c r="L122" i="4"/>
  <c r="G122" i="4"/>
  <c r="L123" i="4"/>
  <c r="G123" i="4"/>
  <c r="M123" i="4"/>
  <c r="I123" i="4"/>
  <c r="L124" i="4"/>
  <c r="G124" i="4"/>
  <c r="F124" i="4"/>
  <c r="L125" i="4"/>
  <c r="G125" i="4"/>
  <c r="L126" i="4"/>
  <c r="G126" i="4"/>
  <c r="L127" i="4"/>
  <c r="G127" i="4"/>
  <c r="L128" i="4"/>
  <c r="G128" i="4"/>
  <c r="L129" i="4"/>
  <c r="G129" i="4"/>
  <c r="L130" i="4"/>
  <c r="G130" i="4"/>
  <c r="L131" i="4"/>
  <c r="G131" i="4"/>
  <c r="L132" i="4"/>
  <c r="G132" i="4"/>
  <c r="L133" i="4"/>
  <c r="G133" i="4"/>
  <c r="L134" i="4"/>
  <c r="G134" i="4"/>
  <c r="L135" i="4"/>
  <c r="G135" i="4"/>
  <c r="M135" i="4"/>
  <c r="I135" i="4"/>
  <c r="L136" i="4"/>
  <c r="G136" i="4"/>
  <c r="F136" i="4"/>
  <c r="L137" i="4"/>
  <c r="G137" i="4"/>
  <c r="L138" i="4"/>
  <c r="G138" i="4"/>
  <c r="L139" i="4"/>
  <c r="G139" i="4"/>
  <c r="L140" i="4"/>
  <c r="G140" i="4"/>
  <c r="L141" i="4"/>
  <c r="G141" i="4"/>
  <c r="L142" i="4"/>
  <c r="G142" i="4"/>
  <c r="L143" i="4"/>
  <c r="G143" i="4"/>
  <c r="L144" i="4"/>
  <c r="G144" i="4"/>
  <c r="L145" i="4"/>
  <c r="G145" i="4"/>
  <c r="L146" i="4"/>
  <c r="G146" i="4"/>
  <c r="L147" i="4"/>
  <c r="G147" i="4"/>
  <c r="M147" i="4"/>
  <c r="I147" i="4"/>
  <c r="L148" i="4"/>
  <c r="G148" i="4"/>
  <c r="F148" i="4"/>
  <c r="L149" i="4"/>
  <c r="G149" i="4"/>
  <c r="L150" i="4"/>
  <c r="G150" i="4"/>
  <c r="L151" i="4"/>
  <c r="G151" i="4"/>
  <c r="L152" i="4"/>
  <c r="G152" i="4"/>
  <c r="L153" i="4"/>
  <c r="G153" i="4"/>
  <c r="L154" i="4"/>
  <c r="G154" i="4"/>
  <c r="L155" i="4"/>
  <c r="G155" i="4"/>
  <c r="L156" i="4"/>
  <c r="G156" i="4"/>
  <c r="L157" i="4"/>
  <c r="G157" i="4"/>
  <c r="L158" i="4"/>
  <c r="G158" i="4"/>
  <c r="L159" i="4"/>
  <c r="G159" i="4"/>
  <c r="M159" i="4"/>
  <c r="I159" i="4"/>
  <c r="L160" i="4"/>
  <c r="G160" i="4"/>
  <c r="F160" i="4"/>
  <c r="L161" i="4"/>
  <c r="G161" i="4"/>
  <c r="L162" i="4"/>
  <c r="G162" i="4"/>
  <c r="L163" i="4"/>
  <c r="G163" i="4"/>
  <c r="L164" i="4"/>
  <c r="G164" i="4"/>
  <c r="L165" i="4"/>
  <c r="G165" i="4"/>
  <c r="L166" i="4"/>
  <c r="G166" i="4"/>
  <c r="L167" i="4"/>
  <c r="G167" i="4"/>
  <c r="L168" i="4"/>
  <c r="G168" i="4"/>
  <c r="L169" i="4"/>
  <c r="G169" i="4"/>
  <c r="L170" i="4"/>
  <c r="G170" i="4"/>
  <c r="L171" i="4"/>
  <c r="G171" i="4"/>
  <c r="M171" i="4"/>
  <c r="I171" i="4"/>
  <c r="L172" i="4"/>
  <c r="G172" i="4"/>
  <c r="F172" i="4"/>
  <c r="L173" i="4"/>
  <c r="G173" i="4"/>
  <c r="L174" i="4"/>
  <c r="G174" i="4"/>
  <c r="L175" i="4"/>
  <c r="G175" i="4"/>
  <c r="L176" i="4"/>
  <c r="G176" i="4"/>
  <c r="L177" i="4"/>
  <c r="G177" i="4"/>
  <c r="L178" i="4"/>
  <c r="G178" i="4"/>
  <c r="L179" i="4"/>
  <c r="G179" i="4"/>
  <c r="L180" i="4"/>
  <c r="G180" i="4"/>
  <c r="L181" i="4"/>
  <c r="G181" i="4"/>
  <c r="L182" i="4"/>
  <c r="G182" i="4"/>
  <c r="L183" i="4"/>
  <c r="G183" i="4"/>
  <c r="M183" i="4"/>
  <c r="I183" i="4"/>
  <c r="L184" i="4"/>
  <c r="G184" i="4"/>
  <c r="F184" i="4"/>
  <c r="L185" i="4"/>
  <c r="G185" i="4"/>
  <c r="L186" i="4"/>
  <c r="G186" i="4"/>
  <c r="L187" i="4"/>
  <c r="G187" i="4"/>
  <c r="L188" i="4"/>
  <c r="G188" i="4"/>
  <c r="L189" i="4"/>
  <c r="G189" i="4"/>
  <c r="L190" i="4"/>
  <c r="G190" i="4"/>
  <c r="L191" i="4"/>
  <c r="G191" i="4"/>
  <c r="L192" i="4"/>
  <c r="G192" i="4"/>
  <c r="L193" i="4"/>
  <c r="G193" i="4"/>
  <c r="L194" i="4"/>
  <c r="G194" i="4"/>
  <c r="L195" i="4"/>
  <c r="G195" i="4"/>
  <c r="M195" i="4"/>
  <c r="I195" i="4"/>
  <c r="L196" i="4"/>
  <c r="G196" i="4"/>
  <c r="F196" i="4"/>
  <c r="L197" i="4"/>
  <c r="G197" i="4"/>
  <c r="L198" i="4"/>
  <c r="G198" i="4"/>
  <c r="L199" i="4"/>
  <c r="G199" i="4"/>
  <c r="L200" i="4"/>
  <c r="G200" i="4"/>
  <c r="L201" i="4"/>
  <c r="G201" i="4"/>
  <c r="L202" i="4"/>
  <c r="G202" i="4"/>
  <c r="L203" i="4"/>
  <c r="G203" i="4"/>
  <c r="L204" i="4"/>
  <c r="G204" i="4"/>
  <c r="L205" i="4"/>
  <c r="G205" i="4"/>
  <c r="L206" i="4"/>
  <c r="G206" i="4"/>
  <c r="L207" i="4"/>
  <c r="G207" i="4"/>
  <c r="M207" i="4"/>
  <c r="I207" i="4"/>
  <c r="L208" i="4"/>
  <c r="G208" i="4"/>
  <c r="F208" i="4"/>
  <c r="L209" i="4"/>
  <c r="G209" i="4"/>
  <c r="L210" i="4"/>
  <c r="G210" i="4"/>
  <c r="L211" i="4"/>
  <c r="G211" i="4"/>
  <c r="L212" i="4"/>
  <c r="G212" i="4"/>
  <c r="L213" i="4"/>
  <c r="G213" i="4"/>
  <c r="L214" i="4"/>
  <c r="G214" i="4"/>
  <c r="L215" i="4"/>
  <c r="G215" i="4"/>
  <c r="L216" i="4"/>
  <c r="G216" i="4"/>
  <c r="L217" i="4"/>
  <c r="G217" i="4"/>
  <c r="L218" i="4"/>
  <c r="G218" i="4"/>
  <c r="L219" i="4"/>
  <c r="G219" i="4"/>
  <c r="M219" i="4"/>
  <c r="I219" i="4"/>
  <c r="L220" i="4"/>
  <c r="G220" i="4"/>
  <c r="F220" i="4"/>
  <c r="L221" i="4"/>
  <c r="G221" i="4"/>
  <c r="L222" i="4"/>
  <c r="G222" i="4"/>
  <c r="L223" i="4"/>
  <c r="G223" i="4"/>
  <c r="L224" i="4"/>
  <c r="G224" i="4"/>
  <c r="L225" i="4"/>
  <c r="G225" i="4"/>
  <c r="L226" i="4"/>
  <c r="G226" i="4"/>
  <c r="L227" i="4"/>
  <c r="G227" i="4"/>
  <c r="L228" i="4"/>
  <c r="G228" i="4"/>
  <c r="L229" i="4"/>
  <c r="G229" i="4"/>
  <c r="L230" i="4"/>
  <c r="G230" i="4"/>
  <c r="L231" i="4"/>
  <c r="G231" i="4"/>
  <c r="M231" i="4"/>
  <c r="I231" i="4"/>
  <c r="L232" i="4"/>
  <c r="G232" i="4"/>
  <c r="F232" i="4"/>
  <c r="L233" i="4"/>
  <c r="G233" i="4"/>
  <c r="L234" i="4"/>
  <c r="G234" i="4"/>
  <c r="L235" i="4"/>
  <c r="G235" i="4"/>
  <c r="L236" i="4"/>
  <c r="G236" i="4"/>
  <c r="L237" i="4"/>
  <c r="G237" i="4"/>
  <c r="L238" i="4"/>
  <c r="G238" i="4"/>
  <c r="L239" i="4"/>
  <c r="G239" i="4"/>
  <c r="L240" i="4"/>
  <c r="G240" i="4"/>
  <c r="L241" i="4"/>
  <c r="G241" i="4"/>
  <c r="L242" i="4"/>
  <c r="G242" i="4"/>
  <c r="L243" i="4"/>
  <c r="G243" i="4"/>
  <c r="M243" i="4"/>
  <c r="I243" i="4"/>
  <c r="L244" i="4"/>
  <c r="G244" i="4"/>
  <c r="F244" i="4"/>
  <c r="L245" i="4"/>
  <c r="G245" i="4"/>
  <c r="L246" i="4"/>
  <c r="G246" i="4"/>
  <c r="L247" i="4"/>
  <c r="G247" i="4"/>
  <c r="L248" i="4"/>
  <c r="G248" i="4"/>
  <c r="L249" i="4"/>
  <c r="G249" i="4"/>
  <c r="L250" i="4"/>
  <c r="G250" i="4"/>
  <c r="L251" i="4"/>
  <c r="G251" i="4"/>
  <c r="L252" i="4"/>
  <c r="G252" i="4"/>
  <c r="L253" i="4"/>
  <c r="G253" i="4"/>
  <c r="L254" i="4"/>
  <c r="G254" i="4"/>
  <c r="L255" i="4"/>
  <c r="G255" i="4"/>
  <c r="M255" i="4"/>
  <c r="I255" i="4"/>
  <c r="L256" i="4"/>
  <c r="G256" i="4"/>
  <c r="F256" i="4"/>
  <c r="L257" i="4"/>
  <c r="G257" i="4"/>
  <c r="L258" i="4"/>
  <c r="G258" i="4"/>
  <c r="L259" i="4"/>
  <c r="G259" i="4"/>
  <c r="L260" i="4"/>
  <c r="G260" i="4"/>
  <c r="L261" i="4"/>
  <c r="G261" i="4"/>
  <c r="L262" i="4"/>
  <c r="G262" i="4"/>
  <c r="L263" i="4"/>
  <c r="G263" i="4"/>
  <c r="L264" i="4"/>
  <c r="G264" i="4"/>
  <c r="L265" i="4"/>
  <c r="G265" i="4"/>
  <c r="L266" i="4"/>
  <c r="G266" i="4"/>
  <c r="L267" i="4"/>
  <c r="G267" i="4"/>
  <c r="M267" i="4"/>
  <c r="I267" i="4"/>
  <c r="L268" i="4"/>
  <c r="G268" i="4"/>
  <c r="F268" i="4"/>
  <c r="L269" i="4"/>
  <c r="G269" i="4"/>
  <c r="L270" i="4"/>
  <c r="G270" i="4"/>
  <c r="L271" i="4"/>
  <c r="G271" i="4"/>
  <c r="L272" i="4"/>
  <c r="G272" i="4"/>
  <c r="L273" i="4"/>
  <c r="G273" i="4"/>
  <c r="L274" i="4"/>
  <c r="G274" i="4"/>
  <c r="L275" i="4"/>
  <c r="G275" i="4"/>
  <c r="L276" i="4"/>
  <c r="G276" i="4"/>
  <c r="L277" i="4"/>
  <c r="G277" i="4"/>
  <c r="L278" i="4"/>
  <c r="G278" i="4"/>
  <c r="L279" i="4"/>
  <c r="G279" i="4"/>
  <c r="M279" i="4"/>
  <c r="I279" i="4"/>
  <c r="L280" i="4"/>
  <c r="G280" i="4"/>
  <c r="F280" i="4"/>
  <c r="L281" i="4"/>
  <c r="G281" i="4"/>
  <c r="L282" i="4"/>
  <c r="G282" i="4"/>
  <c r="L283" i="4"/>
  <c r="G283" i="4"/>
  <c r="L284" i="4"/>
  <c r="G284" i="4"/>
  <c r="L285" i="4"/>
  <c r="G285" i="4"/>
  <c r="L286" i="4"/>
  <c r="G286" i="4"/>
  <c r="L287" i="4"/>
  <c r="G287" i="4"/>
  <c r="L288" i="4"/>
  <c r="G288" i="4"/>
  <c r="L289" i="4"/>
  <c r="G289" i="4"/>
  <c r="L290" i="4"/>
  <c r="G290" i="4"/>
  <c r="L291" i="4"/>
  <c r="G291" i="4"/>
  <c r="M291" i="4"/>
  <c r="I291" i="4"/>
  <c r="L292" i="4"/>
  <c r="G292" i="4"/>
  <c r="F292" i="4"/>
  <c r="K292" i="4"/>
  <c r="L293" i="4"/>
  <c r="G293" i="4"/>
  <c r="K293" i="4"/>
  <c r="L294" i="4"/>
  <c r="G294" i="4"/>
  <c r="K294" i="4"/>
  <c r="L295" i="4"/>
  <c r="G295" i="4"/>
  <c r="K295" i="4"/>
  <c r="L296" i="4"/>
  <c r="G296" i="4"/>
  <c r="K296" i="4"/>
  <c r="L297" i="4"/>
  <c r="G297" i="4"/>
  <c r="K297" i="4"/>
  <c r="L298" i="4"/>
  <c r="G298" i="4"/>
  <c r="K298" i="4"/>
  <c r="L299" i="4"/>
  <c r="G299" i="4"/>
  <c r="K299" i="4"/>
  <c r="L300" i="4"/>
  <c r="G300" i="4"/>
  <c r="K300" i="4"/>
  <c r="L301" i="4"/>
  <c r="G301" i="4"/>
  <c r="K301" i="4"/>
  <c r="L302" i="4"/>
  <c r="G302" i="4"/>
  <c r="K302" i="4"/>
  <c r="L303" i="4"/>
  <c r="G303" i="4"/>
  <c r="M303" i="4"/>
  <c r="J303" i="4" s="1"/>
  <c r="I303" i="4"/>
  <c r="L304" i="4"/>
  <c r="G304" i="4"/>
  <c r="F304" i="4"/>
  <c r="K304" i="4"/>
  <c r="L305" i="4"/>
  <c r="G305" i="4"/>
  <c r="K305" i="4"/>
  <c r="L306" i="4"/>
  <c r="G306" i="4"/>
  <c r="K306" i="4"/>
  <c r="L307" i="4"/>
  <c r="G307" i="4"/>
  <c r="K307" i="4"/>
  <c r="L308" i="4"/>
  <c r="G308" i="4"/>
  <c r="K308" i="4"/>
  <c r="L309" i="4"/>
  <c r="G309" i="4"/>
  <c r="K309" i="4"/>
  <c r="L310" i="4"/>
  <c r="G310" i="4"/>
  <c r="K310" i="4"/>
  <c r="L311" i="4"/>
  <c r="G311" i="4"/>
  <c r="K311" i="4"/>
  <c r="L312" i="4"/>
  <c r="G312" i="4"/>
  <c r="K312" i="4"/>
  <c r="L313" i="4"/>
  <c r="G313" i="4"/>
  <c r="K313" i="4"/>
  <c r="L314" i="4"/>
  <c r="G314" i="4"/>
  <c r="K314" i="4"/>
  <c r="L315" i="4"/>
  <c r="G315" i="4"/>
  <c r="M315" i="4"/>
  <c r="J315" i="4" s="1"/>
  <c r="I315" i="4"/>
  <c r="L316" i="4"/>
  <c r="G316" i="4"/>
  <c r="F316" i="4"/>
  <c r="K316" i="4"/>
  <c r="L317" i="4"/>
  <c r="G317" i="4"/>
  <c r="K317" i="4"/>
  <c r="L318" i="4"/>
  <c r="G318" i="4"/>
  <c r="K318" i="4"/>
  <c r="L319" i="4"/>
  <c r="G319" i="4"/>
  <c r="K319" i="4"/>
  <c r="L320" i="4"/>
  <c r="G320" i="4"/>
  <c r="K320" i="4"/>
  <c r="L321" i="4"/>
  <c r="G321" i="4"/>
  <c r="K321" i="4"/>
  <c r="L322" i="4"/>
  <c r="G322" i="4"/>
  <c r="K322" i="4"/>
  <c r="L323" i="4"/>
  <c r="G323" i="4"/>
  <c r="K323" i="4"/>
  <c r="L324" i="4"/>
  <c r="G324" i="4"/>
  <c r="K324" i="4"/>
  <c r="L325" i="4"/>
  <c r="G325" i="4"/>
  <c r="K325" i="4"/>
  <c r="L326" i="4"/>
  <c r="G326" i="4"/>
  <c r="K326" i="4"/>
  <c r="L327" i="4"/>
  <c r="G327" i="4"/>
  <c r="M327" i="4"/>
  <c r="J327" i="4" s="1"/>
  <c r="I327" i="4"/>
  <c r="L328" i="4"/>
  <c r="G328" i="4"/>
  <c r="F328" i="4"/>
  <c r="K328" i="4"/>
  <c r="L329" i="4"/>
  <c r="G329" i="4"/>
  <c r="K329" i="4"/>
  <c r="L330" i="4"/>
  <c r="G330" i="4"/>
  <c r="K330" i="4"/>
  <c r="L331" i="4"/>
  <c r="G331" i="4"/>
  <c r="K331" i="4"/>
  <c r="L332" i="4"/>
  <c r="G332" i="4"/>
  <c r="K332" i="4"/>
  <c r="L333" i="4"/>
  <c r="G333" i="4"/>
  <c r="K333" i="4"/>
  <c r="L334" i="4"/>
  <c r="G334" i="4"/>
  <c r="K334" i="4"/>
  <c r="L335" i="4"/>
  <c r="G335" i="4"/>
  <c r="K335" i="4"/>
  <c r="L336" i="4"/>
  <c r="G336" i="4"/>
  <c r="K336" i="4"/>
  <c r="L337" i="4"/>
  <c r="G337" i="4"/>
  <c r="K337" i="4"/>
  <c r="L338" i="4"/>
  <c r="G338" i="4"/>
  <c r="K338" i="4"/>
  <c r="L339" i="4"/>
  <c r="G339" i="4"/>
  <c r="M339" i="4"/>
  <c r="J339" i="4" s="1"/>
  <c r="I339" i="4"/>
  <c r="L340" i="4"/>
  <c r="G340" i="4"/>
  <c r="F340" i="4"/>
  <c r="K340" i="4"/>
  <c r="L341" i="4"/>
  <c r="G341" i="4"/>
  <c r="K341" i="4"/>
  <c r="L342" i="4"/>
  <c r="G342" i="4"/>
  <c r="K342" i="4"/>
  <c r="L343" i="4"/>
  <c r="G343" i="4"/>
  <c r="K343" i="4"/>
  <c r="L344" i="4"/>
  <c r="G344" i="4"/>
  <c r="K344" i="4"/>
  <c r="L345" i="4"/>
  <c r="G345" i="4"/>
  <c r="K345" i="4"/>
  <c r="L346" i="4"/>
  <c r="G346" i="4"/>
  <c r="K346" i="4"/>
  <c r="L347" i="4"/>
  <c r="G347" i="4"/>
  <c r="K347" i="4"/>
  <c r="L348" i="4"/>
  <c r="G348" i="4"/>
  <c r="K348" i="4"/>
  <c r="L349" i="4"/>
  <c r="G349" i="4"/>
  <c r="K349" i="4"/>
  <c r="L350" i="4"/>
  <c r="G350" i="4"/>
  <c r="K350" i="4"/>
  <c r="L351" i="4"/>
  <c r="G351" i="4"/>
  <c r="M351" i="4"/>
  <c r="J351" i="4" s="1"/>
  <c r="I351" i="4"/>
  <c r="L352" i="4"/>
  <c r="G352" i="4"/>
  <c r="F352" i="4"/>
  <c r="K352" i="4"/>
  <c r="L353" i="4"/>
  <c r="G353" i="4"/>
  <c r="K353" i="4"/>
  <c r="L354" i="4"/>
  <c r="G354" i="4"/>
  <c r="K354" i="4"/>
  <c r="L355" i="4"/>
  <c r="G355" i="4"/>
  <c r="K355" i="4"/>
  <c r="L356" i="4"/>
  <c r="G356" i="4"/>
  <c r="K356" i="4"/>
  <c r="L357" i="4"/>
  <c r="G357" i="4"/>
  <c r="K357" i="4"/>
  <c r="L358" i="4"/>
  <c r="G358" i="4"/>
  <c r="K358" i="4"/>
  <c r="L359" i="4"/>
  <c r="G359" i="4"/>
  <c r="K359" i="4"/>
  <c r="L360" i="4"/>
  <c r="G360" i="4"/>
  <c r="K360" i="4"/>
  <c r="L361" i="4"/>
  <c r="G361" i="4"/>
  <c r="K361" i="4"/>
  <c r="L362" i="4"/>
  <c r="G362" i="4"/>
  <c r="K362" i="4"/>
  <c r="L363" i="4"/>
  <c r="G363" i="4"/>
  <c r="M363" i="4"/>
  <c r="J363" i="4" s="1"/>
  <c r="I363" i="4"/>
  <c r="L364" i="4"/>
  <c r="G364" i="4"/>
  <c r="F364" i="4"/>
  <c r="K364" i="4"/>
  <c r="L365" i="4"/>
  <c r="G365" i="4"/>
  <c r="K365" i="4"/>
  <c r="L366" i="4"/>
  <c r="G366" i="4"/>
  <c r="K366" i="4"/>
  <c r="L367" i="4"/>
  <c r="G367" i="4"/>
  <c r="K367" i="4"/>
  <c r="L368" i="4"/>
  <c r="G368" i="4"/>
  <c r="K368" i="4"/>
  <c r="L369" i="4"/>
  <c r="G369" i="4"/>
  <c r="K369" i="4"/>
  <c r="L370" i="4"/>
  <c r="G370" i="4"/>
  <c r="K370" i="4"/>
  <c r="L371" i="4"/>
  <c r="G371" i="4"/>
  <c r="K371" i="4"/>
  <c r="L372" i="4"/>
  <c r="G372" i="4"/>
  <c r="K372" i="4"/>
  <c r="L373" i="4"/>
  <c r="G373" i="4"/>
  <c r="K373" i="4"/>
  <c r="L374" i="4"/>
  <c r="G374" i="4"/>
  <c r="K374" i="4"/>
  <c r="L375" i="4"/>
  <c r="G375" i="4"/>
  <c r="M375" i="4"/>
  <c r="J375" i="4" s="1"/>
  <c r="I375" i="4"/>
  <c r="L376" i="4"/>
  <c r="G376" i="4"/>
  <c r="F376" i="4"/>
  <c r="K376" i="4"/>
  <c r="L377" i="4"/>
  <c r="G377" i="4"/>
  <c r="K377" i="4"/>
  <c r="L378" i="4"/>
  <c r="G378" i="4"/>
  <c r="K378" i="4"/>
  <c r="L379" i="4"/>
  <c r="G379" i="4"/>
  <c r="K379" i="4"/>
  <c r="L380" i="4"/>
  <c r="G380" i="4"/>
  <c r="K380" i="4"/>
  <c r="L381" i="4"/>
  <c r="G381" i="4"/>
  <c r="K381" i="4"/>
  <c r="L382" i="4"/>
  <c r="G382" i="4"/>
  <c r="K382" i="4"/>
  <c r="L383" i="4"/>
  <c r="G383" i="4"/>
  <c r="K383" i="4"/>
  <c r="L384" i="4"/>
  <c r="G384" i="4"/>
  <c r="K384" i="4"/>
  <c r="L385" i="4"/>
  <c r="G385" i="4"/>
  <c r="K385" i="4"/>
  <c r="L386" i="4"/>
  <c r="G386" i="4"/>
  <c r="K386" i="4"/>
  <c r="L387" i="4"/>
  <c r="G387" i="4"/>
  <c r="M387" i="4"/>
  <c r="J387" i="4" s="1"/>
  <c r="I387" i="4"/>
  <c r="L388" i="4"/>
  <c r="G388" i="4"/>
  <c r="F388" i="4"/>
  <c r="K388" i="4"/>
  <c r="L389" i="4"/>
  <c r="G389" i="4"/>
  <c r="K389" i="4"/>
  <c r="L390" i="4"/>
  <c r="G390" i="4"/>
  <c r="K390" i="4"/>
  <c r="L391" i="4"/>
  <c r="G391" i="4"/>
  <c r="K391" i="4"/>
  <c r="L392" i="4"/>
  <c r="G392" i="4"/>
  <c r="K392" i="4"/>
  <c r="L393" i="4"/>
  <c r="G393" i="4"/>
  <c r="K393" i="4"/>
  <c r="L394" i="4"/>
  <c r="G394" i="4"/>
  <c r="K394" i="4"/>
  <c r="L395" i="4"/>
  <c r="G395" i="4"/>
  <c r="K395" i="4"/>
  <c r="L396" i="4"/>
  <c r="G396" i="4"/>
  <c r="K396" i="4"/>
  <c r="L397" i="4"/>
  <c r="G397" i="4"/>
  <c r="K397" i="4"/>
  <c r="L398" i="4"/>
  <c r="G398" i="4"/>
  <c r="K398" i="4"/>
  <c r="L399" i="4"/>
  <c r="G399" i="4"/>
  <c r="M399" i="4"/>
  <c r="J399" i="4" s="1"/>
  <c r="I399" i="4"/>
  <c r="L400" i="4"/>
  <c r="G400" i="4"/>
  <c r="F400" i="4"/>
  <c r="K400" i="4"/>
  <c r="L401" i="4"/>
  <c r="G401" i="4"/>
  <c r="K401" i="4"/>
  <c r="L402" i="4"/>
  <c r="G402" i="4"/>
  <c r="K402" i="4"/>
  <c r="L403" i="4"/>
  <c r="G403" i="4"/>
  <c r="K403" i="4"/>
  <c r="L404" i="4"/>
  <c r="G404" i="4"/>
  <c r="K404" i="4"/>
  <c r="L405" i="4"/>
  <c r="G405" i="4"/>
  <c r="K405" i="4"/>
  <c r="L406" i="4"/>
  <c r="G406" i="4"/>
  <c r="K406" i="4"/>
  <c r="L407" i="4"/>
  <c r="G407" i="4"/>
  <c r="K407" i="4"/>
  <c r="L408" i="4"/>
  <c r="G408" i="4"/>
  <c r="K408" i="4"/>
  <c r="L409" i="4"/>
  <c r="G409" i="4"/>
  <c r="K409" i="4"/>
  <c r="L410" i="4"/>
  <c r="G410" i="4"/>
  <c r="K410" i="4"/>
  <c r="L411" i="4"/>
  <c r="G411" i="4"/>
  <c r="M411" i="4"/>
  <c r="J411" i="4" s="1"/>
  <c r="I411" i="4"/>
  <c r="L412" i="4"/>
  <c r="G412" i="4"/>
  <c r="F412" i="4"/>
  <c r="K412" i="4"/>
  <c r="L413" i="4"/>
  <c r="G413" i="4"/>
  <c r="K413" i="4"/>
  <c r="L414" i="4"/>
  <c r="G414" i="4"/>
  <c r="K414" i="4"/>
  <c r="L415" i="4"/>
  <c r="G415" i="4"/>
  <c r="K415" i="4"/>
  <c r="L416" i="4"/>
  <c r="G416" i="4"/>
  <c r="K416" i="4"/>
  <c r="L417" i="4"/>
  <c r="G417" i="4"/>
  <c r="K417" i="4"/>
  <c r="L418" i="4"/>
  <c r="G418" i="4"/>
  <c r="K418" i="4"/>
  <c r="L419" i="4"/>
  <c r="G419" i="4"/>
  <c r="K419" i="4"/>
  <c r="L420" i="4"/>
  <c r="G420" i="4"/>
  <c r="K420" i="4"/>
  <c r="L421" i="4"/>
  <c r="G421" i="4"/>
  <c r="K421" i="4"/>
  <c r="L422" i="4"/>
  <c r="G422" i="4"/>
  <c r="K422" i="4"/>
  <c r="L423" i="4"/>
  <c r="G423" i="4"/>
  <c r="M423" i="4"/>
  <c r="J423" i="4" s="1"/>
  <c r="I423" i="4"/>
  <c r="L424" i="4"/>
  <c r="G424" i="4"/>
  <c r="F424" i="4"/>
  <c r="K424" i="4"/>
  <c r="L425" i="4"/>
  <c r="G425" i="4"/>
  <c r="K425" i="4"/>
  <c r="L426" i="4"/>
  <c r="G426" i="4"/>
  <c r="K426" i="4"/>
  <c r="L427" i="4"/>
  <c r="G427" i="4"/>
  <c r="K427" i="4"/>
  <c r="L428" i="4"/>
  <c r="G428" i="4"/>
  <c r="K428" i="4"/>
  <c r="L429" i="4"/>
  <c r="G429" i="4"/>
  <c r="K429" i="4"/>
  <c r="L430" i="4"/>
  <c r="G430" i="4"/>
  <c r="K430" i="4"/>
  <c r="L431" i="4"/>
  <c r="G431" i="4"/>
  <c r="K431" i="4"/>
  <c r="L432" i="4"/>
  <c r="G432" i="4"/>
  <c r="K432" i="4"/>
  <c r="L433" i="4"/>
  <c r="G433" i="4"/>
  <c r="K433" i="4"/>
  <c r="L434" i="4"/>
  <c r="G434" i="4"/>
  <c r="K434" i="4"/>
  <c r="L435" i="4"/>
  <c r="G435" i="4"/>
  <c r="M435" i="4"/>
  <c r="J435" i="4" s="1"/>
  <c r="I435" i="4"/>
  <c r="K423" i="4" l="1"/>
  <c r="K399" i="4"/>
  <c r="K375" i="4"/>
  <c r="K351" i="4"/>
  <c r="K327" i="4"/>
  <c r="K303" i="4"/>
  <c r="K435" i="4"/>
  <c r="K411" i="4"/>
  <c r="K387" i="4"/>
  <c r="K363" i="4"/>
  <c r="K339" i="4"/>
  <c r="K315" i="4"/>
  <c r="F435" i="4"/>
  <c r="H435" i="4" s="1"/>
  <c r="F434" i="4"/>
  <c r="H434" i="4" s="1"/>
  <c r="F433" i="4"/>
  <c r="H433" i="4" s="1"/>
  <c r="F432" i="4"/>
  <c r="H432" i="4" s="1"/>
  <c r="F431" i="4"/>
  <c r="H431" i="4" s="1"/>
  <c r="F430" i="4"/>
  <c r="H430" i="4" s="1"/>
  <c r="F429" i="4"/>
  <c r="H429" i="4" s="1"/>
  <c r="F428" i="4"/>
  <c r="H428" i="4" s="1"/>
  <c r="F427" i="4"/>
  <c r="H427" i="4" s="1"/>
  <c r="F426" i="4"/>
  <c r="H426" i="4" s="1"/>
  <c r="F425" i="4"/>
  <c r="H425" i="4" s="1"/>
  <c r="H424" i="4"/>
  <c r="F423" i="4"/>
  <c r="H423" i="4" s="1"/>
  <c r="F422" i="4"/>
  <c r="H422" i="4" s="1"/>
  <c r="F421" i="4"/>
  <c r="H421" i="4" s="1"/>
  <c r="F420" i="4"/>
  <c r="H420" i="4" s="1"/>
  <c r="F419" i="4"/>
  <c r="H419" i="4" s="1"/>
  <c r="F418" i="4"/>
  <c r="H418" i="4" s="1"/>
  <c r="F417" i="4"/>
  <c r="H417" i="4" s="1"/>
  <c r="F416" i="4"/>
  <c r="H416" i="4" s="1"/>
  <c r="F415" i="4"/>
  <c r="H415" i="4" s="1"/>
  <c r="F414" i="4"/>
  <c r="H414" i="4" s="1"/>
  <c r="F413" i="4"/>
  <c r="H413" i="4" s="1"/>
  <c r="H412" i="4"/>
  <c r="F411" i="4"/>
  <c r="H411" i="4" s="1"/>
  <c r="F410" i="4"/>
  <c r="H410" i="4" s="1"/>
  <c r="F409" i="4"/>
  <c r="H409" i="4" s="1"/>
  <c r="F408" i="4"/>
  <c r="H408" i="4" s="1"/>
  <c r="F407" i="4"/>
  <c r="H407" i="4" s="1"/>
  <c r="F406" i="4"/>
  <c r="H406" i="4" s="1"/>
  <c r="F405" i="4"/>
  <c r="H405" i="4" s="1"/>
  <c r="F404" i="4"/>
  <c r="H404" i="4" s="1"/>
  <c r="F403" i="4"/>
  <c r="H403" i="4" s="1"/>
  <c r="F402" i="4"/>
  <c r="H402" i="4" s="1"/>
  <c r="F401" i="4"/>
  <c r="H401" i="4" s="1"/>
  <c r="H400" i="4"/>
  <c r="F399" i="4"/>
  <c r="H399" i="4" s="1"/>
  <c r="F398" i="4"/>
  <c r="H398" i="4" s="1"/>
  <c r="F397" i="4"/>
  <c r="H397" i="4" s="1"/>
  <c r="F396" i="4"/>
  <c r="H396" i="4" s="1"/>
  <c r="F395" i="4"/>
  <c r="H395" i="4" s="1"/>
  <c r="F394" i="4"/>
  <c r="H394" i="4" s="1"/>
  <c r="F393" i="4"/>
  <c r="H393" i="4" s="1"/>
  <c r="F392" i="4"/>
  <c r="H392" i="4" s="1"/>
  <c r="F391" i="4"/>
  <c r="H391" i="4" s="1"/>
  <c r="F390" i="4"/>
  <c r="H390" i="4" s="1"/>
  <c r="F389" i="4"/>
  <c r="H389" i="4" s="1"/>
  <c r="H388" i="4"/>
  <c r="F387" i="4"/>
  <c r="H387" i="4" s="1"/>
  <c r="F386" i="4"/>
  <c r="H386" i="4" s="1"/>
  <c r="F385" i="4"/>
  <c r="H385" i="4" s="1"/>
  <c r="F384" i="4"/>
  <c r="H384" i="4" s="1"/>
  <c r="F383" i="4"/>
  <c r="H383" i="4" s="1"/>
  <c r="F382" i="4"/>
  <c r="H382" i="4" s="1"/>
  <c r="F381" i="4"/>
  <c r="H381" i="4" s="1"/>
  <c r="F380" i="4"/>
  <c r="H380" i="4" s="1"/>
  <c r="F379" i="4"/>
  <c r="H379" i="4" s="1"/>
  <c r="F378" i="4"/>
  <c r="H378" i="4" s="1"/>
  <c r="F377" i="4"/>
  <c r="H377" i="4" s="1"/>
  <c r="H376" i="4"/>
  <c r="F375" i="4"/>
  <c r="H375" i="4" s="1"/>
  <c r="F374" i="4"/>
  <c r="H374" i="4" s="1"/>
  <c r="F373" i="4"/>
  <c r="H373" i="4" s="1"/>
  <c r="F372" i="4"/>
  <c r="H372" i="4" s="1"/>
  <c r="F371" i="4"/>
  <c r="H371" i="4" s="1"/>
  <c r="F370" i="4"/>
  <c r="H370" i="4" s="1"/>
  <c r="F369" i="4"/>
  <c r="H369" i="4" s="1"/>
  <c r="F368" i="4"/>
  <c r="H368" i="4" s="1"/>
  <c r="F367" i="4"/>
  <c r="H367" i="4" s="1"/>
  <c r="F366" i="4"/>
  <c r="H366" i="4" s="1"/>
  <c r="F365" i="4"/>
  <c r="H365" i="4" s="1"/>
  <c r="H364" i="4"/>
  <c r="F363" i="4"/>
  <c r="H363" i="4" s="1"/>
  <c r="F362" i="4"/>
  <c r="H362" i="4" s="1"/>
  <c r="F361" i="4"/>
  <c r="H361" i="4" s="1"/>
  <c r="F360" i="4"/>
  <c r="H360" i="4" s="1"/>
  <c r="F359" i="4"/>
  <c r="H359" i="4" s="1"/>
  <c r="F358" i="4"/>
  <c r="H358" i="4" s="1"/>
  <c r="F357" i="4"/>
  <c r="H357" i="4" s="1"/>
  <c r="F356" i="4"/>
  <c r="H356" i="4" s="1"/>
  <c r="F355" i="4"/>
  <c r="H355" i="4" s="1"/>
  <c r="F354" i="4"/>
  <c r="H354" i="4" s="1"/>
  <c r="F353" i="4"/>
  <c r="H353" i="4" s="1"/>
  <c r="H352" i="4"/>
  <c r="F351" i="4"/>
  <c r="H351" i="4" s="1"/>
  <c r="F350" i="4"/>
  <c r="H350" i="4" s="1"/>
  <c r="F349" i="4"/>
  <c r="H349" i="4" s="1"/>
  <c r="F348" i="4"/>
  <c r="H348" i="4" s="1"/>
  <c r="F347" i="4"/>
  <c r="H347" i="4" s="1"/>
  <c r="F346" i="4"/>
  <c r="H346" i="4" s="1"/>
  <c r="F345" i="4"/>
  <c r="H345" i="4" s="1"/>
  <c r="F344" i="4"/>
  <c r="H344" i="4" s="1"/>
  <c r="F343" i="4"/>
  <c r="H343" i="4" s="1"/>
  <c r="F342" i="4"/>
  <c r="H342" i="4" s="1"/>
  <c r="F341" i="4"/>
  <c r="H341" i="4" s="1"/>
  <c r="H340" i="4"/>
  <c r="F339" i="4"/>
  <c r="H339" i="4" s="1"/>
  <c r="F338" i="4"/>
  <c r="H338" i="4" s="1"/>
  <c r="F337" i="4"/>
  <c r="H337" i="4" s="1"/>
  <c r="F336" i="4"/>
  <c r="H336" i="4" s="1"/>
  <c r="F335" i="4"/>
  <c r="H335" i="4" s="1"/>
  <c r="F334" i="4"/>
  <c r="H334" i="4" s="1"/>
  <c r="F333" i="4"/>
  <c r="H333" i="4" s="1"/>
  <c r="F332" i="4"/>
  <c r="H332" i="4" s="1"/>
  <c r="F331" i="4"/>
  <c r="H331" i="4" s="1"/>
  <c r="F330" i="4"/>
  <c r="H330" i="4" s="1"/>
  <c r="F329" i="4"/>
  <c r="H329" i="4" s="1"/>
  <c r="H328" i="4"/>
  <c r="F327" i="4"/>
  <c r="H327" i="4" s="1"/>
  <c r="F326" i="4"/>
  <c r="H326" i="4" s="1"/>
  <c r="F325" i="4"/>
  <c r="H325" i="4" s="1"/>
  <c r="F324" i="4"/>
  <c r="H324" i="4" s="1"/>
  <c r="F323" i="4"/>
  <c r="H323" i="4" s="1"/>
  <c r="F322" i="4"/>
  <c r="H322" i="4" s="1"/>
  <c r="F321" i="4"/>
  <c r="H321" i="4" s="1"/>
  <c r="F320" i="4"/>
  <c r="H320" i="4" s="1"/>
  <c r="F319" i="4"/>
  <c r="H319" i="4" s="1"/>
  <c r="F318" i="4"/>
  <c r="H318" i="4" s="1"/>
  <c r="F317" i="4"/>
  <c r="H317" i="4" s="1"/>
  <c r="H316" i="4"/>
  <c r="F315" i="4"/>
  <c r="H315" i="4" s="1"/>
  <c r="F314" i="4"/>
  <c r="H314" i="4" s="1"/>
  <c r="F313" i="4"/>
  <c r="H313" i="4" s="1"/>
  <c r="F312" i="4"/>
  <c r="H312" i="4" s="1"/>
  <c r="F311" i="4"/>
  <c r="H311" i="4" s="1"/>
  <c r="F310" i="4"/>
  <c r="H310" i="4" s="1"/>
  <c r="F309" i="4"/>
  <c r="H309" i="4" s="1"/>
  <c r="F308" i="4"/>
  <c r="H308" i="4" s="1"/>
  <c r="F307" i="4"/>
  <c r="H307" i="4" s="1"/>
  <c r="F306" i="4"/>
  <c r="H306" i="4" s="1"/>
  <c r="F305" i="4"/>
  <c r="H305" i="4" s="1"/>
  <c r="H304" i="4"/>
  <c r="F303" i="4"/>
  <c r="H303" i="4" s="1"/>
  <c r="F302" i="4"/>
  <c r="H302" i="4" s="1"/>
  <c r="F301" i="4"/>
  <c r="H301" i="4" s="1"/>
  <c r="F300" i="4"/>
  <c r="H300" i="4" s="1"/>
  <c r="F299" i="4"/>
  <c r="H299" i="4" s="1"/>
  <c r="F298" i="4"/>
  <c r="H298" i="4" s="1"/>
  <c r="F297" i="4"/>
  <c r="H297" i="4" s="1"/>
  <c r="F296" i="4"/>
  <c r="H296" i="4" s="1"/>
  <c r="F295" i="4"/>
  <c r="H295" i="4" s="1"/>
  <c r="F294" i="4"/>
  <c r="H294" i="4" s="1"/>
  <c r="F293" i="4"/>
  <c r="H293" i="4" s="1"/>
  <c r="H292" i="4"/>
  <c r="F291" i="4"/>
  <c r="H291" i="4" s="1"/>
  <c r="J291" i="4" s="1"/>
  <c r="K291" i="4" s="1"/>
  <c r="F290" i="4"/>
  <c r="H290" i="4" s="1"/>
  <c r="J290" i="4" s="1"/>
  <c r="K290" i="4" s="1"/>
  <c r="F289" i="4"/>
  <c r="H289" i="4" s="1"/>
  <c r="J289" i="4" s="1"/>
  <c r="K289" i="4" s="1"/>
  <c r="F288" i="4"/>
  <c r="H288" i="4" s="1"/>
  <c r="J288" i="4" s="1"/>
  <c r="K288" i="4" s="1"/>
  <c r="F287" i="4"/>
  <c r="H287" i="4" s="1"/>
  <c r="J287" i="4" s="1"/>
  <c r="K287" i="4" s="1"/>
  <c r="F286" i="4"/>
  <c r="H286" i="4" s="1"/>
  <c r="J286" i="4" s="1"/>
  <c r="K286" i="4" s="1"/>
  <c r="F285" i="4"/>
  <c r="H285" i="4" s="1"/>
  <c r="J285" i="4" s="1"/>
  <c r="K285" i="4" s="1"/>
  <c r="F284" i="4"/>
  <c r="H284" i="4" s="1"/>
  <c r="J284" i="4" s="1"/>
  <c r="K284" i="4" s="1"/>
  <c r="F283" i="4"/>
  <c r="H283" i="4" s="1"/>
  <c r="J283" i="4" s="1"/>
  <c r="K283" i="4" s="1"/>
  <c r="F282" i="4"/>
  <c r="H282" i="4" s="1"/>
  <c r="J282" i="4" s="1"/>
  <c r="K282" i="4" s="1"/>
  <c r="F281" i="4"/>
  <c r="H281" i="4" s="1"/>
  <c r="J281" i="4" s="1"/>
  <c r="K281" i="4" s="1"/>
  <c r="H280" i="4"/>
  <c r="J280" i="4" s="1"/>
  <c r="K280" i="4" s="1"/>
  <c r="F279" i="4"/>
  <c r="H279" i="4" s="1"/>
  <c r="J279" i="4" s="1"/>
  <c r="K279" i="4" s="1"/>
  <c r="F278" i="4"/>
  <c r="H278" i="4" s="1"/>
  <c r="J278" i="4" s="1"/>
  <c r="K278" i="4" s="1"/>
  <c r="F277" i="4"/>
  <c r="H277" i="4" s="1"/>
  <c r="J277" i="4" s="1"/>
  <c r="K277" i="4" s="1"/>
  <c r="F276" i="4"/>
  <c r="H276" i="4" s="1"/>
  <c r="J276" i="4" s="1"/>
  <c r="K276" i="4" s="1"/>
  <c r="F275" i="4"/>
  <c r="H275" i="4" s="1"/>
  <c r="J275" i="4" s="1"/>
  <c r="K275" i="4" s="1"/>
  <c r="F274" i="4"/>
  <c r="H274" i="4" s="1"/>
  <c r="J274" i="4" s="1"/>
  <c r="K274" i="4" s="1"/>
  <c r="F273" i="4"/>
  <c r="H273" i="4" s="1"/>
  <c r="J273" i="4" s="1"/>
  <c r="K273" i="4" s="1"/>
  <c r="F272" i="4"/>
  <c r="H272" i="4" s="1"/>
  <c r="J272" i="4" s="1"/>
  <c r="K272" i="4" s="1"/>
  <c r="F271" i="4"/>
  <c r="H271" i="4" s="1"/>
  <c r="J271" i="4" s="1"/>
  <c r="K271" i="4" s="1"/>
  <c r="F270" i="4"/>
  <c r="H270" i="4" s="1"/>
  <c r="J270" i="4" s="1"/>
  <c r="K270" i="4" s="1"/>
  <c r="F269" i="4"/>
  <c r="H269" i="4" s="1"/>
  <c r="J269" i="4" s="1"/>
  <c r="K269" i="4" s="1"/>
  <c r="H268" i="4"/>
  <c r="J268" i="4" s="1"/>
  <c r="K268" i="4" s="1"/>
  <c r="F267" i="4"/>
  <c r="H267" i="4" s="1"/>
  <c r="J267" i="4" s="1"/>
  <c r="K267" i="4" s="1"/>
  <c r="F266" i="4"/>
  <c r="H266" i="4" s="1"/>
  <c r="J266" i="4" s="1"/>
  <c r="K266" i="4" s="1"/>
  <c r="F265" i="4"/>
  <c r="H265" i="4" s="1"/>
  <c r="J265" i="4" s="1"/>
  <c r="K265" i="4" s="1"/>
  <c r="F264" i="4"/>
  <c r="H264" i="4" s="1"/>
  <c r="J264" i="4" s="1"/>
  <c r="K264" i="4" s="1"/>
  <c r="F263" i="4"/>
  <c r="H263" i="4" s="1"/>
  <c r="J263" i="4" s="1"/>
  <c r="K263" i="4" s="1"/>
  <c r="F262" i="4"/>
  <c r="H262" i="4" s="1"/>
  <c r="J262" i="4" s="1"/>
  <c r="K262" i="4" s="1"/>
  <c r="F261" i="4"/>
  <c r="H261" i="4" s="1"/>
  <c r="J261" i="4" s="1"/>
  <c r="K261" i="4" s="1"/>
  <c r="F260" i="4"/>
  <c r="H260" i="4" s="1"/>
  <c r="J260" i="4" s="1"/>
  <c r="K260" i="4" s="1"/>
  <c r="F259" i="4"/>
  <c r="H259" i="4" s="1"/>
  <c r="J259" i="4" s="1"/>
  <c r="K259" i="4" s="1"/>
  <c r="F258" i="4"/>
  <c r="H258" i="4" s="1"/>
  <c r="J258" i="4" s="1"/>
  <c r="K258" i="4" s="1"/>
  <c r="F257" i="4"/>
  <c r="H257" i="4" s="1"/>
  <c r="J257" i="4" s="1"/>
  <c r="K257" i="4" s="1"/>
  <c r="H256" i="4"/>
  <c r="J256" i="4" s="1"/>
  <c r="K256" i="4" s="1"/>
  <c r="F255" i="4"/>
  <c r="H255" i="4" s="1"/>
  <c r="J255" i="4" s="1"/>
  <c r="K255" i="4" s="1"/>
  <c r="F254" i="4"/>
  <c r="H254" i="4" s="1"/>
  <c r="J254" i="4" s="1"/>
  <c r="K254" i="4" s="1"/>
  <c r="F253" i="4"/>
  <c r="H253" i="4" s="1"/>
  <c r="J253" i="4" s="1"/>
  <c r="K253" i="4" s="1"/>
  <c r="F252" i="4"/>
  <c r="H252" i="4" s="1"/>
  <c r="J252" i="4" s="1"/>
  <c r="K252" i="4" s="1"/>
  <c r="F251" i="4"/>
  <c r="H251" i="4" s="1"/>
  <c r="J251" i="4" s="1"/>
  <c r="K251" i="4" s="1"/>
  <c r="F250" i="4"/>
  <c r="H250" i="4" s="1"/>
  <c r="J250" i="4" s="1"/>
  <c r="K250" i="4" s="1"/>
  <c r="F249" i="4"/>
  <c r="H249" i="4" s="1"/>
  <c r="J249" i="4" s="1"/>
  <c r="K249" i="4" s="1"/>
  <c r="F248" i="4"/>
  <c r="H248" i="4" s="1"/>
  <c r="J248" i="4" s="1"/>
  <c r="K248" i="4" s="1"/>
  <c r="F247" i="4"/>
  <c r="H247" i="4" s="1"/>
  <c r="J247" i="4" s="1"/>
  <c r="K247" i="4" s="1"/>
  <c r="F246" i="4"/>
  <c r="H246" i="4" s="1"/>
  <c r="J246" i="4" s="1"/>
  <c r="K246" i="4" s="1"/>
  <c r="F245" i="4"/>
  <c r="H245" i="4" s="1"/>
  <c r="J245" i="4" s="1"/>
  <c r="K245" i="4" s="1"/>
  <c r="H244" i="4"/>
  <c r="J244" i="4" s="1"/>
  <c r="K244" i="4" s="1"/>
  <c r="F243" i="4"/>
  <c r="H243" i="4" s="1"/>
  <c r="J243" i="4" s="1"/>
  <c r="K243" i="4" s="1"/>
  <c r="F242" i="4"/>
  <c r="H242" i="4" s="1"/>
  <c r="J242" i="4" s="1"/>
  <c r="K242" i="4" s="1"/>
  <c r="F241" i="4"/>
  <c r="H241" i="4" s="1"/>
  <c r="J241" i="4" s="1"/>
  <c r="K241" i="4" s="1"/>
  <c r="F240" i="4"/>
  <c r="H240" i="4" s="1"/>
  <c r="J240" i="4" s="1"/>
  <c r="K240" i="4" s="1"/>
  <c r="F239" i="4"/>
  <c r="H239" i="4" s="1"/>
  <c r="J239" i="4" s="1"/>
  <c r="K239" i="4" s="1"/>
  <c r="F238" i="4"/>
  <c r="H238" i="4" s="1"/>
  <c r="J238" i="4" s="1"/>
  <c r="K238" i="4" s="1"/>
  <c r="F237" i="4"/>
  <c r="H237" i="4" s="1"/>
  <c r="J237" i="4" s="1"/>
  <c r="K237" i="4" s="1"/>
  <c r="F236" i="4"/>
  <c r="H236" i="4" s="1"/>
  <c r="J236" i="4" s="1"/>
  <c r="K236" i="4" s="1"/>
  <c r="F235" i="4"/>
  <c r="H235" i="4" s="1"/>
  <c r="J235" i="4" s="1"/>
  <c r="K235" i="4" s="1"/>
  <c r="F234" i="4"/>
  <c r="H234" i="4" s="1"/>
  <c r="J234" i="4" s="1"/>
  <c r="K234" i="4" s="1"/>
  <c r="F233" i="4"/>
  <c r="H233" i="4" s="1"/>
  <c r="J233" i="4" s="1"/>
  <c r="K233" i="4" s="1"/>
  <c r="H232" i="4"/>
  <c r="J232" i="4" s="1"/>
  <c r="K232" i="4" s="1"/>
  <c r="F231" i="4"/>
  <c r="H231" i="4" s="1"/>
  <c r="J231" i="4" s="1"/>
  <c r="K231" i="4" s="1"/>
  <c r="F230" i="4"/>
  <c r="H230" i="4" s="1"/>
  <c r="J230" i="4" s="1"/>
  <c r="K230" i="4" s="1"/>
  <c r="F229" i="4"/>
  <c r="H229" i="4" s="1"/>
  <c r="J229" i="4" s="1"/>
  <c r="K229" i="4" s="1"/>
  <c r="F228" i="4"/>
  <c r="H228" i="4" s="1"/>
  <c r="J228" i="4" s="1"/>
  <c r="K228" i="4" s="1"/>
  <c r="F227" i="4"/>
  <c r="H227" i="4" s="1"/>
  <c r="J227" i="4" s="1"/>
  <c r="K227" i="4" s="1"/>
  <c r="F226" i="4"/>
  <c r="H226" i="4" s="1"/>
  <c r="J226" i="4" s="1"/>
  <c r="K226" i="4" s="1"/>
  <c r="F225" i="4"/>
  <c r="H225" i="4" s="1"/>
  <c r="J225" i="4" s="1"/>
  <c r="K225" i="4" s="1"/>
  <c r="F224" i="4"/>
  <c r="H224" i="4" s="1"/>
  <c r="J224" i="4" s="1"/>
  <c r="K224" i="4" s="1"/>
  <c r="F223" i="4"/>
  <c r="H223" i="4" s="1"/>
  <c r="J223" i="4" s="1"/>
  <c r="K223" i="4" s="1"/>
  <c r="F222" i="4"/>
  <c r="H222" i="4" s="1"/>
  <c r="J222" i="4" s="1"/>
  <c r="K222" i="4" s="1"/>
  <c r="F221" i="4"/>
  <c r="H221" i="4" s="1"/>
  <c r="J221" i="4" s="1"/>
  <c r="K221" i="4" s="1"/>
  <c r="H220" i="4"/>
  <c r="J220" i="4" s="1"/>
  <c r="K220" i="4" s="1"/>
  <c r="F219" i="4"/>
  <c r="H219" i="4" s="1"/>
  <c r="J219" i="4" s="1"/>
  <c r="K219" i="4" s="1"/>
  <c r="F218" i="4"/>
  <c r="H218" i="4" s="1"/>
  <c r="J218" i="4" s="1"/>
  <c r="K218" i="4" s="1"/>
  <c r="F217" i="4"/>
  <c r="H217" i="4" s="1"/>
  <c r="J217" i="4" s="1"/>
  <c r="K217" i="4" s="1"/>
  <c r="F216" i="4"/>
  <c r="H216" i="4" s="1"/>
  <c r="J216" i="4" s="1"/>
  <c r="K216" i="4" s="1"/>
  <c r="F215" i="4"/>
  <c r="H215" i="4" s="1"/>
  <c r="J215" i="4" s="1"/>
  <c r="K215" i="4" s="1"/>
  <c r="F214" i="4"/>
  <c r="H214" i="4" s="1"/>
  <c r="J214" i="4" s="1"/>
  <c r="K214" i="4" s="1"/>
  <c r="F213" i="4"/>
  <c r="H213" i="4" s="1"/>
  <c r="J213" i="4" s="1"/>
  <c r="K213" i="4" s="1"/>
  <c r="F212" i="4"/>
  <c r="H212" i="4" s="1"/>
  <c r="J212" i="4" s="1"/>
  <c r="K212" i="4" s="1"/>
  <c r="F211" i="4"/>
  <c r="H211" i="4" s="1"/>
  <c r="J211" i="4" s="1"/>
  <c r="K211" i="4" s="1"/>
  <c r="F210" i="4"/>
  <c r="H210" i="4" s="1"/>
  <c r="J210" i="4" s="1"/>
  <c r="K210" i="4" s="1"/>
  <c r="F209" i="4"/>
  <c r="H209" i="4" s="1"/>
  <c r="J209" i="4" s="1"/>
  <c r="K209" i="4" s="1"/>
  <c r="H208" i="4"/>
  <c r="J208" i="4" s="1"/>
  <c r="K208" i="4" s="1"/>
  <c r="F207" i="4"/>
  <c r="H207" i="4" s="1"/>
  <c r="J207" i="4" s="1"/>
  <c r="K207" i="4" s="1"/>
  <c r="F206" i="4"/>
  <c r="H206" i="4" s="1"/>
  <c r="J206" i="4" s="1"/>
  <c r="K206" i="4" s="1"/>
  <c r="F205" i="4"/>
  <c r="H205" i="4" s="1"/>
  <c r="J205" i="4" s="1"/>
  <c r="K205" i="4" s="1"/>
  <c r="F204" i="4"/>
  <c r="H204" i="4" s="1"/>
  <c r="J204" i="4" s="1"/>
  <c r="K204" i="4" s="1"/>
  <c r="F203" i="4"/>
  <c r="H203" i="4" s="1"/>
  <c r="J203" i="4" s="1"/>
  <c r="K203" i="4" s="1"/>
  <c r="F202" i="4"/>
  <c r="H202" i="4" s="1"/>
  <c r="J202" i="4" s="1"/>
  <c r="K202" i="4" s="1"/>
  <c r="F201" i="4"/>
  <c r="H201" i="4" s="1"/>
  <c r="J201" i="4" s="1"/>
  <c r="K201" i="4" s="1"/>
  <c r="F200" i="4"/>
  <c r="H200" i="4" s="1"/>
  <c r="J200" i="4" s="1"/>
  <c r="K200" i="4" s="1"/>
  <c r="F199" i="4"/>
  <c r="H199" i="4" s="1"/>
  <c r="J199" i="4" s="1"/>
  <c r="K199" i="4" s="1"/>
  <c r="F198" i="4"/>
  <c r="H198" i="4" s="1"/>
  <c r="J198" i="4" s="1"/>
  <c r="K198" i="4" s="1"/>
  <c r="F197" i="4"/>
  <c r="H197" i="4" s="1"/>
  <c r="J197" i="4" s="1"/>
  <c r="K197" i="4" s="1"/>
  <c r="H196" i="4"/>
  <c r="J196" i="4" s="1"/>
  <c r="K196" i="4" s="1"/>
  <c r="F195" i="4"/>
  <c r="H195" i="4" s="1"/>
  <c r="J195" i="4" s="1"/>
  <c r="K195" i="4" s="1"/>
  <c r="F194" i="4"/>
  <c r="H194" i="4" s="1"/>
  <c r="J194" i="4" s="1"/>
  <c r="K194" i="4" s="1"/>
  <c r="F193" i="4"/>
  <c r="H193" i="4" s="1"/>
  <c r="J193" i="4" s="1"/>
  <c r="K193" i="4" s="1"/>
  <c r="F192" i="4"/>
  <c r="H192" i="4" s="1"/>
  <c r="J192" i="4" s="1"/>
  <c r="K192" i="4" s="1"/>
  <c r="F191" i="4"/>
  <c r="H191" i="4" s="1"/>
  <c r="J191" i="4" s="1"/>
  <c r="K191" i="4" s="1"/>
  <c r="F190" i="4"/>
  <c r="H190" i="4" s="1"/>
  <c r="J190" i="4" s="1"/>
  <c r="K190" i="4" s="1"/>
  <c r="F189" i="4"/>
  <c r="H189" i="4" s="1"/>
  <c r="J189" i="4" s="1"/>
  <c r="K189" i="4" s="1"/>
  <c r="F188" i="4"/>
  <c r="H188" i="4" s="1"/>
  <c r="J188" i="4" s="1"/>
  <c r="K188" i="4" s="1"/>
  <c r="F187" i="4"/>
  <c r="H187" i="4" s="1"/>
  <c r="J187" i="4" s="1"/>
  <c r="K187" i="4" s="1"/>
  <c r="F186" i="4"/>
  <c r="H186" i="4" s="1"/>
  <c r="J186" i="4" s="1"/>
  <c r="K186" i="4" s="1"/>
  <c r="F185" i="4"/>
  <c r="H185" i="4" s="1"/>
  <c r="J185" i="4" s="1"/>
  <c r="K185" i="4" s="1"/>
  <c r="H184" i="4"/>
  <c r="J184" i="4" s="1"/>
  <c r="K184" i="4" s="1"/>
  <c r="F183" i="4"/>
  <c r="H183" i="4" s="1"/>
  <c r="J183" i="4" s="1"/>
  <c r="K183" i="4" s="1"/>
  <c r="F182" i="4"/>
  <c r="H182" i="4" s="1"/>
  <c r="J182" i="4" s="1"/>
  <c r="K182" i="4" s="1"/>
  <c r="F181" i="4"/>
  <c r="H181" i="4" s="1"/>
  <c r="J181" i="4" s="1"/>
  <c r="K181" i="4" s="1"/>
  <c r="F180" i="4"/>
  <c r="H180" i="4" s="1"/>
  <c r="J180" i="4" s="1"/>
  <c r="K180" i="4" s="1"/>
  <c r="F179" i="4"/>
  <c r="H179" i="4" s="1"/>
  <c r="J179" i="4" s="1"/>
  <c r="K179" i="4" s="1"/>
  <c r="F178" i="4"/>
  <c r="H178" i="4" s="1"/>
  <c r="J178" i="4" s="1"/>
  <c r="K178" i="4" s="1"/>
  <c r="F177" i="4"/>
  <c r="H177" i="4" s="1"/>
  <c r="J177" i="4" s="1"/>
  <c r="K177" i="4" s="1"/>
  <c r="F176" i="4"/>
  <c r="H176" i="4" s="1"/>
  <c r="J176" i="4" s="1"/>
  <c r="K176" i="4" s="1"/>
  <c r="F175" i="4"/>
  <c r="H175" i="4" s="1"/>
  <c r="J175" i="4" s="1"/>
  <c r="K175" i="4" s="1"/>
  <c r="F174" i="4"/>
  <c r="H174" i="4" s="1"/>
  <c r="J174" i="4" s="1"/>
  <c r="K174" i="4" s="1"/>
  <c r="F173" i="4"/>
  <c r="H173" i="4" s="1"/>
  <c r="J173" i="4" s="1"/>
  <c r="K173" i="4" s="1"/>
  <c r="H172" i="4"/>
  <c r="J172" i="4" s="1"/>
  <c r="K172" i="4" s="1"/>
  <c r="F171" i="4"/>
  <c r="H171" i="4" s="1"/>
  <c r="J171" i="4" s="1"/>
  <c r="K171" i="4" s="1"/>
  <c r="F170" i="4"/>
  <c r="H170" i="4" s="1"/>
  <c r="J170" i="4" s="1"/>
  <c r="K170" i="4" s="1"/>
  <c r="F169" i="4"/>
  <c r="H169" i="4" s="1"/>
  <c r="J169" i="4" s="1"/>
  <c r="K169" i="4" s="1"/>
  <c r="F168" i="4"/>
  <c r="H168" i="4" s="1"/>
  <c r="J168" i="4" s="1"/>
  <c r="K168" i="4" s="1"/>
  <c r="F167" i="4"/>
  <c r="H167" i="4" s="1"/>
  <c r="J167" i="4" s="1"/>
  <c r="K167" i="4" s="1"/>
  <c r="F166" i="4"/>
  <c r="H166" i="4" s="1"/>
  <c r="J166" i="4" s="1"/>
  <c r="K166" i="4" s="1"/>
  <c r="F165" i="4"/>
  <c r="H165" i="4" s="1"/>
  <c r="J165" i="4" s="1"/>
  <c r="K165" i="4" s="1"/>
  <c r="F164" i="4"/>
  <c r="H164" i="4" s="1"/>
  <c r="J164" i="4" s="1"/>
  <c r="K164" i="4" s="1"/>
  <c r="F163" i="4"/>
  <c r="H163" i="4" s="1"/>
  <c r="J163" i="4" s="1"/>
  <c r="K163" i="4" s="1"/>
  <c r="F162" i="4"/>
  <c r="H162" i="4" s="1"/>
  <c r="J162" i="4" s="1"/>
  <c r="K162" i="4" s="1"/>
  <c r="F161" i="4"/>
  <c r="H161" i="4" s="1"/>
  <c r="J161" i="4" s="1"/>
  <c r="K161" i="4" s="1"/>
  <c r="H160" i="4"/>
  <c r="J160" i="4" s="1"/>
  <c r="K160" i="4" s="1"/>
  <c r="F159" i="4"/>
  <c r="H159" i="4" s="1"/>
  <c r="J159" i="4" s="1"/>
  <c r="K159" i="4" s="1"/>
  <c r="F158" i="4"/>
  <c r="H158" i="4" s="1"/>
  <c r="J158" i="4" s="1"/>
  <c r="K158" i="4" s="1"/>
  <c r="F157" i="4"/>
  <c r="H157" i="4" s="1"/>
  <c r="J157" i="4" s="1"/>
  <c r="K157" i="4" s="1"/>
  <c r="F156" i="4"/>
  <c r="H156" i="4" s="1"/>
  <c r="J156" i="4" s="1"/>
  <c r="K156" i="4" s="1"/>
  <c r="F155" i="4"/>
  <c r="H155" i="4" s="1"/>
  <c r="J155" i="4" s="1"/>
  <c r="K155" i="4" s="1"/>
  <c r="F154" i="4"/>
  <c r="H154" i="4" s="1"/>
  <c r="J154" i="4" s="1"/>
  <c r="K154" i="4" s="1"/>
  <c r="F153" i="4"/>
  <c r="H153" i="4" s="1"/>
  <c r="J153" i="4" s="1"/>
  <c r="K153" i="4" s="1"/>
  <c r="F152" i="4"/>
  <c r="H152" i="4" s="1"/>
  <c r="J152" i="4" s="1"/>
  <c r="K152" i="4" s="1"/>
  <c r="F151" i="4"/>
  <c r="H151" i="4" s="1"/>
  <c r="J151" i="4" s="1"/>
  <c r="K151" i="4" s="1"/>
  <c r="F150" i="4"/>
  <c r="H150" i="4" s="1"/>
  <c r="J150" i="4" s="1"/>
  <c r="K150" i="4" s="1"/>
  <c r="F149" i="4"/>
  <c r="H149" i="4" s="1"/>
  <c r="J149" i="4" s="1"/>
  <c r="K149" i="4" s="1"/>
  <c r="H148" i="4"/>
  <c r="J148" i="4" s="1"/>
  <c r="K148" i="4" s="1"/>
  <c r="F147" i="4"/>
  <c r="H147" i="4" s="1"/>
  <c r="J147" i="4" s="1"/>
  <c r="K147" i="4" s="1"/>
  <c r="F146" i="4"/>
  <c r="H146" i="4" s="1"/>
  <c r="J146" i="4" s="1"/>
  <c r="K146" i="4" s="1"/>
  <c r="F145" i="4"/>
  <c r="H145" i="4" s="1"/>
  <c r="J145" i="4" s="1"/>
  <c r="K145" i="4" s="1"/>
  <c r="F144" i="4"/>
  <c r="H144" i="4" s="1"/>
  <c r="J144" i="4" s="1"/>
  <c r="K144" i="4" s="1"/>
  <c r="F143" i="4"/>
  <c r="H143" i="4" s="1"/>
  <c r="J143" i="4" s="1"/>
  <c r="K143" i="4" s="1"/>
  <c r="F142" i="4"/>
  <c r="H142" i="4" s="1"/>
  <c r="J142" i="4" s="1"/>
  <c r="K142" i="4" s="1"/>
  <c r="F141" i="4"/>
  <c r="H141" i="4" s="1"/>
  <c r="J141" i="4" s="1"/>
  <c r="K141" i="4" s="1"/>
  <c r="F140" i="4"/>
  <c r="H140" i="4" s="1"/>
  <c r="J140" i="4" s="1"/>
  <c r="K140" i="4" s="1"/>
  <c r="F139" i="4"/>
  <c r="H139" i="4" s="1"/>
  <c r="J139" i="4" s="1"/>
  <c r="K139" i="4" s="1"/>
  <c r="F138" i="4"/>
  <c r="H138" i="4" s="1"/>
  <c r="J138" i="4" s="1"/>
  <c r="K138" i="4" s="1"/>
  <c r="F137" i="4"/>
  <c r="H137" i="4" s="1"/>
  <c r="J137" i="4" s="1"/>
  <c r="K137" i="4" s="1"/>
  <c r="H136" i="4"/>
  <c r="J136" i="4" s="1"/>
  <c r="K136" i="4" s="1"/>
  <c r="F135" i="4"/>
  <c r="H135" i="4" s="1"/>
  <c r="J135" i="4" s="1"/>
  <c r="K135" i="4" s="1"/>
  <c r="F134" i="4"/>
  <c r="H134" i="4" s="1"/>
  <c r="J134" i="4" s="1"/>
  <c r="K134" i="4" s="1"/>
  <c r="F133" i="4"/>
  <c r="H133" i="4" s="1"/>
  <c r="J133" i="4" s="1"/>
  <c r="K133" i="4" s="1"/>
  <c r="F132" i="4"/>
  <c r="H132" i="4" s="1"/>
  <c r="J132" i="4" s="1"/>
  <c r="K132" i="4" s="1"/>
  <c r="F131" i="4"/>
  <c r="H131" i="4" s="1"/>
  <c r="J131" i="4" s="1"/>
  <c r="K131" i="4" s="1"/>
  <c r="F130" i="4"/>
  <c r="H130" i="4" s="1"/>
  <c r="J130" i="4" s="1"/>
  <c r="K130" i="4" s="1"/>
  <c r="F129" i="4"/>
  <c r="H129" i="4" s="1"/>
  <c r="J129" i="4" s="1"/>
  <c r="K129" i="4" s="1"/>
  <c r="F128" i="4"/>
  <c r="H128" i="4" s="1"/>
  <c r="J128" i="4" s="1"/>
  <c r="K128" i="4" s="1"/>
  <c r="F127" i="4"/>
  <c r="H127" i="4" s="1"/>
  <c r="J127" i="4" s="1"/>
  <c r="K127" i="4" s="1"/>
  <c r="F126" i="4"/>
  <c r="H126" i="4" s="1"/>
  <c r="J126" i="4" s="1"/>
  <c r="K126" i="4" s="1"/>
  <c r="F125" i="4"/>
  <c r="H125" i="4" s="1"/>
  <c r="J125" i="4" s="1"/>
  <c r="K125" i="4" s="1"/>
  <c r="H124" i="4"/>
  <c r="J124" i="4" s="1"/>
  <c r="K124" i="4" s="1"/>
  <c r="F123" i="4"/>
  <c r="H123" i="4" s="1"/>
  <c r="J123" i="4" s="1"/>
  <c r="K123" i="4" s="1"/>
  <c r="F122" i="4"/>
  <c r="H122" i="4" s="1"/>
  <c r="J122" i="4" s="1"/>
  <c r="K122" i="4" s="1"/>
  <c r="F121" i="4"/>
  <c r="H121" i="4" s="1"/>
  <c r="J121" i="4" s="1"/>
  <c r="K121" i="4" s="1"/>
  <c r="F120" i="4"/>
  <c r="H120" i="4" s="1"/>
  <c r="J120" i="4" s="1"/>
  <c r="K120" i="4" s="1"/>
  <c r="F119" i="4"/>
  <c r="H119" i="4" s="1"/>
  <c r="J119" i="4" s="1"/>
  <c r="K119" i="4" s="1"/>
  <c r="F118" i="4"/>
  <c r="H118" i="4" s="1"/>
  <c r="J118" i="4" s="1"/>
  <c r="K118" i="4" s="1"/>
  <c r="F117" i="4"/>
  <c r="H117" i="4" s="1"/>
  <c r="J117" i="4" s="1"/>
  <c r="K117" i="4" s="1"/>
  <c r="F116" i="4"/>
  <c r="H116" i="4" s="1"/>
  <c r="J116" i="4" s="1"/>
  <c r="K116" i="4" s="1"/>
  <c r="F115" i="4"/>
  <c r="H115" i="4" s="1"/>
  <c r="J115" i="4" s="1"/>
  <c r="K115" i="4" s="1"/>
  <c r="F114" i="4"/>
  <c r="H114" i="4" s="1"/>
  <c r="J114" i="4" s="1"/>
  <c r="K114" i="4" s="1"/>
  <c r="F113" i="4"/>
  <c r="H113" i="4" s="1"/>
  <c r="J113" i="4" s="1"/>
  <c r="K113" i="4" s="1"/>
  <c r="H112" i="4"/>
  <c r="J112" i="4" s="1"/>
  <c r="K112" i="4" s="1"/>
  <c r="F111" i="4"/>
  <c r="H111" i="4" s="1"/>
  <c r="J111" i="4" s="1"/>
  <c r="K111" i="4" s="1"/>
  <c r="F110" i="4"/>
  <c r="H110" i="4" s="1"/>
  <c r="J110" i="4" s="1"/>
  <c r="K110" i="4" s="1"/>
  <c r="F109" i="4"/>
  <c r="H109" i="4" s="1"/>
  <c r="J109" i="4" s="1"/>
  <c r="K109" i="4" s="1"/>
  <c r="F108" i="4"/>
  <c r="H108" i="4" s="1"/>
  <c r="J108" i="4" s="1"/>
  <c r="K108" i="4" s="1"/>
  <c r="F107" i="4"/>
  <c r="H107" i="4" s="1"/>
  <c r="J107" i="4" s="1"/>
  <c r="K107" i="4" s="1"/>
  <c r="F106" i="4"/>
  <c r="H106" i="4" s="1"/>
  <c r="J106" i="4" s="1"/>
  <c r="K106" i="4" s="1"/>
  <c r="F105" i="4"/>
  <c r="H105" i="4" s="1"/>
  <c r="J105" i="4" s="1"/>
  <c r="K105" i="4" s="1"/>
  <c r="F104" i="4"/>
  <c r="H104" i="4" s="1"/>
  <c r="J104" i="4" s="1"/>
  <c r="K104" i="4" s="1"/>
  <c r="F103" i="4"/>
  <c r="H103" i="4" s="1"/>
  <c r="J103" i="4" s="1"/>
  <c r="K103" i="4" s="1"/>
  <c r="F102" i="4"/>
  <c r="H102" i="4" s="1"/>
  <c r="J102" i="4" s="1"/>
  <c r="K102" i="4" s="1"/>
  <c r="F101" i="4"/>
  <c r="H101" i="4" s="1"/>
  <c r="J101" i="4" s="1"/>
  <c r="K101" i="4" s="1"/>
  <c r="H100" i="4"/>
  <c r="J100" i="4" s="1"/>
  <c r="K100" i="4" s="1"/>
  <c r="F99" i="4"/>
  <c r="H99" i="4" s="1"/>
  <c r="J99" i="4" s="1"/>
  <c r="K99" i="4" s="1"/>
  <c r="F98" i="4"/>
  <c r="H98" i="4" s="1"/>
  <c r="J98" i="4" s="1"/>
  <c r="K98" i="4" s="1"/>
  <c r="F97" i="4"/>
  <c r="H97" i="4" s="1"/>
  <c r="J97" i="4" s="1"/>
  <c r="K97" i="4" s="1"/>
  <c r="F96" i="4"/>
  <c r="H96" i="4" s="1"/>
  <c r="J96" i="4" s="1"/>
  <c r="K96" i="4" s="1"/>
  <c r="F95" i="4"/>
  <c r="H95" i="4" s="1"/>
  <c r="J95" i="4" s="1"/>
  <c r="K95" i="4" s="1"/>
  <c r="F94" i="4"/>
  <c r="H94" i="4" s="1"/>
  <c r="J94" i="4" s="1"/>
  <c r="K94" i="4" s="1"/>
  <c r="F93" i="4"/>
  <c r="H93" i="4" s="1"/>
  <c r="J93" i="4" s="1"/>
  <c r="K93" i="4" s="1"/>
  <c r="F92" i="4"/>
  <c r="H92" i="4" s="1"/>
  <c r="J92" i="4" s="1"/>
  <c r="K92" i="4" s="1"/>
  <c r="F91" i="4"/>
  <c r="H91" i="4" s="1"/>
  <c r="J91" i="4" s="1"/>
  <c r="K91" i="4" s="1"/>
  <c r="F90" i="4"/>
  <c r="H90" i="4" s="1"/>
  <c r="J90" i="4" s="1"/>
  <c r="K90" i="4" s="1"/>
  <c r="F89" i="4"/>
  <c r="H89" i="4" s="1"/>
  <c r="J89" i="4" s="1"/>
  <c r="K89" i="4" s="1"/>
  <c r="H88" i="4"/>
  <c r="J88" i="4" s="1"/>
  <c r="K88" i="4" s="1"/>
  <c r="F87" i="4"/>
  <c r="H87" i="4" s="1"/>
  <c r="J87" i="4" s="1"/>
  <c r="K87" i="4" s="1"/>
  <c r="F86" i="4"/>
  <c r="H86" i="4" s="1"/>
  <c r="J86" i="4" s="1"/>
  <c r="K86" i="4" s="1"/>
  <c r="F85" i="4"/>
  <c r="H85" i="4" s="1"/>
  <c r="J85" i="4" s="1"/>
  <c r="K85" i="4" s="1"/>
  <c r="F84" i="4"/>
  <c r="H84" i="4" s="1"/>
  <c r="J84" i="4" s="1"/>
  <c r="K84" i="4" s="1"/>
  <c r="F83" i="4"/>
  <c r="H83" i="4" s="1"/>
  <c r="J83" i="4" s="1"/>
  <c r="K83" i="4" s="1"/>
  <c r="F82" i="4"/>
  <c r="H82" i="4" s="1"/>
  <c r="J82" i="4" s="1"/>
  <c r="K82" i="4" s="1"/>
  <c r="F81" i="4"/>
  <c r="H81" i="4" s="1"/>
  <c r="J81" i="4" s="1"/>
  <c r="K81" i="4" s="1"/>
  <c r="F80" i="4"/>
  <c r="H80" i="4" s="1"/>
  <c r="J80" i="4" s="1"/>
  <c r="K80" i="4" s="1"/>
  <c r="F79" i="4"/>
  <c r="H79" i="4" s="1"/>
  <c r="J79" i="4" s="1"/>
  <c r="K79" i="4" s="1"/>
  <c r="F78" i="4"/>
  <c r="H78" i="4" s="1"/>
  <c r="J78" i="4" s="1"/>
  <c r="K78" i="4" s="1"/>
  <c r="F77" i="4"/>
  <c r="H77" i="4" s="1"/>
  <c r="J77" i="4" s="1"/>
  <c r="K77" i="4" s="1"/>
  <c r="H76" i="4"/>
  <c r="J76" i="4" s="1"/>
  <c r="K76" i="4" s="1"/>
  <c r="F75" i="4"/>
  <c r="H75" i="4" s="1"/>
  <c r="J75" i="4" s="1"/>
  <c r="K75" i="4" s="1"/>
  <c r="F74" i="4"/>
  <c r="H74" i="4" s="1"/>
  <c r="J74" i="4" s="1"/>
  <c r="K74" i="4" s="1"/>
  <c r="F73" i="4"/>
  <c r="H73" i="4" s="1"/>
  <c r="J73" i="4" s="1"/>
  <c r="K73" i="4" s="1"/>
  <c r="F72" i="4"/>
  <c r="H72" i="4" s="1"/>
  <c r="J72" i="4" s="1"/>
  <c r="K72" i="4" s="1"/>
  <c r="F71" i="4"/>
  <c r="H71" i="4" s="1"/>
  <c r="J71" i="4" s="1"/>
  <c r="K71" i="4" s="1"/>
  <c r="F70" i="4"/>
  <c r="H70" i="4" s="1"/>
  <c r="J70" i="4" s="1"/>
  <c r="K70" i="4" s="1"/>
  <c r="F69" i="4"/>
  <c r="H69" i="4" s="1"/>
  <c r="J69" i="4" s="1"/>
  <c r="K69" i="4" s="1"/>
  <c r="F68" i="4"/>
  <c r="H68" i="4" s="1"/>
  <c r="J68" i="4" s="1"/>
  <c r="K68" i="4" s="1"/>
  <c r="F67" i="4"/>
  <c r="H67" i="4" s="1"/>
  <c r="J67" i="4" s="1"/>
  <c r="K67" i="4" s="1"/>
  <c r="F66" i="4"/>
  <c r="H66" i="4" s="1"/>
  <c r="J66" i="4" s="1"/>
  <c r="K66" i="4" s="1"/>
  <c r="F65" i="4"/>
  <c r="H65" i="4" s="1"/>
  <c r="J65" i="4" s="1"/>
  <c r="K65" i="4" s="1"/>
  <c r="H64" i="4"/>
  <c r="J64" i="4" s="1"/>
  <c r="K64" i="4" s="1"/>
  <c r="F63" i="4"/>
  <c r="H63" i="4" s="1"/>
  <c r="J63" i="4" s="1"/>
  <c r="K63" i="4" s="1"/>
  <c r="F62" i="4"/>
  <c r="H62" i="4" s="1"/>
  <c r="J62" i="4" s="1"/>
  <c r="K62" i="4" s="1"/>
  <c r="F61" i="4"/>
  <c r="H61" i="4" s="1"/>
  <c r="J61" i="4" s="1"/>
  <c r="K61" i="4" s="1"/>
  <c r="F60" i="4"/>
  <c r="H60" i="4" s="1"/>
  <c r="J60" i="4" s="1"/>
  <c r="K60" i="4" s="1"/>
  <c r="F59" i="4"/>
  <c r="H59" i="4" s="1"/>
  <c r="J59" i="4" s="1"/>
  <c r="K59" i="4" s="1"/>
  <c r="F58" i="4"/>
  <c r="H58" i="4" s="1"/>
  <c r="J58" i="4" s="1"/>
  <c r="K58" i="4" s="1"/>
  <c r="F57" i="4"/>
  <c r="H57" i="4" s="1"/>
  <c r="J57" i="4" s="1"/>
  <c r="K57" i="4" s="1"/>
  <c r="F56" i="4"/>
  <c r="H56" i="4" s="1"/>
  <c r="J56" i="4" s="1"/>
  <c r="K56" i="4" s="1"/>
  <c r="F55" i="4"/>
  <c r="H55" i="4" s="1"/>
  <c r="J55" i="4" s="1"/>
  <c r="K55" i="4" s="1"/>
  <c r="F54" i="4"/>
  <c r="H54" i="4" s="1"/>
  <c r="J54" i="4" s="1"/>
  <c r="K54" i="4" s="1"/>
  <c r="F53" i="4"/>
  <c r="H53" i="4" s="1"/>
  <c r="J53" i="4" s="1"/>
  <c r="K53" i="4" s="1"/>
  <c r="H52" i="4"/>
  <c r="J52" i="4" s="1"/>
  <c r="K52" i="4" s="1"/>
  <c r="F51" i="4"/>
  <c r="H51" i="4" s="1"/>
  <c r="J51" i="4" s="1"/>
  <c r="K51" i="4" s="1"/>
  <c r="F50" i="4"/>
  <c r="H50" i="4" s="1"/>
  <c r="J50" i="4" s="1"/>
  <c r="K50" i="4" s="1"/>
  <c r="F49" i="4"/>
  <c r="H49" i="4" s="1"/>
  <c r="J49" i="4" s="1"/>
  <c r="K49" i="4" s="1"/>
  <c r="F48" i="4"/>
  <c r="H48" i="4" s="1"/>
  <c r="J48" i="4" s="1"/>
  <c r="K48" i="4" s="1"/>
  <c r="F47" i="4"/>
  <c r="H47" i="4" s="1"/>
  <c r="J47" i="4" s="1"/>
  <c r="K47" i="4" s="1"/>
  <c r="F46" i="4"/>
  <c r="H46" i="4" s="1"/>
  <c r="J46" i="4" s="1"/>
  <c r="K46" i="4" s="1"/>
  <c r="F45" i="4"/>
  <c r="H45" i="4" s="1"/>
  <c r="J45" i="4" s="1"/>
  <c r="K45" i="4" s="1"/>
  <c r="F44" i="4"/>
  <c r="H44" i="4" s="1"/>
  <c r="J44" i="4" s="1"/>
  <c r="K44" i="4" s="1"/>
  <c r="F43" i="4"/>
  <c r="H43" i="4" s="1"/>
  <c r="J43" i="4" s="1"/>
  <c r="K43" i="4" s="1"/>
  <c r="F42" i="4"/>
  <c r="H42" i="4" s="1"/>
  <c r="J42" i="4" s="1"/>
  <c r="K42" i="4" s="1"/>
  <c r="F41" i="4"/>
  <c r="H41" i="4" s="1"/>
  <c r="J41" i="4" s="1"/>
  <c r="K41" i="4" s="1"/>
  <c r="H40" i="4"/>
  <c r="J40" i="4" s="1"/>
  <c r="K40" i="4" s="1"/>
  <c r="F39" i="4"/>
  <c r="H39" i="4" s="1"/>
  <c r="J39" i="4" s="1"/>
  <c r="K39" i="4" s="1"/>
  <c r="F38" i="4"/>
  <c r="H38" i="4" s="1"/>
  <c r="J38" i="4" s="1"/>
  <c r="K38" i="4" s="1"/>
  <c r="F37" i="4"/>
  <c r="H37" i="4" s="1"/>
  <c r="J37" i="4" s="1"/>
  <c r="K37" i="4" s="1"/>
  <c r="F36" i="4"/>
  <c r="H36" i="4" s="1"/>
  <c r="J36" i="4" s="1"/>
  <c r="K36" i="4" s="1"/>
  <c r="F35" i="4"/>
  <c r="H35" i="4" s="1"/>
  <c r="J35" i="4" s="1"/>
  <c r="K35" i="4" s="1"/>
  <c r="F34" i="4"/>
  <c r="H34" i="4" s="1"/>
  <c r="J34" i="4" s="1"/>
  <c r="K34" i="4" s="1"/>
  <c r="F33" i="4"/>
  <c r="H33" i="4" s="1"/>
  <c r="J33" i="4" s="1"/>
  <c r="K33" i="4" s="1"/>
  <c r="F32" i="4"/>
  <c r="H32" i="4" s="1"/>
  <c r="J32" i="4" s="1"/>
  <c r="K32" i="4" s="1"/>
  <c r="F31" i="4"/>
  <c r="H31" i="4" s="1"/>
  <c r="J31" i="4" s="1"/>
  <c r="K31" i="4" s="1"/>
  <c r="F30" i="4"/>
  <c r="H30" i="4" s="1"/>
  <c r="J30" i="4" s="1"/>
  <c r="K30" i="4" s="1"/>
  <c r="F29" i="4"/>
  <c r="H29" i="4" s="1"/>
  <c r="J29" i="4" s="1"/>
  <c r="K29" i="4" s="1"/>
  <c r="H28" i="4"/>
  <c r="J28" i="4" s="1"/>
  <c r="K28" i="4" s="1"/>
  <c r="F27" i="4"/>
  <c r="H27" i="4" s="1"/>
  <c r="J27" i="4" s="1"/>
  <c r="K27" i="4" s="1"/>
  <c r="F26" i="4"/>
  <c r="H26" i="4" s="1"/>
  <c r="J26" i="4" s="1"/>
  <c r="K26" i="4" s="1"/>
  <c r="F25" i="4"/>
  <c r="H25" i="4" s="1"/>
  <c r="J25" i="4" s="1"/>
  <c r="K25" i="4" s="1"/>
  <c r="F24" i="4"/>
  <c r="H24" i="4" s="1"/>
  <c r="J24" i="4" s="1"/>
  <c r="K24" i="4" s="1"/>
  <c r="F23" i="4"/>
  <c r="H23" i="4" s="1"/>
  <c r="J23" i="4" s="1"/>
  <c r="K23" i="4" s="1"/>
  <c r="F22" i="4"/>
  <c r="H22" i="4" s="1"/>
  <c r="J22" i="4" s="1"/>
  <c r="K22" i="4" s="1"/>
  <c r="F21" i="4"/>
  <c r="H21" i="4" s="1"/>
  <c r="J21" i="4" s="1"/>
  <c r="K21" i="4" s="1"/>
  <c r="F20" i="4"/>
  <c r="H20" i="4" s="1"/>
  <c r="J20" i="4" s="1"/>
  <c r="K20" i="4" s="1"/>
  <c r="F19" i="4"/>
  <c r="H19" i="4" s="1"/>
  <c r="J19" i="4" s="1"/>
  <c r="K19" i="4" s="1"/>
  <c r="F18" i="4"/>
  <c r="H18" i="4" s="1"/>
  <c r="J18" i="4" s="1"/>
  <c r="K18" i="4" s="1"/>
  <c r="F17" i="4"/>
  <c r="H17" i="4" s="1"/>
  <c r="J17" i="4" s="1"/>
  <c r="K17" i="4" s="1"/>
  <c r="H16" i="4"/>
  <c r="J16" i="4" s="1"/>
  <c r="K16" i="4" s="1"/>
  <c r="F15" i="4"/>
  <c r="H15" i="4" s="1"/>
  <c r="J15" i="4" s="1"/>
  <c r="K15" i="4" s="1"/>
  <c r="F14" i="4"/>
  <c r="H14" i="4" s="1"/>
  <c r="J14" i="4" s="1"/>
  <c r="K14" i="4" s="1"/>
  <c r="F13" i="4"/>
  <c r="H13" i="4" s="1"/>
  <c r="J13" i="4" s="1"/>
  <c r="K13" i="4" s="1"/>
  <c r="F12" i="4"/>
  <c r="H12" i="4" s="1"/>
  <c r="J12" i="4" s="1"/>
  <c r="K12" i="4" s="1"/>
  <c r="F11" i="4"/>
  <c r="H11" i="4" s="1"/>
  <c r="J11" i="4" s="1"/>
  <c r="K11" i="4" s="1"/>
  <c r="F10" i="4"/>
  <c r="H10" i="4" s="1"/>
  <c r="J10" i="4" s="1"/>
  <c r="K10" i="4" s="1"/>
  <c r="F9" i="4"/>
  <c r="H9" i="4" s="1"/>
  <c r="J9" i="4" s="1"/>
  <c r="K9" i="4" s="1"/>
  <c r="F8" i="4"/>
  <c r="H8" i="4" s="1"/>
  <c r="J8" i="4" s="1"/>
  <c r="K8" i="4" s="1"/>
  <c r="F7" i="4"/>
  <c r="H7" i="4" s="1"/>
  <c r="J7" i="4" s="1"/>
  <c r="K7" i="4" s="1"/>
  <c r="F6" i="4"/>
  <c r="H6" i="4" s="1"/>
  <c r="J6" i="4" s="1"/>
  <c r="K6" i="4" s="1"/>
  <c r="F5" i="4"/>
  <c r="H5" i="4" s="1"/>
  <c r="J5" i="4" s="1"/>
  <c r="K5" i="4" s="1"/>
  <c r="H4" i="4"/>
  <c r="J4" i="4" s="1"/>
  <c r="K4" i="4" s="1"/>
  <c r="L7" i="3"/>
  <c r="K7" i="3"/>
  <c r="N7" i="3" s="1"/>
  <c r="L8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L33" i="3"/>
  <c r="K33" i="3"/>
  <c r="L34" i="3"/>
  <c r="K34" i="3"/>
  <c r="M34" i="3" s="1"/>
  <c r="L35" i="3"/>
  <c r="K35" i="3"/>
  <c r="L36" i="3"/>
  <c r="K36" i="3"/>
  <c r="M36" i="3" s="1"/>
  <c r="L37" i="3"/>
  <c r="K37" i="3"/>
  <c r="L38" i="3"/>
  <c r="K38" i="3"/>
  <c r="M38" i="3" s="1"/>
  <c r="L39" i="3"/>
  <c r="K39" i="3"/>
  <c r="L40" i="3"/>
  <c r="K40" i="3"/>
  <c r="M40" i="3" s="1"/>
  <c r="L41" i="3"/>
  <c r="K41" i="3"/>
  <c r="L42" i="3"/>
  <c r="K42" i="3"/>
  <c r="M42" i="3" s="1"/>
  <c r="L43" i="3"/>
  <c r="K43" i="3"/>
  <c r="L44" i="3"/>
  <c r="K44" i="3"/>
  <c r="M44" i="3" s="1"/>
  <c r="L45" i="3"/>
  <c r="K45" i="3"/>
  <c r="L46" i="3"/>
  <c r="K46" i="3"/>
  <c r="L47" i="3"/>
  <c r="K47" i="3"/>
  <c r="L48" i="3"/>
  <c r="K48" i="3"/>
  <c r="M48" i="3" s="1"/>
  <c r="L49" i="3"/>
  <c r="K49" i="3"/>
  <c r="L50" i="3"/>
  <c r="K50" i="3"/>
  <c r="M50" i="3" s="1"/>
  <c r="L51" i="3"/>
  <c r="K51" i="3"/>
  <c r="L52" i="3"/>
  <c r="K52" i="3"/>
  <c r="M52" i="3" s="1"/>
  <c r="L53" i="3"/>
  <c r="K53" i="3"/>
  <c r="L54" i="3"/>
  <c r="K54" i="3"/>
  <c r="E55" i="3"/>
  <c r="F7" i="3"/>
  <c r="L32" i="3" l="1"/>
  <c r="M32" i="3" s="1"/>
  <c r="L30" i="3"/>
  <c r="L28" i="3"/>
  <c r="L26" i="3"/>
  <c r="L24" i="3"/>
  <c r="L22" i="3"/>
  <c r="L20" i="3"/>
  <c r="L18" i="3"/>
  <c r="L16" i="3"/>
  <c r="L14" i="3"/>
  <c r="L12" i="3"/>
  <c r="L10" i="3"/>
  <c r="L31" i="3"/>
  <c r="L29" i="3"/>
  <c r="L27" i="3"/>
  <c r="L25" i="3"/>
  <c r="L23" i="3"/>
  <c r="L21" i="3"/>
  <c r="L19" i="3"/>
  <c r="L17" i="3"/>
  <c r="L15" i="3"/>
  <c r="L13" i="3"/>
  <c r="L11" i="3"/>
  <c r="L9" i="3"/>
  <c r="M18" i="3"/>
  <c r="M14" i="3"/>
  <c r="M16" i="3"/>
  <c r="M53" i="3"/>
  <c r="M51" i="3"/>
  <c r="M49" i="3"/>
  <c r="M47" i="3"/>
  <c r="M45" i="3"/>
  <c r="M43" i="3"/>
  <c r="M41" i="3"/>
  <c r="M39" i="3"/>
  <c r="M37" i="3"/>
  <c r="M35" i="3"/>
  <c r="M33" i="3"/>
  <c r="M31" i="3"/>
  <c r="M17" i="3"/>
  <c r="M15" i="3"/>
  <c r="M13" i="3"/>
  <c r="M11" i="3"/>
  <c r="M9" i="3"/>
  <c r="M54" i="3"/>
  <c r="M46" i="3"/>
  <c r="M12" i="3"/>
  <c r="M10" i="3"/>
  <c r="M8" i="3"/>
  <c r="F55" i="3"/>
  <c r="G7" i="3"/>
  <c r="M30" i="3"/>
  <c r="N30" i="3"/>
  <c r="M29" i="3"/>
  <c r="N29" i="3"/>
  <c r="M28" i="3"/>
  <c r="N28" i="3"/>
  <c r="M27" i="3"/>
  <c r="N27" i="3"/>
  <c r="M26" i="3"/>
  <c r="N26" i="3"/>
  <c r="M25" i="3"/>
  <c r="N25" i="3"/>
  <c r="M24" i="3"/>
  <c r="N24" i="3"/>
  <c r="M23" i="3"/>
  <c r="N23" i="3"/>
  <c r="M22" i="3"/>
  <c r="N22" i="3"/>
  <c r="M21" i="3"/>
  <c r="N21" i="3"/>
  <c r="M20" i="3"/>
  <c r="N20" i="3"/>
  <c r="M19" i="3"/>
  <c r="N19" i="3"/>
  <c r="K55" i="3"/>
  <c r="M7" i="3"/>
  <c r="W54" i="3"/>
  <c r="W53" i="3"/>
  <c r="X53" i="3" s="1"/>
  <c r="W52" i="3"/>
  <c r="X52" i="3" s="1"/>
  <c r="W51" i="3"/>
  <c r="X51" i="3" s="1"/>
  <c r="W50" i="3"/>
  <c r="X50" i="3" s="1"/>
  <c r="W49" i="3"/>
  <c r="X49" i="3" s="1"/>
  <c r="W48" i="3"/>
  <c r="X48" i="3" s="1"/>
  <c r="W47" i="3"/>
  <c r="X47" i="3" s="1"/>
  <c r="W46" i="3"/>
  <c r="X46" i="3" s="1"/>
  <c r="W45" i="3"/>
  <c r="X45" i="3" s="1"/>
  <c r="W44" i="3"/>
  <c r="X44" i="3" s="1"/>
  <c r="W43" i="3"/>
  <c r="X43" i="3" s="1"/>
  <c r="W42" i="3"/>
  <c r="X42" i="3" s="1"/>
  <c r="W41" i="3"/>
  <c r="X41" i="3" s="1"/>
  <c r="W40" i="3"/>
  <c r="X40" i="3" s="1"/>
  <c r="W39" i="3"/>
  <c r="X39" i="3" s="1"/>
  <c r="W38" i="3"/>
  <c r="X38" i="3" s="1"/>
  <c r="W37" i="3"/>
  <c r="X37" i="3" s="1"/>
  <c r="W36" i="3"/>
  <c r="X36" i="3" s="1"/>
  <c r="W35" i="3"/>
  <c r="X35" i="3" s="1"/>
  <c r="W34" i="3"/>
  <c r="X34" i="3" s="1"/>
  <c r="W33" i="3"/>
  <c r="X33" i="3" s="1"/>
  <c r="W32" i="3"/>
  <c r="X32" i="3" s="1"/>
  <c r="W31" i="3"/>
  <c r="X31" i="3" s="1"/>
  <c r="W30" i="3"/>
  <c r="X30" i="3" s="1"/>
  <c r="W29" i="3"/>
  <c r="X29" i="3" s="1"/>
  <c r="W28" i="3"/>
  <c r="X28" i="3" s="1"/>
  <c r="W27" i="3"/>
  <c r="X27" i="3" s="1"/>
  <c r="W26" i="3"/>
  <c r="X26" i="3" s="1"/>
  <c r="W25" i="3"/>
  <c r="X25" i="3" s="1"/>
  <c r="W24" i="3"/>
  <c r="X24" i="3" s="1"/>
  <c r="W23" i="3"/>
  <c r="X23" i="3" s="1"/>
  <c r="W22" i="3"/>
  <c r="X22" i="3" s="1"/>
  <c r="W21" i="3"/>
  <c r="X21" i="3" s="1"/>
  <c r="W20" i="3"/>
  <c r="X20" i="3" s="1"/>
  <c r="W19" i="3"/>
  <c r="X19" i="3" s="1"/>
  <c r="W18" i="3"/>
  <c r="X18" i="3" s="1"/>
  <c r="W17" i="3"/>
  <c r="X17" i="3" s="1"/>
  <c r="W16" i="3"/>
  <c r="X16" i="3" s="1"/>
  <c r="W15" i="3"/>
  <c r="X15" i="3" s="1"/>
  <c r="W14" i="3"/>
  <c r="X14" i="3" s="1"/>
  <c r="W13" i="3"/>
  <c r="X13" i="3" s="1"/>
  <c r="W12" i="3"/>
  <c r="X12" i="3" s="1"/>
  <c r="W11" i="3"/>
  <c r="X11" i="3" s="1"/>
  <c r="W10" i="3"/>
  <c r="X10" i="3" s="1"/>
  <c r="W9" i="3"/>
  <c r="X9" i="3" s="1"/>
  <c r="W8" i="3"/>
  <c r="X8" i="3" s="1"/>
  <c r="W7" i="3"/>
  <c r="X7" i="3" s="1"/>
  <c r="L55" i="3"/>
  <c r="M4" i="3"/>
  <c r="W55" i="3" l="1"/>
  <c r="X54" i="3"/>
  <c r="X55" i="3" s="1"/>
  <c r="M55" i="3"/>
  <c r="Q7" i="3"/>
  <c r="N55" i="3"/>
  <c r="G55" i="3"/>
  <c r="V7" i="3"/>
  <c r="I7" i="3"/>
  <c r="J8" i="3" l="1"/>
  <c r="H8" i="3"/>
  <c r="U7" i="3"/>
  <c r="T7" i="3"/>
  <c r="AA7" i="3" l="1"/>
  <c r="O8" i="3"/>
  <c r="P8" i="3" s="1"/>
  <c r="Y7" i="3"/>
  <c r="Z7" i="3" s="1"/>
  <c r="V8" i="3"/>
  <c r="I8" i="3"/>
  <c r="J9" i="3" l="1"/>
  <c r="H9" i="3"/>
  <c r="Q8" i="3"/>
  <c r="T8" i="3" l="1"/>
  <c r="U8" i="3"/>
  <c r="V9" i="3"/>
  <c r="I9" i="3"/>
  <c r="J10" i="3" l="1"/>
  <c r="H10" i="3"/>
  <c r="O9" i="3"/>
  <c r="P9" i="3" s="1"/>
  <c r="Y8" i="3"/>
  <c r="Z8" i="3" s="1"/>
  <c r="AA8" i="3"/>
  <c r="Q9" i="3" l="1"/>
  <c r="V10" i="3"/>
  <c r="I10" i="3"/>
  <c r="J11" i="3" l="1"/>
  <c r="H11" i="3"/>
  <c r="T9" i="3"/>
  <c r="U9" i="3"/>
  <c r="O10" i="3" l="1"/>
  <c r="P10" i="3" s="1"/>
  <c r="Y9" i="3"/>
  <c r="Z9" i="3" s="1"/>
  <c r="AA9" i="3"/>
  <c r="V11" i="3"/>
  <c r="I11" i="3"/>
  <c r="J12" i="3" l="1"/>
  <c r="H12" i="3"/>
  <c r="Q10" i="3"/>
  <c r="T10" i="3" l="1"/>
  <c r="U10" i="3"/>
  <c r="V12" i="3"/>
  <c r="I12" i="3"/>
  <c r="J13" i="3" l="1"/>
  <c r="H13" i="3"/>
  <c r="O11" i="3"/>
  <c r="P11" i="3" s="1"/>
  <c r="Y10" i="3"/>
  <c r="Z10" i="3" s="1"/>
  <c r="AA10" i="3"/>
  <c r="Q11" i="3" l="1"/>
  <c r="V13" i="3"/>
  <c r="I13" i="3"/>
  <c r="J14" i="3" l="1"/>
  <c r="H14" i="3"/>
  <c r="T11" i="3"/>
  <c r="U11" i="3"/>
  <c r="O12" i="3" l="1"/>
  <c r="P12" i="3" s="1"/>
  <c r="Y11" i="3"/>
  <c r="Z11" i="3" s="1"/>
  <c r="AA11" i="3"/>
  <c r="V14" i="3"/>
  <c r="I14" i="3"/>
  <c r="J15" i="3" l="1"/>
  <c r="H15" i="3"/>
  <c r="Q12" i="3"/>
  <c r="T12" i="3" l="1"/>
  <c r="U12" i="3"/>
  <c r="V15" i="3"/>
  <c r="I15" i="3"/>
  <c r="J16" i="3" l="1"/>
  <c r="H16" i="3"/>
  <c r="O13" i="3"/>
  <c r="P13" i="3" s="1"/>
  <c r="Y12" i="3"/>
  <c r="Z12" i="3" s="1"/>
  <c r="AA12" i="3"/>
  <c r="Q13" i="3" l="1"/>
  <c r="V16" i="3"/>
  <c r="I16" i="3"/>
  <c r="J17" i="3" l="1"/>
  <c r="H17" i="3"/>
  <c r="T13" i="3"/>
  <c r="U13" i="3"/>
  <c r="O14" i="3" l="1"/>
  <c r="P14" i="3" s="1"/>
  <c r="Y13" i="3"/>
  <c r="Z13" i="3" s="1"/>
  <c r="AA13" i="3"/>
  <c r="V17" i="3"/>
  <c r="I17" i="3"/>
  <c r="J18" i="3" l="1"/>
  <c r="H18" i="3"/>
  <c r="I18" i="3" s="1"/>
  <c r="Q14" i="3"/>
  <c r="T14" i="3" l="1"/>
  <c r="U14" i="3"/>
  <c r="V18" i="3"/>
  <c r="J19" i="3" l="1"/>
  <c r="H19" i="3"/>
  <c r="O15" i="3"/>
  <c r="P15" i="3" s="1"/>
  <c r="Y14" i="3"/>
  <c r="Z14" i="3" s="1"/>
  <c r="AA14" i="3"/>
  <c r="Q15" i="3" l="1"/>
  <c r="V19" i="3"/>
  <c r="I19" i="3"/>
  <c r="J20" i="3" l="1"/>
  <c r="H20" i="3"/>
  <c r="T15" i="3"/>
  <c r="U15" i="3"/>
  <c r="O16" i="3" l="1"/>
  <c r="P16" i="3" s="1"/>
  <c r="Y15" i="3"/>
  <c r="Z15" i="3" s="1"/>
  <c r="AA15" i="3"/>
  <c r="V20" i="3"/>
  <c r="I20" i="3"/>
  <c r="J21" i="3" l="1"/>
  <c r="H21" i="3"/>
  <c r="Q16" i="3"/>
  <c r="T16" i="3" l="1"/>
  <c r="U16" i="3"/>
  <c r="V21" i="3"/>
  <c r="I21" i="3"/>
  <c r="J22" i="3" l="1"/>
  <c r="H22" i="3"/>
  <c r="O17" i="3"/>
  <c r="P17" i="3" s="1"/>
  <c r="Y16" i="3"/>
  <c r="Z16" i="3" s="1"/>
  <c r="AA16" i="3"/>
  <c r="Q17" i="3" l="1"/>
  <c r="V22" i="3"/>
  <c r="I22" i="3"/>
  <c r="J23" i="3" l="1"/>
  <c r="H23" i="3"/>
  <c r="T17" i="3"/>
  <c r="U17" i="3"/>
  <c r="O18" i="3" l="1"/>
  <c r="P18" i="3" s="1"/>
  <c r="Y17" i="3"/>
  <c r="Z17" i="3" s="1"/>
  <c r="AA17" i="3"/>
  <c r="V23" i="3"/>
  <c r="I23" i="3"/>
  <c r="J24" i="3" l="1"/>
  <c r="H24" i="3"/>
  <c r="Q18" i="3"/>
  <c r="T18" i="3" l="1"/>
  <c r="U18" i="3"/>
  <c r="V24" i="3"/>
  <c r="I24" i="3"/>
  <c r="J25" i="3" l="1"/>
  <c r="H25" i="3"/>
  <c r="O19" i="3"/>
  <c r="P19" i="3" s="1"/>
  <c r="Y18" i="3"/>
  <c r="Z18" i="3" s="1"/>
  <c r="AA18" i="3"/>
  <c r="Q19" i="3" l="1"/>
  <c r="V25" i="3"/>
  <c r="I25" i="3"/>
  <c r="J26" i="3" l="1"/>
  <c r="H26" i="3"/>
  <c r="T19" i="3"/>
  <c r="U19" i="3"/>
  <c r="O20" i="3" l="1"/>
  <c r="P20" i="3" s="1"/>
  <c r="Y19" i="3"/>
  <c r="Z19" i="3" s="1"/>
  <c r="AA19" i="3"/>
  <c r="V26" i="3"/>
  <c r="I26" i="3"/>
  <c r="J27" i="3" l="1"/>
  <c r="H27" i="3"/>
  <c r="Q20" i="3"/>
  <c r="T20" i="3" l="1"/>
  <c r="U20" i="3"/>
  <c r="V27" i="3"/>
  <c r="I27" i="3"/>
  <c r="J28" i="3" l="1"/>
  <c r="H28" i="3"/>
  <c r="O21" i="3"/>
  <c r="P21" i="3" s="1"/>
  <c r="Y20" i="3"/>
  <c r="Z20" i="3" s="1"/>
  <c r="AA20" i="3"/>
  <c r="Q21" i="3" l="1"/>
  <c r="V28" i="3"/>
  <c r="I28" i="3"/>
  <c r="J29" i="3" l="1"/>
  <c r="H29" i="3"/>
  <c r="T21" i="3"/>
  <c r="U21" i="3"/>
  <c r="O22" i="3" l="1"/>
  <c r="P22" i="3" s="1"/>
  <c r="Y21" i="3"/>
  <c r="Z21" i="3" s="1"/>
  <c r="AA21" i="3"/>
  <c r="V29" i="3"/>
  <c r="I29" i="3"/>
  <c r="J30" i="3" l="1"/>
  <c r="H30" i="3"/>
  <c r="Q22" i="3"/>
  <c r="T22" i="3" l="1"/>
  <c r="U22" i="3"/>
  <c r="V30" i="3"/>
  <c r="I30" i="3"/>
  <c r="J31" i="3" l="1"/>
  <c r="H31" i="3"/>
  <c r="O23" i="3"/>
  <c r="P23" i="3" s="1"/>
  <c r="Y22" i="3"/>
  <c r="Z22" i="3" s="1"/>
  <c r="AA22" i="3"/>
  <c r="Q23" i="3" l="1"/>
  <c r="I31" i="3"/>
  <c r="J32" i="3" l="1"/>
  <c r="T23" i="3"/>
  <c r="U23" i="3"/>
  <c r="O24" i="3" l="1"/>
  <c r="P24" i="3" s="1"/>
  <c r="Y23" i="3"/>
  <c r="Z23" i="3" s="1"/>
  <c r="AA23" i="3"/>
  <c r="Q24" i="3" l="1"/>
  <c r="T24" i="3" l="1"/>
  <c r="U24" i="3"/>
  <c r="O25" i="3" l="1"/>
  <c r="P25" i="3" s="1"/>
  <c r="Y24" i="3"/>
  <c r="Z24" i="3" s="1"/>
  <c r="AA24" i="3"/>
  <c r="Q25" i="3" l="1"/>
  <c r="T25" i="3" l="1"/>
  <c r="U25" i="3"/>
  <c r="O26" i="3" l="1"/>
  <c r="P26" i="3" s="1"/>
  <c r="Y25" i="3"/>
  <c r="Z25" i="3" s="1"/>
  <c r="AA25" i="3"/>
  <c r="Q26" i="3" l="1"/>
  <c r="T26" i="3" l="1"/>
  <c r="U26" i="3"/>
  <c r="O27" i="3" l="1"/>
  <c r="P27" i="3" s="1"/>
  <c r="Y26" i="3"/>
  <c r="Z26" i="3" s="1"/>
  <c r="AA26" i="3"/>
  <c r="Q27" i="3" l="1"/>
  <c r="T27" i="3" l="1"/>
  <c r="U27" i="3"/>
  <c r="O28" i="3" l="1"/>
  <c r="P28" i="3" s="1"/>
  <c r="Y27" i="3"/>
  <c r="Z27" i="3" s="1"/>
  <c r="AA27" i="3"/>
  <c r="Q28" i="3" l="1"/>
  <c r="T28" i="3" l="1"/>
  <c r="U28" i="3"/>
  <c r="O29" i="3" l="1"/>
  <c r="P29" i="3" s="1"/>
  <c r="Y28" i="3"/>
  <c r="Z28" i="3" s="1"/>
  <c r="AA28" i="3"/>
  <c r="Q29" i="3" l="1"/>
  <c r="T29" i="3" l="1"/>
  <c r="U29" i="3"/>
  <c r="O30" i="3" l="1"/>
  <c r="P30" i="3" s="1"/>
  <c r="Y29" i="3"/>
  <c r="Z29" i="3" s="1"/>
  <c r="AA29" i="3"/>
  <c r="Q30" i="3" l="1"/>
  <c r="T30" i="3" l="1"/>
  <c r="U30" i="3"/>
  <c r="O31" i="3" l="1"/>
  <c r="P31" i="3" s="1"/>
  <c r="Y30" i="3"/>
  <c r="Z30" i="3" s="1"/>
  <c r="AA30" i="3"/>
  <c r="Q31" i="3" l="1"/>
  <c r="R31" i="3" l="1"/>
  <c r="U31" i="3"/>
  <c r="O32" i="3" s="1"/>
  <c r="P32" i="3" s="1"/>
  <c r="Q32" i="3" l="1"/>
  <c r="S31" i="3"/>
  <c r="T31" i="3"/>
  <c r="AA31" i="3" l="1"/>
  <c r="V31" i="3"/>
  <c r="U32" i="3"/>
  <c r="O33" i="3" s="1"/>
  <c r="H32" i="3" l="1"/>
  <c r="Y31" i="3"/>
  <c r="Z31" i="3" s="1"/>
  <c r="R32" i="3" l="1"/>
  <c r="I32" i="3"/>
  <c r="J33" i="3" l="1"/>
  <c r="S32" i="3"/>
  <c r="T32" i="3"/>
  <c r="AA32" i="3" l="1"/>
  <c r="V32" i="3"/>
  <c r="P33" i="3"/>
  <c r="Q33" i="3" l="1"/>
  <c r="H33" i="3"/>
  <c r="Y32" i="3"/>
  <c r="Z32" i="3" s="1"/>
  <c r="R33" i="3" l="1"/>
  <c r="T33" i="3" s="1"/>
  <c r="I33" i="3"/>
  <c r="U33" i="3"/>
  <c r="O34" i="3" s="1"/>
  <c r="AA33" i="3" l="1"/>
  <c r="J34" i="3"/>
  <c r="S33" i="3"/>
  <c r="V33" i="3" l="1"/>
  <c r="P34" i="3"/>
  <c r="Q34" i="3" l="1"/>
  <c r="H34" i="3"/>
  <c r="Y33" i="3"/>
  <c r="Z33" i="3" s="1"/>
  <c r="R34" i="3" l="1"/>
  <c r="T34" i="3" s="1"/>
  <c r="I34" i="3"/>
  <c r="U34" i="3"/>
  <c r="O35" i="3" s="1"/>
  <c r="AA34" i="3" l="1"/>
  <c r="J35" i="3"/>
  <c r="S34" i="3"/>
  <c r="V34" i="3" l="1"/>
  <c r="P35" i="3"/>
  <c r="Q35" i="3" l="1"/>
  <c r="H35" i="3"/>
  <c r="Y34" i="3"/>
  <c r="Z34" i="3" s="1"/>
  <c r="R35" i="3" l="1"/>
  <c r="T35" i="3" s="1"/>
  <c r="I35" i="3"/>
  <c r="U35" i="3"/>
  <c r="O36" i="3" s="1"/>
  <c r="AA35" i="3" l="1"/>
  <c r="J36" i="3"/>
  <c r="S35" i="3"/>
  <c r="V35" i="3" l="1"/>
  <c r="P36" i="3"/>
  <c r="Q36" i="3" l="1"/>
  <c r="H36" i="3"/>
  <c r="Y35" i="3"/>
  <c r="Z35" i="3" s="1"/>
  <c r="R36" i="3" l="1"/>
  <c r="T36" i="3" s="1"/>
  <c r="I36" i="3"/>
  <c r="U36" i="3"/>
  <c r="O37" i="3" s="1"/>
  <c r="AA36" i="3" l="1"/>
  <c r="J37" i="3"/>
  <c r="S36" i="3"/>
  <c r="V36" i="3" l="1"/>
  <c r="P37" i="3"/>
  <c r="Q37" i="3" l="1"/>
  <c r="H37" i="3"/>
  <c r="Y36" i="3"/>
  <c r="Z36" i="3" s="1"/>
  <c r="R37" i="3" l="1"/>
  <c r="T37" i="3" s="1"/>
  <c r="I37" i="3"/>
  <c r="U37" i="3"/>
  <c r="O38" i="3" s="1"/>
  <c r="AA37" i="3" l="1"/>
  <c r="J38" i="3"/>
  <c r="S37" i="3"/>
  <c r="V37" i="3" l="1"/>
  <c r="P38" i="3"/>
  <c r="Q38" i="3" l="1"/>
  <c r="H38" i="3"/>
  <c r="Y37" i="3"/>
  <c r="Z37" i="3" s="1"/>
  <c r="R38" i="3" l="1"/>
  <c r="T38" i="3" s="1"/>
  <c r="I38" i="3"/>
  <c r="U38" i="3"/>
  <c r="O39" i="3" s="1"/>
  <c r="AA38" i="3" l="1"/>
  <c r="J39" i="3"/>
  <c r="S38" i="3"/>
  <c r="V38" i="3" l="1"/>
  <c r="P39" i="3"/>
  <c r="Q39" i="3" l="1"/>
  <c r="H39" i="3"/>
  <c r="Y38" i="3"/>
  <c r="Z38" i="3" s="1"/>
  <c r="R39" i="3" l="1"/>
  <c r="T39" i="3" s="1"/>
  <c r="I39" i="3"/>
  <c r="U39" i="3"/>
  <c r="O40" i="3" s="1"/>
  <c r="AA39" i="3" l="1"/>
  <c r="J40" i="3"/>
  <c r="S39" i="3"/>
  <c r="V39" i="3" l="1"/>
  <c r="P40" i="3"/>
  <c r="Q40" i="3" l="1"/>
  <c r="H40" i="3"/>
  <c r="Y39" i="3"/>
  <c r="Z39" i="3" s="1"/>
  <c r="R40" i="3" l="1"/>
  <c r="T40" i="3" s="1"/>
  <c r="I40" i="3"/>
  <c r="U40" i="3"/>
  <c r="O41" i="3" s="1"/>
  <c r="AA40" i="3" l="1"/>
  <c r="J41" i="3"/>
  <c r="S40" i="3"/>
  <c r="V40" i="3" l="1"/>
  <c r="P41" i="3"/>
  <c r="Q41" i="3" l="1"/>
  <c r="H41" i="3"/>
  <c r="Y40" i="3"/>
  <c r="Z40" i="3" s="1"/>
  <c r="R41" i="3" l="1"/>
  <c r="T41" i="3" s="1"/>
  <c r="I41" i="3"/>
  <c r="U41" i="3"/>
  <c r="O42" i="3" s="1"/>
  <c r="AA41" i="3" l="1"/>
  <c r="J42" i="3"/>
  <c r="S41" i="3"/>
  <c r="V41" i="3" l="1"/>
  <c r="P42" i="3"/>
  <c r="Q42" i="3" l="1"/>
  <c r="H42" i="3"/>
  <c r="Y41" i="3"/>
  <c r="Z41" i="3" s="1"/>
  <c r="R42" i="3" l="1"/>
  <c r="T42" i="3" s="1"/>
  <c r="I42" i="3"/>
  <c r="U42" i="3"/>
  <c r="O43" i="3" s="1"/>
  <c r="U4" i="3" l="1"/>
  <c r="AA42" i="3"/>
  <c r="J43" i="3"/>
  <c r="S42" i="3"/>
  <c r="R55" i="3"/>
  <c r="S55" i="3" l="1"/>
  <c r="V42" i="3"/>
  <c r="P43" i="3"/>
  <c r="Q43" i="3" l="1"/>
  <c r="H43" i="3"/>
  <c r="Y42" i="3"/>
  <c r="Z42" i="3" s="1"/>
  <c r="V43" i="3" l="1"/>
  <c r="I43" i="3"/>
  <c r="T43" i="3"/>
  <c r="U43" i="3"/>
  <c r="O44" i="3" s="1"/>
  <c r="AA43" i="3" l="1"/>
  <c r="J44" i="3"/>
  <c r="H44" i="3"/>
  <c r="Y43" i="3"/>
  <c r="Z43" i="3" s="1"/>
  <c r="V44" i="3" l="1"/>
  <c r="I44" i="3"/>
  <c r="P44" i="3"/>
  <c r="Q44" i="3" l="1"/>
  <c r="J45" i="3"/>
  <c r="H45" i="3"/>
  <c r="V45" i="3" l="1"/>
  <c r="I45" i="3"/>
  <c r="T44" i="3"/>
  <c r="U44" i="3"/>
  <c r="O45" i="3" l="1"/>
  <c r="P45" i="3" s="1"/>
  <c r="Y44" i="3"/>
  <c r="Z44" i="3" s="1"/>
  <c r="AA44" i="3"/>
  <c r="J46" i="3"/>
  <c r="H46" i="3"/>
  <c r="V46" i="3" l="1"/>
  <c r="I46" i="3"/>
  <c r="Q45" i="3"/>
  <c r="T45" i="3" l="1"/>
  <c r="U45" i="3"/>
  <c r="J47" i="3"/>
  <c r="H47" i="3"/>
  <c r="V47" i="3" l="1"/>
  <c r="I47" i="3"/>
  <c r="O46" i="3"/>
  <c r="P46" i="3" s="1"/>
  <c r="Y45" i="3"/>
  <c r="Z45" i="3" s="1"/>
  <c r="AA45" i="3"/>
  <c r="Q46" i="3" l="1"/>
  <c r="J48" i="3"/>
  <c r="H48" i="3"/>
  <c r="V48" i="3" l="1"/>
  <c r="I48" i="3"/>
  <c r="T46" i="3"/>
  <c r="U46" i="3"/>
  <c r="O47" i="3" l="1"/>
  <c r="P47" i="3" s="1"/>
  <c r="Y46" i="3"/>
  <c r="Z46" i="3" s="1"/>
  <c r="AA46" i="3"/>
  <c r="J49" i="3"/>
  <c r="H49" i="3"/>
  <c r="V49" i="3" l="1"/>
  <c r="I49" i="3"/>
  <c r="Q47" i="3"/>
  <c r="T47" i="3" l="1"/>
  <c r="U47" i="3"/>
  <c r="J50" i="3"/>
  <c r="H50" i="3"/>
  <c r="V50" i="3" l="1"/>
  <c r="I50" i="3"/>
  <c r="O48" i="3"/>
  <c r="P48" i="3" s="1"/>
  <c r="Y47" i="3"/>
  <c r="Z47" i="3" s="1"/>
  <c r="AA47" i="3"/>
  <c r="Q48" i="3" l="1"/>
  <c r="J51" i="3"/>
  <c r="H51" i="3"/>
  <c r="V51" i="3" l="1"/>
  <c r="I51" i="3"/>
  <c r="T48" i="3"/>
  <c r="U48" i="3"/>
  <c r="O49" i="3" l="1"/>
  <c r="P49" i="3" s="1"/>
  <c r="Y48" i="3"/>
  <c r="Z48" i="3" s="1"/>
  <c r="AA48" i="3"/>
  <c r="J52" i="3"/>
  <c r="H52" i="3"/>
  <c r="V52" i="3" l="1"/>
  <c r="I52" i="3"/>
  <c r="Q49" i="3"/>
  <c r="T49" i="3" l="1"/>
  <c r="U49" i="3"/>
  <c r="J53" i="3"/>
  <c r="H53" i="3"/>
  <c r="V53" i="3" l="1"/>
  <c r="I53" i="3"/>
  <c r="O50" i="3"/>
  <c r="P50" i="3" s="1"/>
  <c r="Y49" i="3"/>
  <c r="Z49" i="3" s="1"/>
  <c r="AA49" i="3"/>
  <c r="Q50" i="3" l="1"/>
  <c r="J54" i="3"/>
  <c r="J55" i="3" s="1"/>
  <c r="H54" i="3"/>
  <c r="H55" i="3" l="1"/>
  <c r="V54" i="3"/>
  <c r="I54" i="3"/>
  <c r="I55" i="3" s="1"/>
  <c r="T50" i="3"/>
  <c r="U50" i="3"/>
  <c r="O51" i="3" l="1"/>
  <c r="P51" i="3" s="1"/>
  <c r="Y50" i="3"/>
  <c r="Z50" i="3" s="1"/>
  <c r="AA50" i="3"/>
  <c r="V55" i="3"/>
  <c r="I4" i="3"/>
  <c r="Q51" i="3" l="1"/>
  <c r="T51" i="3" l="1"/>
  <c r="U51" i="3"/>
  <c r="O52" i="3" l="1"/>
  <c r="P52" i="3" s="1"/>
  <c r="Y51" i="3"/>
  <c r="Z51" i="3" s="1"/>
  <c r="AA51" i="3"/>
  <c r="Q52" i="3" l="1"/>
  <c r="T52" i="3" l="1"/>
  <c r="U52" i="3"/>
  <c r="O53" i="3" l="1"/>
  <c r="P53" i="3" s="1"/>
  <c r="Y52" i="3"/>
  <c r="Z52" i="3" s="1"/>
  <c r="AA52" i="3"/>
  <c r="Q53" i="3" l="1"/>
  <c r="T53" i="3" l="1"/>
  <c r="U53" i="3"/>
  <c r="O54" i="3" l="1"/>
  <c r="Y53" i="3"/>
  <c r="Z53" i="3" s="1"/>
  <c r="AA53" i="3"/>
  <c r="O55" i="3" l="1"/>
  <c r="P54" i="3"/>
  <c r="P55" i="3" l="1"/>
  <c r="Q54" i="3"/>
  <c r="T54" i="3" l="1"/>
  <c r="Q55" i="3"/>
  <c r="U54" i="3"/>
  <c r="U55" i="3" l="1"/>
  <c r="E4" i="3"/>
  <c r="Y54" i="3"/>
  <c r="T55" i="3"/>
  <c r="A4" i="3"/>
  <c r="AA54" i="3"/>
  <c r="Y55" i="3" l="1"/>
  <c r="Z54" i="3"/>
  <c r="Z55" i="3" l="1"/>
  <c r="Q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4" authorId="0" shapeId="0" xr:uid="{00000000-0006-0000-0100-000001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5" authorId="0" shapeId="0" xr:uid="{00000000-0006-0000-0100-000002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6" authorId="0" shapeId="0" xr:uid="{00000000-0006-0000-0100-000003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7" authorId="0" shapeId="0" xr:uid="{00000000-0006-0000-0100-000004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8" authorId="0" shapeId="0" xr:uid="{00000000-0006-0000-0100-000005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9" authorId="0" shapeId="0" xr:uid="{00000000-0006-0000-0100-000006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2" authorId="0" shapeId="0" xr:uid="{00000000-0006-0000-0100-000007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3" authorId="0" shapeId="0" xr:uid="{00000000-0006-0000-0100-000008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4" authorId="0" shapeId="0" xr:uid="{00000000-0006-0000-0100-000009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5" authorId="0" shapeId="0" xr:uid="{00000000-0006-0000-0100-00000A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6" authorId="0" shapeId="0" xr:uid="{00000000-0006-0000-0100-00000B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19" authorId="0" shapeId="0" xr:uid="{00000000-0006-0000-0100-00000C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0" authorId="0" shapeId="0" xr:uid="{00000000-0006-0000-0100-00000D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1" authorId="0" shapeId="0" xr:uid="{00000000-0006-0000-0100-00000E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2" authorId="0" shapeId="0" xr:uid="{00000000-0006-0000-0100-00000F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3" authorId="0" shapeId="0" xr:uid="{00000000-0006-0000-0100-000010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  <comment ref="B24" authorId="0" shapeId="0" xr:uid="{00000000-0006-0000-0100-000011000000}">
      <text>
        <r>
          <rPr>
            <sz val="10"/>
            <rFont val="Noto Sans CJK SC"/>
            <family val="2"/>
          </rPr>
          <t>用户可修改的模型假设。来源：用户提供的需求及贷款试算截图。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B6" authorId="0" shapeId="0" xr:uid="{00000000-0006-0000-0200-000001000000}">
      <text>
        <r>
          <rPr>
            <sz val="10"/>
            <rFont val="Noto Sans CJK SC"/>
            <family val="2"/>
          </rPr>
          <t>前</t>
        </r>
        <r>
          <rPr>
            <sz val="10"/>
            <rFont val="Arial"/>
            <family val="2"/>
          </rPr>
          <t>36</t>
        </r>
        <r>
          <rPr>
            <sz val="10"/>
            <rFont val="Noto Sans CJK SC"/>
            <family val="2"/>
          </rPr>
          <t>个月可通过下拉菜单逐月选择策略；第</t>
        </r>
        <r>
          <rPr>
            <sz val="10"/>
            <rFont val="Arial"/>
            <family val="2"/>
          </rPr>
          <t>37</t>
        </r>
        <r>
          <rPr>
            <sz val="10"/>
            <rFont val="Noto Sans CJK SC"/>
            <family val="2"/>
          </rPr>
          <t>个月后自动使用期后规则。</t>
        </r>
      </text>
    </comment>
    <comment ref="T6" authorId="0" shapeId="0" xr:uid="{00000000-0006-0000-0200-000002000000}">
      <text>
        <r>
          <rPr>
            <sz val="10"/>
            <rFont val="Noto Sans CJK SC"/>
            <family val="2"/>
          </rPr>
          <t>外部资金池为模型计划外净投入。还款缺口在内部池、新贷款对冲及策略三基金赎回之后计入。</t>
        </r>
      </text>
    </comment>
    <comment ref="U6" authorId="0" shapeId="0" xr:uid="{00000000-0006-0000-0200-000003000000}">
      <text>
        <r>
          <rPr>
            <sz val="10"/>
            <rFont val="Noto Sans CJK SC"/>
            <family val="2"/>
          </rPr>
          <t>内部现金池为累计现金余额：期初余额</t>
        </r>
        <r>
          <rPr>
            <sz val="10"/>
            <rFont val="Arial"/>
            <family val="2"/>
          </rPr>
          <t>+</t>
        </r>
        <r>
          <rPr>
            <sz val="10"/>
            <rFont val="Noto Sans CJK SC"/>
            <family val="2"/>
          </rPr>
          <t>收到分红</t>
        </r>
        <r>
          <rPr>
            <sz val="10"/>
            <rFont val="Arial"/>
            <family val="2"/>
          </rPr>
          <t>-</t>
        </r>
        <r>
          <rPr>
            <sz val="10"/>
            <rFont val="Noto Sans CJK SC"/>
            <family val="2"/>
          </rPr>
          <t>用于还款金额，余额不低于零。</t>
        </r>
      </text>
    </comment>
  </commentList>
</comments>
</file>

<file path=xl/sharedStrings.xml><?xml version="1.0" encoding="utf-8"?>
<sst xmlns="http://schemas.openxmlformats.org/spreadsheetml/2006/main" count="158" uniqueCount="112">
  <si>
    <r>
      <rPr>
        <b/>
        <sz val="15"/>
        <color rgb="FFFFFFFF"/>
        <rFont val="Noto Sans CJK SC"/>
        <family val="2"/>
      </rPr>
      <t>中银</t>
    </r>
    <r>
      <rPr>
        <b/>
        <sz val="15"/>
        <color rgb="FFFFFFFF"/>
        <rFont val="Cambria"/>
        <family val="1"/>
      </rPr>
      <t>E</t>
    </r>
    <r>
      <rPr>
        <b/>
        <sz val="15"/>
        <color rgb="FFFFFFFF"/>
        <rFont val="Noto Sans CJK SC"/>
        <family val="2"/>
      </rPr>
      <t xml:space="preserve">贷 </t>
    </r>
    <r>
      <rPr>
        <b/>
        <sz val="15"/>
        <color rgb="FFFFFFFF"/>
        <rFont val="Cambria"/>
        <family val="1"/>
      </rPr>
      <t xml:space="preserve">+ </t>
    </r>
    <r>
      <rPr>
        <b/>
        <sz val="15"/>
        <color rgb="FFFFFFFF"/>
        <rFont val="Noto Sans CJK SC"/>
        <family val="2"/>
      </rPr>
      <t>香港港币基金三阶段策略模型（</t>
    </r>
    <r>
      <rPr>
        <b/>
        <sz val="15"/>
        <color rgb="FFFFFFFF"/>
        <rFont val="Cambria"/>
        <family val="1"/>
      </rPr>
      <t>v3</t>
    </r>
    <r>
      <rPr>
        <b/>
        <sz val="15"/>
        <color rgb="FFFFFFFF"/>
        <rFont val="Noto Sans CJK SC"/>
        <family val="2"/>
      </rPr>
      <t>）</t>
    </r>
  </si>
  <si>
    <t>模型结构</t>
  </si>
  <si>
    <r>
      <rPr>
        <sz val="11"/>
        <color theme="1"/>
        <rFont val="Noto Sans CJK SC"/>
        <family val="2"/>
      </rPr>
      <t>默认</t>
    </r>
    <r>
      <rPr>
        <sz val="11"/>
        <color theme="1"/>
        <rFont val="Calibri"/>
        <family val="2"/>
        <charset val="1"/>
      </rPr>
      <t>24</t>
    </r>
    <r>
      <rPr>
        <sz val="11"/>
        <color theme="1"/>
        <rFont val="Noto Sans CJK SC"/>
        <family val="2"/>
      </rPr>
      <t>个月可新增贷款，主策略期为</t>
    </r>
    <r>
      <rPr>
        <sz val="11"/>
        <color theme="1"/>
        <rFont val="Calibri"/>
        <family val="2"/>
        <charset val="1"/>
      </rPr>
      <t>36</t>
    </r>
    <r>
      <rPr>
        <sz val="11"/>
        <color theme="1"/>
        <rFont val="Noto Sans CJK SC"/>
        <family val="2"/>
      </rPr>
      <t>个月，另延伸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个月追踪用户手动改变策略后可能产生的期后贷款到期。</t>
    </r>
  </si>
  <si>
    <t>策略一</t>
  </si>
  <si>
    <r>
      <rPr>
        <sz val="11"/>
        <color theme="1"/>
        <rFont val="Noto Sans CJK SC"/>
        <family val="2"/>
      </rPr>
      <t>默认第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个月：每月新增</t>
    </r>
    <r>
      <rPr>
        <sz val="11"/>
        <color theme="1"/>
        <rFont val="Calibri"/>
        <family val="2"/>
        <charset val="1"/>
      </rPr>
      <t>23,400</t>
    </r>
    <r>
      <rPr>
        <sz val="11"/>
        <color theme="1"/>
        <rFont val="Noto Sans CJK SC"/>
        <family val="2"/>
      </rPr>
      <t>元人民币贷款用于大陆消费，同时将等值港币投入基金。</t>
    </r>
  </si>
  <si>
    <t>策略二</t>
  </si>
  <si>
    <r>
      <rPr>
        <sz val="11"/>
        <color theme="1"/>
        <rFont val="Noto Sans CJK SC"/>
        <family val="2"/>
      </rPr>
      <t>默认第</t>
    </r>
    <r>
      <rPr>
        <sz val="11"/>
        <color theme="1"/>
        <rFont val="Calibri"/>
        <family val="2"/>
        <charset val="1"/>
      </rPr>
      <t>13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24</t>
    </r>
    <r>
      <rPr>
        <sz val="11"/>
        <color theme="1"/>
        <rFont val="Noto Sans CJK SC"/>
        <family val="2"/>
      </rPr>
      <t>个月：每月新增</t>
    </r>
    <r>
      <rPr>
        <sz val="11"/>
        <color theme="1"/>
        <rFont val="Calibri"/>
        <family val="2"/>
        <charset val="1"/>
      </rPr>
      <t>23,400</t>
    </r>
    <r>
      <rPr>
        <sz val="11"/>
        <color theme="1"/>
        <rFont val="Noto Sans CJK SC"/>
        <family val="2"/>
      </rPr>
      <t>元贷款，直接用于偿还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个月前对应贷款本金，不再购买基金。</t>
    </r>
  </si>
  <si>
    <t>策略三</t>
  </si>
  <si>
    <r>
      <rPr>
        <sz val="11"/>
        <color theme="1"/>
        <rFont val="Noto Sans CJK SC"/>
        <family val="2"/>
      </rPr>
      <t>默认第</t>
    </r>
    <r>
      <rPr>
        <sz val="11"/>
        <color theme="1"/>
        <rFont val="Calibri"/>
        <family val="2"/>
        <charset val="1"/>
      </rPr>
      <t>25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36</t>
    </r>
    <r>
      <rPr>
        <sz val="11"/>
        <color theme="1"/>
        <rFont val="Noto Sans CJK SC"/>
        <family val="2"/>
      </rPr>
      <t>个月：不新增贷款，优先使用内部现金池，再卖出基金偿还当月本金及利息，默认不动用外部资金池。</t>
    </r>
  </si>
  <si>
    <t>期后规则</t>
  </si>
  <si>
    <r>
      <rPr>
        <sz val="11"/>
        <color theme="1"/>
        <rFont val="Noto Sans CJK SC"/>
        <family val="2"/>
      </rPr>
      <t>第</t>
    </r>
    <r>
      <rPr>
        <sz val="11"/>
        <color theme="1"/>
        <rFont val="Calibri"/>
        <family val="2"/>
        <charset val="1"/>
      </rPr>
      <t>37</t>
    </r>
    <r>
      <rPr>
        <sz val="11"/>
        <color theme="1"/>
        <rFont val="Noto Sans CJK SC"/>
        <family val="2"/>
      </rPr>
      <t>至</t>
    </r>
    <r>
      <rPr>
        <sz val="11"/>
        <color theme="1"/>
        <rFont val="Calibri"/>
        <family val="2"/>
        <charset val="1"/>
      </rPr>
      <t>48</t>
    </r>
    <r>
      <rPr>
        <sz val="11"/>
        <color theme="1"/>
        <rFont val="Noto Sans CJK SC"/>
        <family val="2"/>
      </rPr>
      <t>个月不提供新策略选择。如前</t>
    </r>
    <r>
      <rPr>
        <sz val="11"/>
        <color theme="1"/>
        <rFont val="Calibri"/>
        <family val="2"/>
        <charset val="1"/>
      </rPr>
      <t>36</t>
    </r>
    <r>
      <rPr>
        <sz val="11"/>
        <color theme="1"/>
        <rFont val="Noto Sans CJK SC"/>
        <family val="2"/>
      </rPr>
      <t>个月手动改动策略后仍有贷款未清偿，当月分红先进入内部现金池，随后内部现金池优先还款，不足部分直接计入外部资金池。</t>
    </r>
  </si>
  <si>
    <t>内部现金池</t>
  </si>
  <si>
    <t>记录累计现金账户余额。每月收到基金分红后，用于支付扣除新贷款资金后的贷款还款；策略三还款不足部分再卖基金。内部现金池不允许为负。</t>
  </si>
  <si>
    <t>外部资金池</t>
  </si>
  <si>
    <t>记录模型计划之外的净资金投入。默认三阶段下第三年通过内部现金池和基金赎回还款，因此外部资金池第三年合计应为零；用户更改策略导致缺口或期后未偿款项时，缺口自动计入外部资金池。</t>
  </si>
  <si>
    <t>操作方法</t>
  </si>
  <si>
    <r>
      <rPr>
        <sz val="11"/>
        <color theme="1"/>
        <rFont val="Noto Sans CJK SC"/>
        <family val="2"/>
      </rPr>
      <t>在“月度资金流”</t>
    </r>
    <r>
      <rPr>
        <sz val="11"/>
        <color theme="1"/>
        <rFont val="Calibri"/>
        <family val="2"/>
        <charset val="1"/>
      </rPr>
      <t>B</t>
    </r>
    <r>
      <rPr>
        <sz val="11"/>
        <color theme="1"/>
        <rFont val="Noto Sans CJK SC"/>
        <family val="2"/>
      </rPr>
      <t>列使用下拉菜单选择每月策略。默认第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年策略一、第</t>
    </r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年策略二、第</t>
    </r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Noto Sans CJK SC"/>
        <family val="2"/>
      </rPr>
      <t>年策略三。黄色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蓝字为可修改输入。</t>
    </r>
  </si>
  <si>
    <t>风险提示</t>
  </si>
  <si>
    <t>本模型仅作情景分析，不构成投资或借贷建议。实际基金净值、赎回到账时间、贷款审批、提前还款规则、利率与汇率均可能改变结果。</t>
  </si>
  <si>
    <t>参数设置</t>
  </si>
  <si>
    <t>基础假设</t>
  </si>
  <si>
    <t>模型开始日</t>
  </si>
  <si>
    <t>首笔贷款及基金申购日</t>
  </si>
  <si>
    <t>每月人民币标准金额</t>
  </si>
  <si>
    <r>
      <rPr>
        <sz val="11"/>
        <color rgb="FF666666"/>
        <rFont val="Noto Sans CJK SC"/>
        <family val="2"/>
      </rPr>
      <t>策略一</t>
    </r>
    <r>
      <rPr>
        <sz val="11"/>
        <color rgb="FF666666"/>
        <rFont val="Cambria"/>
        <family val="1"/>
      </rPr>
      <t>/</t>
    </r>
    <r>
      <rPr>
        <sz val="11"/>
        <color rgb="FF666666"/>
        <rFont val="Noto Sans CJK SC"/>
        <family val="2"/>
      </rPr>
      <t>二的标准新增贷款额</t>
    </r>
  </si>
  <si>
    <t>连续贷款月数上限</t>
  </si>
  <si>
    <r>
      <rPr>
        <sz val="11"/>
        <color rgb="FF666666"/>
        <rFont val="Noto Sans CJK SC"/>
        <family val="2"/>
      </rPr>
      <t>默认可新增贷款</t>
    </r>
    <r>
      <rPr>
        <sz val="11"/>
        <color rgb="FF666666"/>
        <rFont val="Cambria"/>
        <family val="1"/>
      </rPr>
      <t>24</t>
    </r>
    <r>
      <rPr>
        <sz val="11"/>
        <color rgb="FF666666"/>
        <rFont val="Noto Sans CJK SC"/>
        <family val="2"/>
      </rPr>
      <t>个月；策略选择仍可在前</t>
    </r>
    <r>
      <rPr>
        <sz val="11"/>
        <color rgb="FF666666"/>
        <rFont val="Cambria"/>
        <family val="1"/>
      </rPr>
      <t>36</t>
    </r>
    <r>
      <rPr>
        <sz val="11"/>
        <color rgb="FF666666"/>
        <rFont val="Noto Sans CJK SC"/>
        <family val="2"/>
      </rPr>
      <t>个月调整</t>
    </r>
  </si>
  <si>
    <r>
      <rPr>
        <sz val="11"/>
        <color theme="1"/>
        <rFont val="Noto Sans CJK SC"/>
        <family val="2"/>
      </rPr>
      <t>汇率基准（人民币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Noto Sans CJK SC"/>
        <family val="2"/>
      </rPr>
      <t>港币）</t>
    </r>
  </si>
  <si>
    <r>
      <rPr>
        <sz val="11"/>
        <color rgb="FF666666"/>
        <rFont val="Cambria"/>
        <family val="1"/>
      </rPr>
      <t>1</t>
    </r>
    <r>
      <rPr>
        <sz val="11"/>
        <color rgb="FF666666"/>
        <rFont val="Noto Sans CJK SC"/>
        <family val="2"/>
      </rPr>
      <t>港币兑换人民币</t>
    </r>
  </si>
  <si>
    <t>主策略期（月）</t>
  </si>
  <si>
    <t>三阶段合计期限</t>
  </si>
  <si>
    <t>延伸追踪期（月）</t>
  </si>
  <si>
    <t>追踪手动改策略产生的期后贷款</t>
  </si>
  <si>
    <r>
      <rPr>
        <b/>
        <sz val="11"/>
        <color rgb="FFFFFFFF"/>
        <rFont val="Noto Sans CJK SC"/>
        <family val="2"/>
      </rPr>
      <t>中银</t>
    </r>
    <r>
      <rPr>
        <b/>
        <sz val="11"/>
        <color rgb="FFFFFFFF"/>
        <rFont val="Cambria"/>
        <family val="1"/>
      </rPr>
      <t>E</t>
    </r>
    <r>
      <rPr>
        <b/>
        <sz val="11"/>
        <color rgb="FFFFFFFF"/>
        <rFont val="Noto Sans CJK SC"/>
        <family val="2"/>
      </rPr>
      <t>贷假设</t>
    </r>
  </si>
  <si>
    <t>年利率</t>
  </si>
  <si>
    <r>
      <rPr>
        <sz val="11"/>
        <color rgb="FF666666"/>
        <rFont val="Noto Sans CJK SC"/>
        <family val="2"/>
      </rPr>
      <t>根据用户的中银</t>
    </r>
    <r>
      <rPr>
        <sz val="11"/>
        <color rgb="FF666666"/>
        <rFont val="Cambria"/>
        <family val="1"/>
      </rPr>
      <t>E</t>
    </r>
    <r>
      <rPr>
        <sz val="11"/>
        <color rgb="FF666666"/>
        <rFont val="Noto Sans CJK SC"/>
        <family val="2"/>
      </rPr>
      <t>贷试算</t>
    </r>
  </si>
  <si>
    <t>计息年基数</t>
  </si>
  <si>
    <t>Actual/360</t>
  </si>
  <si>
    <t>贷款期限（月）</t>
  </si>
  <si>
    <t>每笔贷款期限</t>
  </si>
  <si>
    <t>每月结息日</t>
  </si>
  <si>
    <t>首个结息日按放款后第二个月</t>
  </si>
  <si>
    <t>每期金额取整位数</t>
  </si>
  <si>
    <t>人民币分</t>
  </si>
  <si>
    <t>港币基金假设</t>
  </si>
  <si>
    <t>预计年化分红率</t>
  </si>
  <si>
    <t>现金分红率，非保证</t>
  </si>
  <si>
    <t>每年分红次数</t>
  </si>
  <si>
    <t>按月分红</t>
  </si>
  <si>
    <t>每月除息日</t>
  </si>
  <si>
    <t>当月申购假设可参与当月除息</t>
  </si>
  <si>
    <t>分红发放日</t>
  </si>
  <si>
    <t>次月发放</t>
  </si>
  <si>
    <t>申购费用率</t>
  </si>
  <si>
    <t>申购时扣除</t>
  </si>
  <si>
    <t>赎回费用率</t>
  </si>
  <si>
    <t>卖出基金时扣除</t>
  </si>
  <si>
    <t>月度资金流与三阶段策略控制</t>
  </si>
  <si>
    <t>累计外部资金池投入</t>
  </si>
  <si>
    <t>内部现金池期末</t>
  </si>
  <si>
    <t>基金本金期末</t>
  </si>
  <si>
    <t>累计贷款利息</t>
  </si>
  <si>
    <t>策略期末净资产</t>
  </si>
  <si>
    <t>第三年外部资金合计</t>
  </si>
  <si>
    <t>月份</t>
  </si>
  <si>
    <t>当月策略（下拉）</t>
  </si>
  <si>
    <t>当月新增贷款（人民币）</t>
  </si>
  <si>
    <r>
      <rPr>
        <b/>
        <sz val="11"/>
        <rFont val="Noto Sans CJK SC"/>
        <family val="2"/>
      </rPr>
      <t>汇率（人民币</t>
    </r>
    <r>
      <rPr>
        <b/>
        <sz val="11"/>
        <rFont val="Cambria"/>
        <family val="1"/>
      </rPr>
      <t>/</t>
    </r>
    <r>
      <rPr>
        <b/>
        <sz val="11"/>
        <rFont val="Noto Sans CJK SC"/>
        <family val="2"/>
      </rPr>
      <t>港币）</t>
    </r>
  </si>
  <si>
    <t>策略一港币投入</t>
  </si>
  <si>
    <t>基金申购费用</t>
  </si>
  <si>
    <t>基金净申购</t>
  </si>
  <si>
    <t>期初基金本金</t>
  </si>
  <si>
    <t>当月应计分红</t>
  </si>
  <si>
    <t>收到分红</t>
  </si>
  <si>
    <t>当月应还本金（人民币）</t>
  </si>
  <si>
    <t>当月应还利息（人民币）</t>
  </si>
  <si>
    <t>还款折港币</t>
  </si>
  <si>
    <t>新贷款用于还本（港币）</t>
  </si>
  <si>
    <t>内部现金池期初</t>
  </si>
  <si>
    <t>分红后内部池</t>
  </si>
  <si>
    <t>内部池用于还款</t>
  </si>
  <si>
    <t>基金赎回净额</t>
  </si>
  <si>
    <t>基金赎回毛额</t>
  </si>
  <si>
    <t>外部资金池投入</t>
  </si>
  <si>
    <t>期末基金本金</t>
  </si>
  <si>
    <t>期末未偿贷款（人民币）</t>
  </si>
  <si>
    <t>负债折港币</t>
  </si>
  <si>
    <r>
      <rPr>
        <b/>
        <sz val="11"/>
        <rFont val="Noto Sans CJK SC"/>
        <family val="2"/>
      </rPr>
      <t>基金资产</t>
    </r>
    <r>
      <rPr>
        <b/>
        <sz val="11"/>
        <rFont val="Cambria"/>
        <family val="1"/>
      </rPr>
      <t>+</t>
    </r>
    <r>
      <rPr>
        <b/>
        <sz val="11"/>
        <rFont val="Noto Sans CJK SC"/>
        <family val="2"/>
      </rPr>
      <t>内部池</t>
    </r>
  </si>
  <si>
    <t>策略净资产</t>
  </si>
  <si>
    <t>资金来源校验</t>
  </si>
  <si>
    <t>策略二：新贷偿还旧贷</t>
  </si>
  <si>
    <t>策略三：卖基金偿还</t>
  </si>
  <si>
    <r>
      <rPr>
        <sz val="11"/>
        <color rgb="FF666666"/>
        <rFont val="Noto Sans CJK SC"/>
        <family val="2"/>
      </rPr>
      <t>期后：内部池优先</t>
    </r>
    <r>
      <rPr>
        <sz val="11"/>
        <color rgb="FF666666"/>
        <rFont val="Cambria"/>
        <family val="1"/>
      </rPr>
      <t>+</t>
    </r>
    <r>
      <rPr>
        <sz val="11"/>
        <color rgb="FF666666"/>
        <rFont val="Noto Sans CJK SC"/>
        <family val="2"/>
      </rPr>
      <t>外部池</t>
    </r>
  </si>
  <si>
    <r>
      <rPr>
        <b/>
        <sz val="11"/>
        <rFont val="Noto Sans CJK SC"/>
        <family val="2"/>
      </rPr>
      <t>累计</t>
    </r>
    <r>
      <rPr>
        <b/>
        <sz val="11"/>
        <rFont val="Cambria"/>
        <family val="1"/>
      </rPr>
      <t>/</t>
    </r>
    <r>
      <rPr>
        <b/>
        <sz val="11"/>
        <rFont val="Noto Sans CJK SC"/>
        <family val="2"/>
      </rPr>
      <t>期末</t>
    </r>
  </si>
  <si>
    <r>
      <rPr>
        <b/>
        <sz val="15"/>
        <color rgb="FFFFFFFF"/>
        <rFont val="Noto Sans CJK SC"/>
        <family val="2"/>
      </rPr>
      <t>贷款明细（逐笔</t>
    </r>
    <r>
      <rPr>
        <b/>
        <sz val="15"/>
        <color rgb="FFFFFFFF"/>
        <rFont val="Cambria"/>
        <family val="1"/>
      </rPr>
      <t>Actual/360</t>
    </r>
    <r>
      <rPr>
        <b/>
        <sz val="15"/>
        <color rgb="FFFFFFFF"/>
        <rFont val="Noto Sans CJK SC"/>
        <family val="2"/>
      </rPr>
      <t>计息）</t>
    </r>
  </si>
  <si>
    <t>贷款批次</t>
  </si>
  <si>
    <t>策略月份</t>
  </si>
  <si>
    <t>放款日</t>
  </si>
  <si>
    <t>贷款本金（人民币）</t>
  </si>
  <si>
    <t>期数</t>
  </si>
  <si>
    <t>本期起始日</t>
  </si>
  <si>
    <t>本期还款日</t>
  </si>
  <si>
    <t>计息天数</t>
  </si>
  <si>
    <t>当期本金（人民币）</t>
  </si>
  <si>
    <t>当期利息（人民币）</t>
  </si>
  <si>
    <t>当期还款（人民币）</t>
  </si>
  <si>
    <t>本金到期日</t>
  </si>
  <si>
    <t>是否启用</t>
  </si>
  <si>
    <r>
      <rPr>
        <sz val="11"/>
        <color theme="1"/>
        <rFont val="Noto Sans CJK SC"/>
        <family val="2"/>
      </rPr>
      <t>策略一：消费贷款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买基金</t>
    </r>
  </si>
  <si>
    <r>
      <rPr>
        <sz val="11"/>
        <color theme="1"/>
        <rFont val="Noto Sans CJK SC"/>
        <family val="2"/>
      </rPr>
      <t>期后：内部池优先</t>
    </r>
    <r>
      <rPr>
        <sz val="11"/>
        <color theme="1"/>
        <rFont val="Calibri"/>
        <family val="2"/>
        <charset val="1"/>
      </rPr>
      <t>+</t>
    </r>
    <r>
      <rPr>
        <sz val="11"/>
        <color theme="1"/>
        <rFont val="Noto Sans CJK SC"/>
        <family val="2"/>
      </rPr>
      <t>外部池</t>
    </r>
  </si>
  <si>
    <t>策略一：消费贷款+买基金</t>
  </si>
  <si>
    <r>
      <t>策略一：消费贷款</t>
    </r>
    <r>
      <rPr>
        <sz val="11"/>
        <color rgb="FFFF0000"/>
        <rFont val="Cambria"/>
        <family val="1"/>
      </rPr>
      <t>+</t>
    </r>
    <r>
      <rPr>
        <sz val="11"/>
        <color rgb="FFFF0000"/>
        <rFont val="Noto Sans CJK SC"/>
        <family val="2"/>
      </rPr>
      <t>买基金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</si>
</sst>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\¥#,##0.00;[Red]&quot;(¥&quot;#,##0.00\);\-"/>
    <numFmt numFmtId="178" formatCode="0.0000"/>
    <numFmt numFmtId="179" formatCode="&quot;HK$&quot;#,##0.00;[Red]&quot;(HK$&quot;#,##0.00\);\-"/>
    <numFmt numFmtId="180" formatCode="yyyy\-mm"/>
  </numFmts>
  <fonts count="17">
    <font>
      <sz val="11"/>
      <color theme="1"/>
      <name val="Calibri"/>
      <family val="2"/>
      <charset val="1"/>
    </font>
    <font>
      <b/>
      <sz val="15"/>
      <color rgb="FFFFFFFF"/>
      <name val="Noto Sans CJK SC"/>
      <family val="2"/>
    </font>
    <font>
      <b/>
      <sz val="15"/>
      <color rgb="FFFFFFFF"/>
      <name val="Cambria"/>
      <family val="1"/>
    </font>
    <font>
      <b/>
      <sz val="11"/>
      <name val="Noto Sans CJK SC"/>
      <family val="2"/>
    </font>
    <font>
      <sz val="11"/>
      <color theme="1"/>
      <name val="Noto Sans CJK SC"/>
      <family val="2"/>
    </font>
    <font>
      <b/>
      <sz val="11"/>
      <color rgb="FFFFFFFF"/>
      <name val="Noto Sans CJK SC"/>
      <family val="2"/>
    </font>
    <font>
      <sz val="11"/>
      <color rgb="FF0000FF"/>
      <name val="Cambria"/>
      <family val="1"/>
    </font>
    <font>
      <sz val="11"/>
      <color rgb="FF666666"/>
      <name val="Noto Sans CJK SC"/>
      <family val="2"/>
    </font>
    <font>
      <sz val="11"/>
      <color rgb="FF666666"/>
      <name val="Cambria"/>
      <family val="1"/>
    </font>
    <font>
      <b/>
      <sz val="11"/>
      <color rgb="FFFFFFFF"/>
      <name val="Cambria"/>
      <family val="1"/>
    </font>
    <font>
      <sz val="10"/>
      <name val="Noto Sans CJK SC"/>
      <family val="2"/>
    </font>
    <font>
      <b/>
      <sz val="12"/>
      <name val="Cambria"/>
      <family val="1"/>
    </font>
    <font>
      <b/>
      <sz val="11"/>
      <name val="Cambria"/>
      <family val="1"/>
    </font>
    <font>
      <sz val="10"/>
      <name val="Arial"/>
      <family val="2"/>
    </font>
    <font>
      <sz val="11"/>
      <color rgb="FFFF0000"/>
      <name val="Noto Sans CJK SC"/>
      <family val="2"/>
    </font>
    <font>
      <sz val="11"/>
      <color rgb="FFFF0000"/>
      <name val="Cambria"/>
      <family val="1"/>
    </font>
    <font>
      <sz val="9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FF2CC"/>
        <bgColor rgb="FFE7E6E6"/>
      </patternFill>
    </fill>
    <fill>
      <patternFill patternType="solid">
        <fgColor rgb="FFDDEBF7"/>
        <bgColor rgb="FFD9EAF7"/>
      </patternFill>
    </fill>
    <fill>
      <patternFill patternType="solid">
        <fgColor rgb="FFD9EAF7"/>
        <bgColor rgb="FFDDEBF7"/>
      </patternFill>
    </fill>
    <fill>
      <patternFill patternType="solid">
        <fgColor rgb="FFE4DFEC"/>
        <bgColor rgb="FFE7E6E6"/>
      </patternFill>
    </fill>
    <fill>
      <patternFill patternType="solid">
        <fgColor rgb="FFE7E6E6"/>
        <bgColor rgb="FFE4DFE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4DFEC"/>
      </patternFill>
    </fill>
    <fill>
      <patternFill patternType="solid">
        <fgColor rgb="FFFFFF00"/>
        <bgColor rgb="FFE7E6E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/>
    <xf numFmtId="176" fontId="6" fillId="3" borderId="0" xfId="0" applyNumberFormat="1" applyFont="1" applyFill="1"/>
    <xf numFmtId="0" fontId="7" fillId="0" borderId="0" xfId="0" applyFont="1"/>
    <xf numFmtId="177" fontId="6" fillId="3" borderId="0" xfId="0" applyNumberFormat="1" applyFont="1" applyFill="1"/>
    <xf numFmtId="0" fontId="6" fillId="3" borderId="0" xfId="0" applyFont="1" applyFill="1"/>
    <xf numFmtId="178" fontId="6" fillId="3" borderId="0" xfId="0" applyNumberFormat="1" applyFont="1" applyFill="1"/>
    <xf numFmtId="0" fontId="8" fillId="0" borderId="0" xfId="0" applyFont="1"/>
    <xf numFmtId="10" fontId="6" fillId="3" borderId="0" xfId="0" applyNumberFormat="1" applyFont="1" applyFill="1"/>
    <xf numFmtId="0" fontId="3" fillId="5" borderId="0" xfId="0" applyFont="1" applyFill="1" applyAlignment="1">
      <alignment horizontal="center" vertical="center" wrapText="1"/>
    </xf>
    <xf numFmtId="180" fontId="0" fillId="0" borderId="0" xfId="0" applyNumberFormat="1"/>
    <xf numFmtId="177" fontId="0" fillId="0" borderId="0" xfId="0" applyNumberFormat="1"/>
    <xf numFmtId="179" fontId="0" fillId="0" borderId="0" xfId="0" applyNumberFormat="1"/>
    <xf numFmtId="2" fontId="0" fillId="0" borderId="0" xfId="0" applyNumberFormat="1"/>
    <xf numFmtId="0" fontId="7" fillId="7" borderId="0" xfId="0" applyFont="1" applyFill="1"/>
    <xf numFmtId="0" fontId="3" fillId="0" borderId="1" xfId="0" applyFont="1" applyBorder="1"/>
    <xf numFmtId="177" fontId="12" fillId="0" borderId="1" xfId="0" applyNumberFormat="1" applyFont="1" applyBorder="1"/>
    <xf numFmtId="179" fontId="12" fillId="0" borderId="1" xfId="0" applyNumberFormat="1" applyFont="1" applyBorder="1"/>
    <xf numFmtId="176" fontId="0" fillId="0" borderId="0" xfId="0" applyNumberFormat="1"/>
    <xf numFmtId="0" fontId="1" fillId="2" borderId="0" xfId="0" applyFont="1" applyFill="1" applyAlignment="1">
      <alignment horizontal="left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179" fontId="11" fillId="4" borderId="0" xfId="0" applyNumberFormat="1" applyFont="1" applyFill="1" applyAlignment="1">
      <alignment horizontal="center"/>
    </xf>
    <xf numFmtId="177" fontId="11" fillId="4" borderId="0" xfId="0" applyNumberFormat="1" applyFont="1" applyFill="1" applyAlignment="1">
      <alignment horizontal="center"/>
    </xf>
    <xf numFmtId="0" fontId="14" fillId="6" borderId="0" xfId="0" applyFont="1" applyFill="1"/>
    <xf numFmtId="179" fontId="0" fillId="8" borderId="0" xfId="0" applyNumberFormat="1" applyFill="1"/>
    <xf numFmtId="179" fontId="12" fillId="8" borderId="1" xfId="0" applyNumberFormat="1" applyFont="1" applyFill="1" applyBorder="1"/>
    <xf numFmtId="0" fontId="0" fillId="8" borderId="0" xfId="0" applyFill="1"/>
    <xf numFmtId="180" fontId="0" fillId="8" borderId="0" xfId="0" applyNumberFormat="1" applyFill="1"/>
    <xf numFmtId="0" fontId="7" fillId="9" borderId="0" xfId="0" applyFont="1" applyFill="1"/>
    <xf numFmtId="177" fontId="0" fillId="8" borderId="0" xfId="0" applyNumberFormat="1" applyFill="1"/>
    <xf numFmtId="178" fontId="6" fillId="10" borderId="0" xfId="0" applyNumberFormat="1" applyFont="1" applyFill="1"/>
    <xf numFmtId="2" fontId="0" fillId="8" borderId="0" xfId="0" applyNumberFormat="1" applyFill="1"/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E4DFEC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7E6E6"/>
      <rgbColor rgb="FFFFFF99"/>
      <rgbColor rgb="FF99CCFF"/>
      <rgbColor rgb="FFFF99CC"/>
      <rgbColor rgb="FFCC99FF"/>
      <rgbColor rgb="FFFFCC99"/>
      <rgbColor rgb="FF4A7EBB"/>
      <rgbColor rgb="FF46AAC4"/>
      <rgbColor rgb="FF98B855"/>
      <rgbColor rgb="FFFFCC00"/>
      <rgbColor rgb="FFF59240"/>
      <rgbColor rgb="FFFF6600"/>
      <rgbColor rgb="FF7D5FA0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zh-HK" altLang="en-US" sz="1800" b="1" u="none" strike="noStrike">
                <a:solidFill>
                  <a:srgbClr val="000000"/>
                </a:solidFill>
                <a:uFillTx/>
                <a:latin typeface="Calibri"/>
              </a:rPr>
              <a:t>基金、内部现金池、外部资金池累计与负债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月度资金流!$T$6</c:f>
              <c:strCache>
                <c:ptCount val="1"/>
                <c:pt idx="0">
                  <c:v>外部资金池投入</c:v>
                </c:pt>
              </c:strCache>
            </c:strRef>
          </c:tx>
          <c:spPr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月度资金流!$A$7:$A$54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月度资金流!$T$7:$T$54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D7-4AFD-8D43-F8B7F0D7DEC8}"/>
            </c:ext>
          </c:extLst>
        </c:ser>
        <c:ser>
          <c:idx val="1"/>
          <c:order val="1"/>
          <c:tx>
            <c:strRef>
              <c:f>月度资金流!$U$6</c:f>
              <c:strCache>
                <c:ptCount val="1"/>
                <c:pt idx="0">
                  <c:v>内部现金池期末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月度资金流!$A$7:$A$54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月度资金流!$U$7:$U$54</c:f>
              <c:numCache>
                <c:formatCode>"HK$"#,##0.00;[Red]"(HK$"#,##0.00\);\-</c:formatCode>
                <c:ptCount val="48"/>
                <c:pt idx="0">
                  <c:v>0</c:v>
                </c:pt>
                <c:pt idx="1">
                  <c:v>339.7761627906977</c:v>
                </c:pt>
                <c:pt idx="2">
                  <c:v>879.6540697674418</c:v>
                </c:pt>
                <c:pt idx="3">
                  <c:v>1681.9825581395348</c:v>
                </c:pt>
                <c:pt idx="4">
                  <c:v>2751.7616279069766</c:v>
                </c:pt>
                <c:pt idx="5">
                  <c:v>4078.9912790697681</c:v>
                </c:pt>
                <c:pt idx="6">
                  <c:v>5666.1715116279074</c:v>
                </c:pt>
                <c:pt idx="7">
                  <c:v>7560.7325581395362</c:v>
                </c:pt>
                <c:pt idx="8">
                  <c:v>9680.3023255813969</c:v>
                </c:pt>
                <c:pt idx="9">
                  <c:v>12074.834302325582</c:v>
                </c:pt>
                <c:pt idx="10">
                  <c:v>14714.316860465116</c:v>
                </c:pt>
                <c:pt idx="11">
                  <c:v>17638.75</c:v>
                </c:pt>
                <c:pt idx="12">
                  <c:v>20790.656976744191</c:v>
                </c:pt>
                <c:pt idx="13">
                  <c:v>23940.063953488381</c:v>
                </c:pt>
                <c:pt idx="14">
                  <c:v>27116.970930232572</c:v>
                </c:pt>
                <c:pt idx="15">
                  <c:v>30268.877906976762</c:v>
                </c:pt>
                <c:pt idx="16">
                  <c:v>33445.784883720953</c:v>
                </c:pt>
                <c:pt idx="17">
                  <c:v>36597.691860465144</c:v>
                </c:pt>
                <c:pt idx="18">
                  <c:v>39747.098837209334</c:v>
                </c:pt>
                <c:pt idx="19">
                  <c:v>42951.377906976777</c:v>
                </c:pt>
                <c:pt idx="20">
                  <c:v>46105.773255813991</c:v>
                </c:pt>
                <c:pt idx="21">
                  <c:v>49282.680232558181</c:v>
                </c:pt>
                <c:pt idx="22">
                  <c:v>52434.587209302372</c:v>
                </c:pt>
                <c:pt idx="23">
                  <c:v>55611.494186046562</c:v>
                </c:pt>
                <c:pt idx="24">
                  <c:v>31554.098837209356</c:v>
                </c:pt>
                <c:pt idx="25">
                  <c:v>7494.2034883721499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1416.2809098884688</c:v>
                </c:pt>
                <c:pt idx="37">
                  <c:v>2512.6995758934472</c:v>
                </c:pt>
                <c:pt idx="38">
                  <c:v>3609.1182418984258</c:v>
                </c:pt>
                <c:pt idx="39">
                  <c:v>4705.5369079034044</c:v>
                </c:pt>
                <c:pt idx="40">
                  <c:v>5801.9555739083826</c:v>
                </c:pt>
                <c:pt idx="41">
                  <c:v>6898.3742399133607</c:v>
                </c:pt>
                <c:pt idx="42">
                  <c:v>7994.7929059183389</c:v>
                </c:pt>
                <c:pt idx="43">
                  <c:v>9091.211571923317</c:v>
                </c:pt>
                <c:pt idx="44">
                  <c:v>10187.630237928295</c:v>
                </c:pt>
                <c:pt idx="45">
                  <c:v>11284.048903933273</c:v>
                </c:pt>
                <c:pt idx="46">
                  <c:v>12380.467569938251</c:v>
                </c:pt>
                <c:pt idx="47">
                  <c:v>13476.88623594323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0D7-4AFD-8D43-F8B7F0D7DEC8}"/>
            </c:ext>
          </c:extLst>
        </c:ser>
        <c:ser>
          <c:idx val="2"/>
          <c:order val="2"/>
          <c:tx>
            <c:strRef>
              <c:f>月度资金流!$V$6</c:f>
              <c:strCache>
                <c:ptCount val="1"/>
                <c:pt idx="0">
                  <c:v>期末基金本金</c:v>
                </c:pt>
              </c:strCache>
            </c:strRef>
          </c:tx>
          <c:spPr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月度资金流!$A$7:$A$54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月度资金流!$V$7:$V$54</c:f>
              <c:numCache>
                <c:formatCode>"HK$"#,##0.00;[Red]"(HK$"#,##0.00\);\-</c:formatCode>
                <c:ptCount val="48"/>
                <c:pt idx="0">
                  <c:v>27182.093023255817</c:v>
                </c:pt>
                <c:pt idx="1">
                  <c:v>54364.186046511633</c:v>
                </c:pt>
                <c:pt idx="2">
                  <c:v>81546.27906976745</c:v>
                </c:pt>
                <c:pt idx="3">
                  <c:v>108728.37209302327</c:v>
                </c:pt>
                <c:pt idx="4">
                  <c:v>135910.46511627908</c:v>
                </c:pt>
                <c:pt idx="5">
                  <c:v>163092.5581395349</c:v>
                </c:pt>
                <c:pt idx="6">
                  <c:v>190274.65116279072</c:v>
                </c:pt>
                <c:pt idx="7">
                  <c:v>217456.74418604653</c:v>
                </c:pt>
                <c:pt idx="8">
                  <c:v>244638.83720930235</c:v>
                </c:pt>
                <c:pt idx="9">
                  <c:v>271820.93023255817</c:v>
                </c:pt>
                <c:pt idx="10">
                  <c:v>299003.02325581398</c:v>
                </c:pt>
                <c:pt idx="11">
                  <c:v>326185.1162790698</c:v>
                </c:pt>
                <c:pt idx="12">
                  <c:v>326185.1162790698</c:v>
                </c:pt>
                <c:pt idx="13">
                  <c:v>326185.1162790698</c:v>
                </c:pt>
                <c:pt idx="14">
                  <c:v>326185.1162790698</c:v>
                </c:pt>
                <c:pt idx="15">
                  <c:v>326185.1162790698</c:v>
                </c:pt>
                <c:pt idx="16">
                  <c:v>326185.1162790698</c:v>
                </c:pt>
                <c:pt idx="17">
                  <c:v>326185.1162790698</c:v>
                </c:pt>
                <c:pt idx="18">
                  <c:v>326185.1162790698</c:v>
                </c:pt>
                <c:pt idx="19">
                  <c:v>326185.1162790698</c:v>
                </c:pt>
                <c:pt idx="20">
                  <c:v>326185.1162790698</c:v>
                </c:pt>
                <c:pt idx="21">
                  <c:v>326185.1162790698</c:v>
                </c:pt>
                <c:pt idx="22">
                  <c:v>326185.1162790698</c:v>
                </c:pt>
                <c:pt idx="23">
                  <c:v>326185.1162790698</c:v>
                </c:pt>
                <c:pt idx="24">
                  <c:v>326185.1162790698</c:v>
                </c:pt>
                <c:pt idx="25">
                  <c:v>326185.1162790698</c:v>
                </c:pt>
                <c:pt idx="26">
                  <c:v>309770.18390483514</c:v>
                </c:pt>
                <c:pt idx="27">
                  <c:v>285905.92429638951</c:v>
                </c:pt>
                <c:pt idx="28">
                  <c:v>261933.69564561895</c:v>
                </c:pt>
                <c:pt idx="29">
                  <c:v>237720.24811225556</c:v>
                </c:pt>
                <c:pt idx="30">
                  <c:v>213284.25075232633</c:v>
                </c:pt>
                <c:pt idx="31">
                  <c:v>188660.16465134948</c:v>
                </c:pt>
                <c:pt idx="32">
                  <c:v>163770.24647222558</c:v>
                </c:pt>
                <c:pt idx="33">
                  <c:v>138657.12959954128</c:v>
                </c:pt>
                <c:pt idx="34">
                  <c:v>113302.4727910775</c:v>
                </c:pt>
                <c:pt idx="35">
                  <c:v>87713.493280398296</c:v>
                </c:pt>
                <c:pt idx="36">
                  <c:v>87713.493280398296</c:v>
                </c:pt>
                <c:pt idx="37">
                  <c:v>87713.493280398296</c:v>
                </c:pt>
                <c:pt idx="38">
                  <c:v>87713.493280398296</c:v>
                </c:pt>
                <c:pt idx="39">
                  <c:v>87713.493280398296</c:v>
                </c:pt>
                <c:pt idx="40">
                  <c:v>87713.493280398296</c:v>
                </c:pt>
                <c:pt idx="41">
                  <c:v>87713.493280398296</c:v>
                </c:pt>
                <c:pt idx="42">
                  <c:v>87713.493280398296</c:v>
                </c:pt>
                <c:pt idx="43">
                  <c:v>87713.493280398296</c:v>
                </c:pt>
                <c:pt idx="44">
                  <c:v>87713.493280398296</c:v>
                </c:pt>
                <c:pt idx="45">
                  <c:v>87713.493280398296</c:v>
                </c:pt>
                <c:pt idx="46">
                  <c:v>87713.493280398296</c:v>
                </c:pt>
                <c:pt idx="47">
                  <c:v>87713.493280398296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0D7-4AFD-8D43-F8B7F0D7DEC8}"/>
            </c:ext>
          </c:extLst>
        </c:ser>
        <c:ser>
          <c:idx val="3"/>
          <c:order val="3"/>
          <c:tx>
            <c:strRef>
              <c:f>月度资金流!$W$6</c:f>
              <c:strCache>
                <c:ptCount val="1"/>
                <c:pt idx="0">
                  <c:v>期末未偿贷款（人民币）</c:v>
                </c:pt>
              </c:strCache>
            </c:strRef>
          </c:tx>
          <c:spPr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月度资金流!$A$7:$A$54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月度资金流!$W$7:$W$54</c:f>
              <c:numCache>
                <c:formatCode>\¥#,##0.00;[Red]"(¥"#,##0.00\);\-</c:formatCode>
                <c:ptCount val="48"/>
                <c:pt idx="0">
                  <c:v>23400</c:v>
                </c:pt>
                <c:pt idx="1">
                  <c:v>46800</c:v>
                </c:pt>
                <c:pt idx="2">
                  <c:v>70200</c:v>
                </c:pt>
                <c:pt idx="3">
                  <c:v>93600</c:v>
                </c:pt>
                <c:pt idx="4">
                  <c:v>117000</c:v>
                </c:pt>
                <c:pt idx="5">
                  <c:v>140400</c:v>
                </c:pt>
                <c:pt idx="6">
                  <c:v>163800</c:v>
                </c:pt>
                <c:pt idx="7">
                  <c:v>187200</c:v>
                </c:pt>
                <c:pt idx="8">
                  <c:v>210600</c:v>
                </c:pt>
                <c:pt idx="9">
                  <c:v>234000</c:v>
                </c:pt>
                <c:pt idx="10">
                  <c:v>257400</c:v>
                </c:pt>
                <c:pt idx="11">
                  <c:v>280800</c:v>
                </c:pt>
                <c:pt idx="12">
                  <c:v>280800</c:v>
                </c:pt>
                <c:pt idx="13">
                  <c:v>280800</c:v>
                </c:pt>
                <c:pt idx="14">
                  <c:v>280800</c:v>
                </c:pt>
                <c:pt idx="15">
                  <c:v>280800</c:v>
                </c:pt>
                <c:pt idx="16">
                  <c:v>280800</c:v>
                </c:pt>
                <c:pt idx="17">
                  <c:v>280800</c:v>
                </c:pt>
                <c:pt idx="18">
                  <c:v>280800</c:v>
                </c:pt>
                <c:pt idx="19">
                  <c:v>280800</c:v>
                </c:pt>
                <c:pt idx="20">
                  <c:v>280800</c:v>
                </c:pt>
                <c:pt idx="21">
                  <c:v>280800</c:v>
                </c:pt>
                <c:pt idx="22">
                  <c:v>280800</c:v>
                </c:pt>
                <c:pt idx="23">
                  <c:v>280800</c:v>
                </c:pt>
                <c:pt idx="24">
                  <c:v>257400</c:v>
                </c:pt>
                <c:pt idx="25">
                  <c:v>234000</c:v>
                </c:pt>
                <c:pt idx="26">
                  <c:v>210600</c:v>
                </c:pt>
                <c:pt idx="27">
                  <c:v>187200</c:v>
                </c:pt>
                <c:pt idx="28">
                  <c:v>163800</c:v>
                </c:pt>
                <c:pt idx="29">
                  <c:v>140400</c:v>
                </c:pt>
                <c:pt idx="30">
                  <c:v>117000</c:v>
                </c:pt>
                <c:pt idx="31">
                  <c:v>93600</c:v>
                </c:pt>
                <c:pt idx="32">
                  <c:v>70200</c:v>
                </c:pt>
                <c:pt idx="33">
                  <c:v>46800</c:v>
                </c:pt>
                <c:pt idx="34">
                  <c:v>23400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0D7-4AFD-8D43-F8B7F0D7DEC8}"/>
            </c:ext>
          </c:extLst>
        </c:ser>
        <c:ser>
          <c:idx val="4"/>
          <c:order val="4"/>
          <c:tx>
            <c:strRef>
              <c:f>月度资金流!$X$6</c:f>
              <c:strCache>
                <c:ptCount val="1"/>
                <c:pt idx="0">
                  <c:v>负债折港币</c:v>
                </c:pt>
              </c:strCache>
            </c:strRef>
          </c:tx>
          <c:spPr>
            <a:ln w="1260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月度资金流!$A$7:$A$54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月度资金流!$X$7:$X$54</c:f>
              <c:numCache>
                <c:formatCode>"HK$"#,##0.00;[Red]"(HK$"#,##0.00\);\-</c:formatCode>
                <c:ptCount val="48"/>
                <c:pt idx="0">
                  <c:v>27209.302325581397</c:v>
                </c:pt>
                <c:pt idx="1">
                  <c:v>54418.604651162794</c:v>
                </c:pt>
                <c:pt idx="2">
                  <c:v>81627.906976744183</c:v>
                </c:pt>
                <c:pt idx="3">
                  <c:v>108837.20930232559</c:v>
                </c:pt>
                <c:pt idx="4">
                  <c:v>136046.51162790699</c:v>
                </c:pt>
                <c:pt idx="5">
                  <c:v>163255.81395348837</c:v>
                </c:pt>
                <c:pt idx="6">
                  <c:v>190465.11627906977</c:v>
                </c:pt>
                <c:pt idx="7">
                  <c:v>217674.41860465117</c:v>
                </c:pt>
                <c:pt idx="8">
                  <c:v>244883.72093023255</c:v>
                </c:pt>
                <c:pt idx="9">
                  <c:v>272093.02325581398</c:v>
                </c:pt>
                <c:pt idx="10">
                  <c:v>299302.32558139536</c:v>
                </c:pt>
                <c:pt idx="11">
                  <c:v>326511.62790697673</c:v>
                </c:pt>
                <c:pt idx="12">
                  <c:v>326511.62790697673</c:v>
                </c:pt>
                <c:pt idx="13">
                  <c:v>326511.62790697673</c:v>
                </c:pt>
                <c:pt idx="14">
                  <c:v>326511.62790697673</c:v>
                </c:pt>
                <c:pt idx="15">
                  <c:v>326511.62790697673</c:v>
                </c:pt>
                <c:pt idx="16">
                  <c:v>326511.62790697673</c:v>
                </c:pt>
                <c:pt idx="17">
                  <c:v>326511.62790697673</c:v>
                </c:pt>
                <c:pt idx="18">
                  <c:v>326511.62790697673</c:v>
                </c:pt>
                <c:pt idx="19">
                  <c:v>326511.62790697673</c:v>
                </c:pt>
                <c:pt idx="20">
                  <c:v>326511.62790697673</c:v>
                </c:pt>
                <c:pt idx="21">
                  <c:v>326511.62790697673</c:v>
                </c:pt>
                <c:pt idx="22">
                  <c:v>326511.62790697673</c:v>
                </c:pt>
                <c:pt idx="23">
                  <c:v>326511.62790697673</c:v>
                </c:pt>
                <c:pt idx="24">
                  <c:v>299302.32558139536</c:v>
                </c:pt>
                <c:pt idx="25">
                  <c:v>272093.02325581398</c:v>
                </c:pt>
                <c:pt idx="26">
                  <c:v>244883.72093023255</c:v>
                </c:pt>
                <c:pt idx="27">
                  <c:v>217674.41860465117</c:v>
                </c:pt>
                <c:pt idx="28">
                  <c:v>190465.11627906977</c:v>
                </c:pt>
                <c:pt idx="29">
                  <c:v>163255.81395348837</c:v>
                </c:pt>
                <c:pt idx="30">
                  <c:v>136046.51162790699</c:v>
                </c:pt>
                <c:pt idx="31">
                  <c:v>108837.20930232559</c:v>
                </c:pt>
                <c:pt idx="32">
                  <c:v>81627.906976744183</c:v>
                </c:pt>
                <c:pt idx="33">
                  <c:v>54418.604651162794</c:v>
                </c:pt>
                <c:pt idx="34">
                  <c:v>27209.302325581397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0D7-4AFD-8D43-F8B7F0D7DEC8}"/>
            </c:ext>
          </c:extLst>
        </c:ser>
        <c:ser>
          <c:idx val="5"/>
          <c:order val="5"/>
          <c:tx>
            <c:strRef>
              <c:f>月度资金流!$Y$6</c:f>
              <c:strCache>
                <c:ptCount val="1"/>
                <c:pt idx="0">
                  <c:v>基金资产+内部池</c:v>
                </c:pt>
              </c:strCache>
            </c:strRef>
          </c:tx>
          <c:spPr>
            <a:ln w="12600">
              <a:solidFill>
                <a:srgbClr val="F5924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月度资金流!$A$7:$A$54</c:f>
              <c:numCache>
                <c:formatCode>yyyy\-mm</c:formatCode>
                <c:ptCount val="48"/>
                <c:pt idx="0">
                  <c:v>46235</c:v>
                </c:pt>
                <c:pt idx="1">
                  <c:v>46266</c:v>
                </c:pt>
                <c:pt idx="2">
                  <c:v>46296</c:v>
                </c:pt>
                <c:pt idx="3">
                  <c:v>46327</c:v>
                </c:pt>
                <c:pt idx="4">
                  <c:v>46357</c:v>
                </c:pt>
                <c:pt idx="5">
                  <c:v>46388</c:v>
                </c:pt>
                <c:pt idx="6">
                  <c:v>46419</c:v>
                </c:pt>
                <c:pt idx="7">
                  <c:v>46447</c:v>
                </c:pt>
                <c:pt idx="8">
                  <c:v>46478</c:v>
                </c:pt>
                <c:pt idx="9">
                  <c:v>46508</c:v>
                </c:pt>
                <c:pt idx="10">
                  <c:v>46539</c:v>
                </c:pt>
                <c:pt idx="11">
                  <c:v>46569</c:v>
                </c:pt>
                <c:pt idx="12">
                  <c:v>46600</c:v>
                </c:pt>
                <c:pt idx="13">
                  <c:v>46631</c:v>
                </c:pt>
                <c:pt idx="14">
                  <c:v>46661</c:v>
                </c:pt>
                <c:pt idx="15">
                  <c:v>46692</c:v>
                </c:pt>
                <c:pt idx="16">
                  <c:v>46722</c:v>
                </c:pt>
                <c:pt idx="17">
                  <c:v>46753</c:v>
                </c:pt>
                <c:pt idx="18">
                  <c:v>46784</c:v>
                </c:pt>
                <c:pt idx="19">
                  <c:v>46813</c:v>
                </c:pt>
                <c:pt idx="20">
                  <c:v>46844</c:v>
                </c:pt>
                <c:pt idx="21">
                  <c:v>46874</c:v>
                </c:pt>
                <c:pt idx="22">
                  <c:v>46905</c:v>
                </c:pt>
                <c:pt idx="23">
                  <c:v>46935</c:v>
                </c:pt>
                <c:pt idx="24">
                  <c:v>46966</c:v>
                </c:pt>
                <c:pt idx="25">
                  <c:v>46997</c:v>
                </c:pt>
                <c:pt idx="26">
                  <c:v>47027</c:v>
                </c:pt>
                <c:pt idx="27">
                  <c:v>47058</c:v>
                </c:pt>
                <c:pt idx="28">
                  <c:v>47088</c:v>
                </c:pt>
                <c:pt idx="29">
                  <c:v>47119</c:v>
                </c:pt>
                <c:pt idx="30">
                  <c:v>47150</c:v>
                </c:pt>
                <c:pt idx="31">
                  <c:v>47178</c:v>
                </c:pt>
                <c:pt idx="32">
                  <c:v>47209</c:v>
                </c:pt>
                <c:pt idx="33">
                  <c:v>47239</c:v>
                </c:pt>
                <c:pt idx="34">
                  <c:v>47270</c:v>
                </c:pt>
                <c:pt idx="35">
                  <c:v>47300</c:v>
                </c:pt>
                <c:pt idx="36">
                  <c:v>47331</c:v>
                </c:pt>
                <c:pt idx="37">
                  <c:v>47362</c:v>
                </c:pt>
                <c:pt idx="38">
                  <c:v>47392</c:v>
                </c:pt>
                <c:pt idx="39">
                  <c:v>47423</c:v>
                </c:pt>
                <c:pt idx="40">
                  <c:v>47453</c:v>
                </c:pt>
                <c:pt idx="41">
                  <c:v>47484</c:v>
                </c:pt>
                <c:pt idx="42">
                  <c:v>47515</c:v>
                </c:pt>
                <c:pt idx="43">
                  <c:v>47543</c:v>
                </c:pt>
                <c:pt idx="44">
                  <c:v>47574</c:v>
                </c:pt>
                <c:pt idx="45">
                  <c:v>47604</c:v>
                </c:pt>
                <c:pt idx="46">
                  <c:v>47635</c:v>
                </c:pt>
                <c:pt idx="47">
                  <c:v>47665</c:v>
                </c:pt>
              </c:numCache>
            </c:numRef>
          </c:cat>
          <c:val>
            <c:numRef>
              <c:f>月度资金流!$Y$7:$Y$54</c:f>
              <c:numCache>
                <c:formatCode>"HK$"#,##0.00;[Red]"(HK$"#,##0.00\);\-</c:formatCode>
                <c:ptCount val="48"/>
                <c:pt idx="0">
                  <c:v>27182.093023255817</c:v>
                </c:pt>
                <c:pt idx="1">
                  <c:v>54703.962209302328</c:v>
                </c:pt>
                <c:pt idx="2">
                  <c:v>82425.933139534885</c:v>
                </c:pt>
                <c:pt idx="3">
                  <c:v>110410.35465116281</c:v>
                </c:pt>
                <c:pt idx="4">
                  <c:v>138662.22674418605</c:v>
                </c:pt>
                <c:pt idx="5">
                  <c:v>167171.54941860467</c:v>
                </c:pt>
                <c:pt idx="6">
                  <c:v>195940.82267441862</c:v>
                </c:pt>
                <c:pt idx="7">
                  <c:v>225017.47674418607</c:v>
                </c:pt>
                <c:pt idx="8">
                  <c:v>254319.13953488375</c:v>
                </c:pt>
                <c:pt idx="9">
                  <c:v>283895.76453488372</c:v>
                </c:pt>
                <c:pt idx="10">
                  <c:v>313717.34011627908</c:v>
                </c:pt>
                <c:pt idx="11">
                  <c:v>343823.8662790698</c:v>
                </c:pt>
                <c:pt idx="12">
                  <c:v>346975.77325581398</c:v>
                </c:pt>
                <c:pt idx="13">
                  <c:v>350125.18023255817</c:v>
                </c:pt>
                <c:pt idx="14">
                  <c:v>353302.08720930235</c:v>
                </c:pt>
                <c:pt idx="15">
                  <c:v>356453.99418604653</c:v>
                </c:pt>
                <c:pt idx="16">
                  <c:v>359630.90116279077</c:v>
                </c:pt>
                <c:pt idx="17">
                  <c:v>362782.80813953496</c:v>
                </c:pt>
                <c:pt idx="18">
                  <c:v>365932.21511627914</c:v>
                </c:pt>
                <c:pt idx="19">
                  <c:v>369136.49418604659</c:v>
                </c:pt>
                <c:pt idx="20">
                  <c:v>372290.88953488378</c:v>
                </c:pt>
                <c:pt idx="21">
                  <c:v>375467.79651162797</c:v>
                </c:pt>
                <c:pt idx="22">
                  <c:v>378619.70348837215</c:v>
                </c:pt>
                <c:pt idx="23">
                  <c:v>381796.61046511633</c:v>
                </c:pt>
                <c:pt idx="24">
                  <c:v>357739.21511627914</c:v>
                </c:pt>
                <c:pt idx="25">
                  <c:v>333679.31976744195</c:v>
                </c:pt>
                <c:pt idx="26">
                  <c:v>309770.18390483514</c:v>
                </c:pt>
                <c:pt idx="27">
                  <c:v>285905.92429638951</c:v>
                </c:pt>
                <c:pt idx="28">
                  <c:v>261933.69564561895</c:v>
                </c:pt>
                <c:pt idx="29">
                  <c:v>237720.24811225556</c:v>
                </c:pt>
                <c:pt idx="30">
                  <c:v>213284.25075232633</c:v>
                </c:pt>
                <c:pt idx="31">
                  <c:v>188660.16465134948</c:v>
                </c:pt>
                <c:pt idx="32">
                  <c:v>163770.24647222558</c:v>
                </c:pt>
                <c:pt idx="33">
                  <c:v>138657.12959954128</c:v>
                </c:pt>
                <c:pt idx="34">
                  <c:v>113302.4727910775</c:v>
                </c:pt>
                <c:pt idx="35">
                  <c:v>87713.493280398296</c:v>
                </c:pt>
                <c:pt idx="36">
                  <c:v>89129.774190286771</c:v>
                </c:pt>
                <c:pt idx="37">
                  <c:v>90226.192856291746</c:v>
                </c:pt>
                <c:pt idx="38">
                  <c:v>91322.61152229672</c:v>
                </c:pt>
                <c:pt idx="39">
                  <c:v>92419.030188301695</c:v>
                </c:pt>
                <c:pt idx="40">
                  <c:v>93515.448854306684</c:v>
                </c:pt>
                <c:pt idx="41">
                  <c:v>94611.867520311658</c:v>
                </c:pt>
                <c:pt idx="42">
                  <c:v>95708.286186316633</c:v>
                </c:pt>
                <c:pt idx="43">
                  <c:v>96804.704852321607</c:v>
                </c:pt>
                <c:pt idx="44">
                  <c:v>97901.123518326596</c:v>
                </c:pt>
                <c:pt idx="45">
                  <c:v>98997.542184331571</c:v>
                </c:pt>
                <c:pt idx="46">
                  <c:v>100093.96085033655</c:v>
                </c:pt>
                <c:pt idx="47">
                  <c:v>101190.37951634152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0D7-4AFD-8D43-F8B7F0D7D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143486"/>
        <c:axId val="11262866"/>
      </c:lineChart>
      <c:dateAx>
        <c:axId val="981434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HK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月份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1262866"/>
        <c:crosses val="autoZero"/>
        <c:auto val="1"/>
        <c:lblOffset val="100"/>
        <c:baseTimeUnit val="months"/>
      </c:dateAx>
      <c:valAx>
        <c:axId val="11262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zh-HK" alt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港币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HK$&quot;#,##0.00;[Red]&quot;(HK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814348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4</xdr:col>
      <xdr:colOff>903600</xdr:colOff>
      <xdr:row>72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showGridLines="0" zoomScaleNormal="100" workbookViewId="0">
      <selection activeCell="B15" sqref="B15"/>
    </sheetView>
  </sheetViews>
  <sheetFormatPr defaultColWidth="8.6640625" defaultRowHeight="14.4"/>
  <cols>
    <col min="1" max="1" width="16" customWidth="1"/>
    <col min="2" max="2" width="110" customWidth="1"/>
  </cols>
  <sheetData>
    <row r="1" spans="1:8" ht="24.75" customHeight="1">
      <c r="A1" s="22" t="s">
        <v>0</v>
      </c>
      <c r="B1" s="22"/>
      <c r="C1" s="22"/>
      <c r="D1" s="22"/>
      <c r="E1" s="22"/>
      <c r="F1" s="22"/>
      <c r="G1" s="22"/>
      <c r="H1" s="22"/>
    </row>
    <row r="3" spans="1:8">
      <c r="A3" s="1" t="s">
        <v>1</v>
      </c>
      <c r="B3" s="2" t="s">
        <v>2</v>
      </c>
    </row>
    <row r="5" spans="1:8">
      <c r="A5" s="1" t="s">
        <v>3</v>
      </c>
      <c r="B5" s="2" t="s">
        <v>4</v>
      </c>
    </row>
    <row r="6" spans="1:8">
      <c r="A6" s="1" t="s">
        <v>5</v>
      </c>
      <c r="B6" s="2" t="s">
        <v>6</v>
      </c>
    </row>
    <row r="7" spans="1:8">
      <c r="A7" s="1" t="s">
        <v>7</v>
      </c>
      <c r="B7" s="2" t="s">
        <v>8</v>
      </c>
    </row>
    <row r="8" spans="1:8" ht="28.2">
      <c r="A8" s="1" t="s">
        <v>9</v>
      </c>
      <c r="B8" s="2" t="s">
        <v>10</v>
      </c>
    </row>
    <row r="10" spans="1:8" ht="27.6">
      <c r="A10" s="1" t="s">
        <v>11</v>
      </c>
      <c r="B10" s="2" t="s">
        <v>12</v>
      </c>
    </row>
    <row r="11" spans="1:8" ht="27.6">
      <c r="A11" s="1" t="s">
        <v>13</v>
      </c>
      <c r="B11" s="2" t="s">
        <v>14</v>
      </c>
    </row>
    <row r="13" spans="1:8">
      <c r="A13" s="1" t="s">
        <v>15</v>
      </c>
      <c r="B13" s="2" t="s">
        <v>16</v>
      </c>
    </row>
    <row r="15" spans="1:8" ht="27.6">
      <c r="A15" s="1" t="s">
        <v>17</v>
      </c>
      <c r="B15" s="3" t="s">
        <v>18</v>
      </c>
    </row>
  </sheetData>
  <mergeCells count="1">
    <mergeCell ref="A1:H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showGridLines="0" zoomScaleNormal="100" workbookViewId="0">
      <pane ySplit="3" topLeftCell="A4" activePane="bottomLeft" state="frozen"/>
      <selection pane="bottomLeft" activeCell="B20" sqref="B20"/>
    </sheetView>
  </sheetViews>
  <sheetFormatPr defaultColWidth="8.6640625" defaultRowHeight="14.4"/>
  <cols>
    <col min="1" max="1" width="31" customWidth="1"/>
    <col min="2" max="2" width="18" customWidth="1"/>
    <col min="3" max="3" width="70" customWidth="1"/>
  </cols>
  <sheetData>
    <row r="1" spans="1:5" ht="24.75" customHeight="1">
      <c r="A1" s="22" t="s">
        <v>19</v>
      </c>
      <c r="B1" s="22"/>
      <c r="C1" s="22"/>
      <c r="D1" s="22"/>
      <c r="E1" s="22"/>
    </row>
    <row r="3" spans="1:5">
      <c r="A3" s="23" t="s">
        <v>20</v>
      </c>
      <c r="B3" s="23"/>
      <c r="C3" s="23"/>
      <c r="D3" s="23"/>
      <c r="E3" s="23"/>
    </row>
    <row r="4" spans="1:5">
      <c r="A4" s="4" t="s">
        <v>21</v>
      </c>
      <c r="B4" s="5">
        <v>46244</v>
      </c>
      <c r="C4" s="6" t="s">
        <v>22</v>
      </c>
    </row>
    <row r="5" spans="1:5">
      <c r="A5" s="4" t="s">
        <v>23</v>
      </c>
      <c r="B5" s="7">
        <v>23400</v>
      </c>
      <c r="C5" s="6" t="s">
        <v>24</v>
      </c>
    </row>
    <row r="6" spans="1:5">
      <c r="A6" s="4" t="s">
        <v>25</v>
      </c>
      <c r="B6" s="8">
        <v>24</v>
      </c>
      <c r="C6" s="6" t="s">
        <v>26</v>
      </c>
    </row>
    <row r="7" spans="1:5">
      <c r="A7" s="4" t="s">
        <v>27</v>
      </c>
      <c r="B7" s="9">
        <v>0.86</v>
      </c>
      <c r="C7" s="10" t="s">
        <v>28</v>
      </c>
    </row>
    <row r="8" spans="1:5">
      <c r="A8" s="4" t="s">
        <v>29</v>
      </c>
      <c r="B8" s="8">
        <v>36</v>
      </c>
      <c r="C8" s="6" t="s">
        <v>30</v>
      </c>
    </row>
    <row r="9" spans="1:5">
      <c r="A9" s="4" t="s">
        <v>31</v>
      </c>
      <c r="B9" s="8">
        <v>12</v>
      </c>
      <c r="C9" s="6" t="s">
        <v>32</v>
      </c>
    </row>
    <row r="11" spans="1:5">
      <c r="A11" s="23" t="s">
        <v>33</v>
      </c>
      <c r="B11" s="23"/>
      <c r="C11" s="23"/>
      <c r="D11" s="23"/>
      <c r="E11" s="23"/>
    </row>
    <row r="12" spans="1:5">
      <c r="A12" s="4" t="s">
        <v>34</v>
      </c>
      <c r="B12" s="11">
        <v>3.3000000000000002E-2</v>
      </c>
      <c r="C12" s="6" t="s">
        <v>35</v>
      </c>
    </row>
    <row r="13" spans="1:5">
      <c r="A13" s="4" t="s">
        <v>36</v>
      </c>
      <c r="B13" s="8">
        <v>360</v>
      </c>
      <c r="C13" s="10" t="s">
        <v>37</v>
      </c>
    </row>
    <row r="14" spans="1:5">
      <c r="A14" s="4" t="s">
        <v>38</v>
      </c>
      <c r="B14" s="8">
        <v>12</v>
      </c>
      <c r="C14" s="6" t="s">
        <v>39</v>
      </c>
    </row>
    <row r="15" spans="1:5">
      <c r="A15" s="4" t="s">
        <v>40</v>
      </c>
      <c r="B15" s="8">
        <v>5</v>
      </c>
      <c r="C15" s="6" t="s">
        <v>41</v>
      </c>
    </row>
    <row r="16" spans="1:5">
      <c r="A16" s="4" t="s">
        <v>42</v>
      </c>
      <c r="B16" s="8">
        <v>2</v>
      </c>
      <c r="C16" s="6" t="s">
        <v>43</v>
      </c>
    </row>
    <row r="18" spans="1:5">
      <c r="A18" s="23" t="s">
        <v>44</v>
      </c>
      <c r="B18" s="23"/>
      <c r="C18" s="23"/>
      <c r="D18" s="23"/>
      <c r="E18" s="23"/>
    </row>
    <row r="19" spans="1:5">
      <c r="A19" s="4" t="s">
        <v>45</v>
      </c>
      <c r="B19" s="11">
        <v>0.15</v>
      </c>
      <c r="C19" s="6" t="s">
        <v>46</v>
      </c>
    </row>
    <row r="20" spans="1:5">
      <c r="A20" s="4" t="s">
        <v>47</v>
      </c>
      <c r="B20" s="8">
        <v>12</v>
      </c>
      <c r="C20" s="6" t="s">
        <v>48</v>
      </c>
    </row>
    <row r="21" spans="1:5">
      <c r="A21" s="4" t="s">
        <v>49</v>
      </c>
      <c r="B21" s="8">
        <v>28</v>
      </c>
      <c r="C21" s="6" t="s">
        <v>50</v>
      </c>
    </row>
    <row r="22" spans="1:5">
      <c r="A22" s="4" t="s">
        <v>51</v>
      </c>
      <c r="B22" s="8">
        <v>8</v>
      </c>
      <c r="C22" s="6" t="s">
        <v>52</v>
      </c>
    </row>
    <row r="23" spans="1:5">
      <c r="A23" s="4" t="s">
        <v>53</v>
      </c>
      <c r="B23" s="11">
        <v>1E-3</v>
      </c>
      <c r="C23" s="6" t="s">
        <v>54</v>
      </c>
    </row>
    <row r="24" spans="1:5">
      <c r="A24" s="4" t="s">
        <v>55</v>
      </c>
      <c r="B24" s="11">
        <v>1E-3</v>
      </c>
      <c r="C24" s="6" t="s">
        <v>56</v>
      </c>
    </row>
  </sheetData>
  <mergeCells count="4">
    <mergeCell ref="A1:E1"/>
    <mergeCell ref="A3:E3"/>
    <mergeCell ref="A11:E11"/>
    <mergeCell ref="A18:E18"/>
  </mergeCells>
  <phoneticPr fontId="1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5"/>
  <sheetViews>
    <sheetView showGridLines="0" tabSelected="1" zoomScaleNormal="100" workbookViewId="0">
      <pane ySplit="6" topLeftCell="A7" activePane="bottomLeft" state="frozen"/>
      <selection pane="bottomLeft" activeCell="A42" sqref="A42:XFD42"/>
    </sheetView>
  </sheetViews>
  <sheetFormatPr defaultColWidth="8.6640625" defaultRowHeight="14.4"/>
  <cols>
    <col min="1" max="1" width="11" customWidth="1"/>
    <col min="2" max="2" width="27" customWidth="1"/>
    <col min="3" max="5" width="18" customWidth="1"/>
    <col min="6" max="7" width="16" customWidth="1"/>
    <col min="8" max="9" width="18" customWidth="1"/>
    <col min="10" max="10" width="16" customWidth="1"/>
    <col min="11" max="12" width="20" customWidth="1"/>
    <col min="13" max="13" width="17" customWidth="1"/>
    <col min="14" max="14" width="20" customWidth="1"/>
    <col min="15" max="20" width="18" customWidth="1"/>
    <col min="21" max="21" width="18" style="30" customWidth="1"/>
    <col min="22" max="22" width="18" customWidth="1"/>
    <col min="23" max="23" width="20" customWidth="1"/>
    <col min="24" max="24" width="17" customWidth="1"/>
    <col min="25" max="25" width="20" customWidth="1"/>
    <col min="26" max="26" width="18" customWidth="1"/>
    <col min="27" max="27" width="14" customWidth="1"/>
  </cols>
  <sheetData>
    <row r="1" spans="1:27" ht="24.75" customHeight="1">
      <c r="A1" s="22" t="s">
        <v>57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 spans="1:27">
      <c r="U2"/>
    </row>
    <row r="3" spans="1:27">
      <c r="A3" s="24" t="s">
        <v>58</v>
      </c>
      <c r="B3" s="24"/>
      <c r="C3" s="24"/>
      <c r="E3" s="24" t="s">
        <v>59</v>
      </c>
      <c r="F3" s="24"/>
      <c r="G3" s="24"/>
      <c r="I3" s="24" t="s">
        <v>60</v>
      </c>
      <c r="J3" s="24"/>
      <c r="K3" s="24"/>
      <c r="M3" s="24" t="s">
        <v>61</v>
      </c>
      <c r="N3" s="24"/>
      <c r="O3" s="24"/>
      <c r="Q3" s="24" t="s">
        <v>62</v>
      </c>
      <c r="R3" s="24"/>
      <c r="S3" s="24"/>
      <c r="U3" s="24" t="s">
        <v>63</v>
      </c>
      <c r="V3" s="24"/>
      <c r="W3" s="24"/>
    </row>
    <row r="4" spans="1:27" ht="15.6">
      <c r="A4" s="25">
        <f>SUM(T7:T54)</f>
        <v>0</v>
      </c>
      <c r="B4" s="25"/>
      <c r="C4" s="25"/>
      <c r="E4" s="25">
        <f>U54</f>
        <v>13476.88623594323</v>
      </c>
      <c r="F4" s="25"/>
      <c r="G4" s="25"/>
      <c r="I4" s="25">
        <f>V54</f>
        <v>87713.493280398296</v>
      </c>
      <c r="J4" s="25"/>
      <c r="K4" s="25"/>
      <c r="M4" s="26">
        <f>SUM(L7:L54)</f>
        <v>18816.839999999997</v>
      </c>
      <c r="N4" s="26"/>
      <c r="O4" s="26"/>
      <c r="Q4" s="25">
        <f>Z54</f>
        <v>101190.37951634152</v>
      </c>
      <c r="R4" s="25"/>
      <c r="S4" s="25"/>
      <c r="U4" s="25">
        <f>SUM(T31:T42)</f>
        <v>0</v>
      </c>
      <c r="V4" s="25"/>
      <c r="W4" s="25"/>
    </row>
    <row r="5" spans="1:27">
      <c r="U5"/>
    </row>
    <row r="6" spans="1:27" ht="27.6">
      <c r="A6" s="12" t="s">
        <v>64</v>
      </c>
      <c r="B6" s="12" t="s">
        <v>65</v>
      </c>
      <c r="C6" s="12" t="s">
        <v>66</v>
      </c>
      <c r="D6" s="12" t="s">
        <v>67</v>
      </c>
      <c r="E6" s="12" t="s">
        <v>68</v>
      </c>
      <c r="F6" s="12" t="s">
        <v>69</v>
      </c>
      <c r="G6" s="12" t="s">
        <v>70</v>
      </c>
      <c r="H6" s="12" t="s">
        <v>71</v>
      </c>
      <c r="I6" s="12" t="s">
        <v>72</v>
      </c>
      <c r="J6" s="12" t="s">
        <v>73</v>
      </c>
      <c r="K6" s="12" t="s">
        <v>74</v>
      </c>
      <c r="L6" s="12" t="s">
        <v>75</v>
      </c>
      <c r="M6" s="12" t="s">
        <v>76</v>
      </c>
      <c r="N6" s="12" t="s">
        <v>77</v>
      </c>
      <c r="O6" s="12" t="s">
        <v>78</v>
      </c>
      <c r="P6" s="12" t="s">
        <v>79</v>
      </c>
      <c r="Q6" s="12" t="s">
        <v>80</v>
      </c>
      <c r="R6" s="12" t="s">
        <v>81</v>
      </c>
      <c r="S6" s="12" t="s">
        <v>82</v>
      </c>
      <c r="T6" s="12" t="s">
        <v>83</v>
      </c>
      <c r="U6" s="12" t="s">
        <v>59</v>
      </c>
      <c r="V6" s="12" t="s">
        <v>84</v>
      </c>
      <c r="W6" s="12" t="s">
        <v>85</v>
      </c>
      <c r="X6" s="12" t="s">
        <v>86</v>
      </c>
      <c r="Y6" s="12" t="s">
        <v>87</v>
      </c>
      <c r="Z6" s="12" t="s">
        <v>88</v>
      </c>
      <c r="AA6" s="12" t="s">
        <v>89</v>
      </c>
    </row>
    <row r="7" spans="1:27">
      <c r="A7" s="13">
        <f>EDATE(DATE(YEAR(参数设置!$B$4),MONTH(参数设置!$B$4),1),ROW()-7)</f>
        <v>46235</v>
      </c>
      <c r="B7" s="27" t="s">
        <v>110</v>
      </c>
      <c r="C7" s="14">
        <f>IF(AND(ROW()-6&lt;=参数设置!$B$6,OR(B7=策略字典!$A$1,B7=策略字典!$A$2)),参数设置!$B$5,0)</f>
        <v>23400</v>
      </c>
      <c r="D7" s="9">
        <f>参数设置!$B$7</f>
        <v>0.86</v>
      </c>
      <c r="E7" s="15">
        <f>IF(B7=策略字典!$A$1,C7/D7,0)</f>
        <v>27209.302325581397</v>
      </c>
      <c r="F7" s="15">
        <f>E7*参数设置!$B$23</f>
        <v>27.209302325581397</v>
      </c>
      <c r="G7" s="15">
        <f t="shared" ref="G7:G54" si="0">E7-F7</f>
        <v>27182.093023255817</v>
      </c>
      <c r="H7" s="15">
        <f t="shared" ref="H7:H54" si="1">IF(ROW()=7,0,V6)</f>
        <v>0</v>
      </c>
      <c r="I7" s="15">
        <f>(H7+G7)*参数设置!$B$19/参数设置!$B$20</f>
        <v>339.7761627906977</v>
      </c>
      <c r="J7" s="15">
        <f t="shared" ref="J7:J54" si="2">IF(ROW()=7,0,I6)</f>
        <v>0</v>
      </c>
      <c r="K7" s="14">
        <f>SUMIFS(贷款明细!$I$4:$I$435,贷款明细!$G$4:$G$435,"&gt;="&amp;A7,贷款明细!$G$4:$G$435,"&lt;"&amp;EDATE(A7,1))</f>
        <v>0</v>
      </c>
      <c r="L7" s="14">
        <f>SUMIFS(贷款明细!$J$4:$J$435,贷款明细!$G$4:$G$435,"&gt;="&amp;A7,贷款明细!$G$4:$G$435,"&lt;"&amp;EDATE(A7,1))</f>
        <v>0</v>
      </c>
      <c r="M7" s="15">
        <f t="shared" ref="M7:M54" si="3">(K7+L7)/D7</f>
        <v>0</v>
      </c>
      <c r="N7" s="15">
        <f>IF(B7=策略字典!$A$2,MIN(C7,K7)/D7,0)</f>
        <v>0</v>
      </c>
      <c r="O7" s="15">
        <f t="shared" ref="O7:O54" si="4">IF(ROW()=7,0,U6)</f>
        <v>0</v>
      </c>
      <c r="P7" s="15">
        <f t="shared" ref="P7:P54" si="5">O7+J7</f>
        <v>0</v>
      </c>
      <c r="Q7" s="15">
        <f t="shared" ref="Q7:Q54" si="6">MIN(P7,MAX(0,M7-N7))</f>
        <v>0</v>
      </c>
      <c r="R7" s="15">
        <f>IF(B7=策略字典!$A$3,MIN(H7+G7,MAX(0,M7-N7-Q7)),0)</f>
        <v>0</v>
      </c>
      <c r="S7" s="15">
        <f>IF(R7=0,0,R7/(1-参数设置!$B$24))</f>
        <v>0</v>
      </c>
      <c r="T7" s="15">
        <f t="shared" ref="T7:T54" si="7">MAX(0,M7-N7-Q7-R7)</f>
        <v>0</v>
      </c>
      <c r="U7" s="28">
        <f t="shared" ref="U7:U54" si="8">P7-Q7</f>
        <v>0</v>
      </c>
      <c r="V7" s="15">
        <f t="shared" ref="V7:V54" si="9">MAX(0,H7+G7-S7)</f>
        <v>27182.093023255817</v>
      </c>
      <c r="W7" s="14">
        <f>SUM($C$7:C7)-SUM($K$7:K7)</f>
        <v>23400</v>
      </c>
      <c r="X7" s="15">
        <f t="shared" ref="X7:X54" si="10">W7/D7</f>
        <v>27209.302325581397</v>
      </c>
      <c r="Y7" s="15">
        <f t="shared" ref="Y7:Y54" si="11">V7+U7</f>
        <v>27182.093023255817</v>
      </c>
      <c r="Z7" s="15">
        <f t="shared" ref="Z7:Z54" si="12">Y7-X7</f>
        <v>-27.209302325580211</v>
      </c>
      <c r="AA7" s="16">
        <f t="shared" ref="AA7:AA54" si="13">N7+Q7+R7+T7-M7</f>
        <v>0</v>
      </c>
    </row>
    <row r="8" spans="1:27">
      <c r="A8" s="13">
        <f>EDATE(DATE(YEAR(参数设置!$B$4),MONTH(参数设置!$B$4),1),ROW()-7)</f>
        <v>46266</v>
      </c>
      <c r="B8" s="27" t="s">
        <v>111</v>
      </c>
      <c r="C8" s="14">
        <f>IF(AND(ROW()-6&lt;=参数设置!$B$6,OR(B8=策略字典!$A$1,B8=策略字典!$A$2)),参数设置!$B$5,0)</f>
        <v>23400</v>
      </c>
      <c r="D8" s="9">
        <f>参数设置!$B$7</f>
        <v>0.86</v>
      </c>
      <c r="E8" s="15">
        <f>IF(B8=策略字典!$A$1,C8/D8,0)</f>
        <v>27209.302325581397</v>
      </c>
      <c r="F8" s="15">
        <f>E8*参数设置!$B$23</f>
        <v>27.209302325581397</v>
      </c>
      <c r="G8" s="15">
        <f t="shared" si="0"/>
        <v>27182.093023255817</v>
      </c>
      <c r="H8" s="15">
        <f t="shared" si="1"/>
        <v>27182.093023255817</v>
      </c>
      <c r="I8" s="15">
        <f>(H8+G8)*参数设置!$B$19/参数设置!$B$20</f>
        <v>679.55232558139539</v>
      </c>
      <c r="J8" s="15">
        <f t="shared" si="2"/>
        <v>339.7761627906977</v>
      </c>
      <c r="K8" s="14">
        <f>SUMIFS(贷款明细!$I$4:$I$435,贷款明细!$G$4:$G$435,"&gt;="&amp;A8,贷款明细!$G$4:$G$435,"&lt;"&amp;EDATE(A8,1))</f>
        <v>0</v>
      </c>
      <c r="L8" s="14">
        <f>SUMIFS(贷款明细!$J$4:$J$435,贷款明细!$G$4:$G$435,"&gt;="&amp;A8,贷款明细!$G$4:$G$435,"&lt;"&amp;EDATE(A8,1))</f>
        <v>0</v>
      </c>
      <c r="M8" s="15">
        <f t="shared" si="3"/>
        <v>0</v>
      </c>
      <c r="N8" s="15">
        <f>IF(B8=策略字典!$A$2,MIN(C8,K8)/D8,0)</f>
        <v>0</v>
      </c>
      <c r="O8" s="15">
        <f t="shared" si="4"/>
        <v>0</v>
      </c>
      <c r="P8" s="15">
        <f t="shared" si="5"/>
        <v>339.7761627906977</v>
      </c>
      <c r="Q8" s="15">
        <f t="shared" si="6"/>
        <v>0</v>
      </c>
      <c r="R8" s="15">
        <f>IF(B8=策略字典!$A$3,MIN(H8+G8,MAX(0,M8-N8-Q8)),0)</f>
        <v>0</v>
      </c>
      <c r="S8" s="15">
        <f>IF(R8=0,0,R8/(1-参数设置!$B$24))</f>
        <v>0</v>
      </c>
      <c r="T8" s="15">
        <f t="shared" si="7"/>
        <v>0</v>
      </c>
      <c r="U8" s="28">
        <f t="shared" si="8"/>
        <v>339.7761627906977</v>
      </c>
      <c r="V8" s="15">
        <f t="shared" si="9"/>
        <v>54364.186046511633</v>
      </c>
      <c r="W8" s="14">
        <f>SUM($C$7:C8)-SUM($K$7:K8)</f>
        <v>46800</v>
      </c>
      <c r="X8" s="15">
        <f t="shared" si="10"/>
        <v>54418.604651162794</v>
      </c>
      <c r="Y8" s="15">
        <f t="shared" si="11"/>
        <v>54703.962209302328</v>
      </c>
      <c r="Z8" s="15">
        <f t="shared" si="12"/>
        <v>285.35755813953438</v>
      </c>
      <c r="AA8" s="16">
        <f t="shared" si="13"/>
        <v>0</v>
      </c>
    </row>
    <row r="9" spans="1:27">
      <c r="A9" s="13">
        <f>EDATE(DATE(YEAR(参数设置!$B$4),MONTH(参数设置!$B$4),1),ROW()-7)</f>
        <v>46296</v>
      </c>
      <c r="B9" s="27" t="s">
        <v>111</v>
      </c>
      <c r="C9" s="14">
        <f>IF(AND(ROW()-6&lt;=参数设置!$B$6,OR(B9=策略字典!$A$1,B9=策略字典!$A$2)),参数设置!$B$5,0)</f>
        <v>23400</v>
      </c>
      <c r="D9" s="9">
        <f>参数设置!$B$7</f>
        <v>0.86</v>
      </c>
      <c r="E9" s="15">
        <f>IF(B9=策略字典!$A$1,C9/D9,0)</f>
        <v>27209.302325581397</v>
      </c>
      <c r="F9" s="15">
        <f>E9*参数设置!$B$23</f>
        <v>27.209302325581397</v>
      </c>
      <c r="G9" s="15">
        <f t="shared" si="0"/>
        <v>27182.093023255817</v>
      </c>
      <c r="H9" s="15">
        <f t="shared" si="1"/>
        <v>54364.186046511633</v>
      </c>
      <c r="I9" s="15">
        <f>(H9+G9)*参数设置!$B$19/参数设置!$B$20</f>
        <v>1019.328488372093</v>
      </c>
      <c r="J9" s="15">
        <f t="shared" si="2"/>
        <v>679.55232558139539</v>
      </c>
      <c r="K9" s="14">
        <f>SUMIFS(贷款明细!$I$4:$I$435,贷款明细!$G$4:$G$435,"&gt;="&amp;A9,贷款明细!$G$4:$G$435,"&lt;"&amp;EDATE(A9,1))</f>
        <v>0</v>
      </c>
      <c r="L9" s="14">
        <f>SUMIFS(贷款明细!$J$4:$J$435,贷款明细!$G$4:$G$435,"&gt;="&amp;A9,贷款明细!$G$4:$G$435,"&lt;"&amp;EDATE(A9,1))</f>
        <v>120.12</v>
      </c>
      <c r="M9" s="15">
        <f t="shared" si="3"/>
        <v>139.67441860465118</v>
      </c>
      <c r="N9" s="15">
        <f>IF(B9=策略字典!$A$2,MIN(C9,K9)/D9,0)</f>
        <v>0</v>
      </c>
      <c r="O9" s="15">
        <f t="shared" si="4"/>
        <v>339.7761627906977</v>
      </c>
      <c r="P9" s="15">
        <f t="shared" si="5"/>
        <v>1019.328488372093</v>
      </c>
      <c r="Q9" s="15">
        <f t="shared" si="6"/>
        <v>139.67441860465118</v>
      </c>
      <c r="R9" s="15">
        <f>IF(B9=策略字典!$A$3,MIN(H9+G9,MAX(0,M9-N9-Q9)),0)</f>
        <v>0</v>
      </c>
      <c r="S9" s="15">
        <f>IF(R9=0,0,R9/(1-参数设置!$B$24))</f>
        <v>0</v>
      </c>
      <c r="T9" s="15">
        <f t="shared" si="7"/>
        <v>0</v>
      </c>
      <c r="U9" s="28">
        <f t="shared" si="8"/>
        <v>879.6540697674418</v>
      </c>
      <c r="V9" s="15">
        <f t="shared" si="9"/>
        <v>81546.27906976745</v>
      </c>
      <c r="W9" s="14">
        <f>SUM($C$7:C9)-SUM($K$7:K9)</f>
        <v>70200</v>
      </c>
      <c r="X9" s="15">
        <f t="shared" si="10"/>
        <v>81627.906976744183</v>
      </c>
      <c r="Y9" s="15">
        <f t="shared" si="11"/>
        <v>82425.933139534885</v>
      </c>
      <c r="Z9" s="15">
        <f t="shared" si="12"/>
        <v>798.02616279070207</v>
      </c>
      <c r="AA9" s="16">
        <f t="shared" si="13"/>
        <v>0</v>
      </c>
    </row>
    <row r="10" spans="1:27">
      <c r="A10" s="13">
        <f>EDATE(DATE(YEAR(参数设置!$B$4),MONTH(参数设置!$B$4),1),ROW()-7)</f>
        <v>46327</v>
      </c>
      <c r="B10" s="27" t="s">
        <v>111</v>
      </c>
      <c r="C10" s="14">
        <f>IF(AND(ROW()-6&lt;=参数设置!$B$6,OR(B10=策略字典!$A$1,B10=策略字典!$A$2)),参数设置!$B$5,0)</f>
        <v>23400</v>
      </c>
      <c r="D10" s="9">
        <f>参数设置!$B$7</f>
        <v>0.86</v>
      </c>
      <c r="E10" s="15">
        <f>IF(B10=策略字典!$A$1,C10/D10,0)</f>
        <v>27209.302325581397</v>
      </c>
      <c r="F10" s="15">
        <f>E10*参数设置!$B$23</f>
        <v>27.209302325581397</v>
      </c>
      <c r="G10" s="15">
        <f t="shared" si="0"/>
        <v>27182.093023255817</v>
      </c>
      <c r="H10" s="15">
        <f t="shared" si="1"/>
        <v>81546.27906976745</v>
      </c>
      <c r="I10" s="15">
        <f>(H10+G10)*参数设置!$B$19/参数设置!$B$20</f>
        <v>1359.1046511627908</v>
      </c>
      <c r="J10" s="15">
        <f t="shared" si="2"/>
        <v>1019.328488372093</v>
      </c>
      <c r="K10" s="14">
        <f>SUMIFS(贷款明细!$I$4:$I$435,贷款明细!$G$4:$G$435,"&gt;="&amp;A10,贷款明细!$G$4:$G$435,"&lt;"&amp;EDATE(A10,1))</f>
        <v>0</v>
      </c>
      <c r="L10" s="14">
        <f>SUMIFS(贷款明细!$J$4:$J$435,贷款明细!$G$4:$G$435,"&gt;="&amp;A10,贷款明细!$G$4:$G$435,"&lt;"&amp;EDATE(A10,1))</f>
        <v>186.62</v>
      </c>
      <c r="M10" s="15">
        <f t="shared" si="3"/>
        <v>217</v>
      </c>
      <c r="N10" s="15">
        <f>IF(B10=策略字典!$A$2,MIN(C10,K10)/D10,0)</f>
        <v>0</v>
      </c>
      <c r="O10" s="15">
        <f t="shared" si="4"/>
        <v>879.6540697674418</v>
      </c>
      <c r="P10" s="15">
        <f t="shared" si="5"/>
        <v>1898.9825581395348</v>
      </c>
      <c r="Q10" s="15">
        <f t="shared" si="6"/>
        <v>217</v>
      </c>
      <c r="R10" s="15">
        <f>IF(B10=策略字典!$A$3,MIN(H10+G10,MAX(0,M10-N10-Q10)),0)</f>
        <v>0</v>
      </c>
      <c r="S10" s="15">
        <f>IF(R10=0,0,R10/(1-参数设置!$B$24))</f>
        <v>0</v>
      </c>
      <c r="T10" s="15">
        <f t="shared" si="7"/>
        <v>0</v>
      </c>
      <c r="U10" s="28">
        <f t="shared" si="8"/>
        <v>1681.9825581395348</v>
      </c>
      <c r="V10" s="15">
        <f t="shared" si="9"/>
        <v>108728.37209302327</v>
      </c>
      <c r="W10" s="14">
        <f>SUM($C$7:C10)-SUM($K$7:K10)</f>
        <v>93600</v>
      </c>
      <c r="X10" s="15">
        <f t="shared" si="10"/>
        <v>108837.20930232559</v>
      </c>
      <c r="Y10" s="15">
        <f t="shared" si="11"/>
        <v>110410.35465116281</v>
      </c>
      <c r="Z10" s="15">
        <f t="shared" si="12"/>
        <v>1573.1453488372208</v>
      </c>
      <c r="AA10" s="16">
        <f t="shared" si="13"/>
        <v>0</v>
      </c>
    </row>
    <row r="11" spans="1:27">
      <c r="A11" s="13">
        <f>EDATE(DATE(YEAR(参数设置!$B$4),MONTH(参数设置!$B$4),1),ROW()-7)</f>
        <v>46357</v>
      </c>
      <c r="B11" s="27" t="s">
        <v>111</v>
      </c>
      <c r="C11" s="14">
        <f>IF(AND(ROW()-6&lt;=参数设置!$B$6,OR(B11=策略字典!$A$1,B11=策略字典!$A$2)),参数设置!$B$5,0)</f>
        <v>23400</v>
      </c>
      <c r="D11" s="9">
        <f>参数设置!$B$7</f>
        <v>0.86</v>
      </c>
      <c r="E11" s="15">
        <f>IF(B11=策略字典!$A$1,C11/D11,0)</f>
        <v>27209.302325581397</v>
      </c>
      <c r="F11" s="15">
        <f>E11*参数设置!$B$23</f>
        <v>27.209302325581397</v>
      </c>
      <c r="G11" s="15">
        <f t="shared" si="0"/>
        <v>27182.093023255817</v>
      </c>
      <c r="H11" s="15">
        <f t="shared" si="1"/>
        <v>108728.37209302327</v>
      </c>
      <c r="I11" s="15">
        <f>(H11+G11)*参数设置!$B$19/参数设置!$B$20</f>
        <v>1698.8808139534885</v>
      </c>
      <c r="J11" s="15">
        <f t="shared" si="2"/>
        <v>1359.1046511627908</v>
      </c>
      <c r="K11" s="14">
        <f>SUMIFS(贷款明细!$I$4:$I$435,贷款明细!$G$4:$G$435,"&gt;="&amp;A11,贷款明细!$G$4:$G$435,"&lt;"&amp;EDATE(A11,1))</f>
        <v>0</v>
      </c>
      <c r="L11" s="14">
        <f>SUMIFS(贷款明细!$J$4:$J$435,贷款明细!$G$4:$G$435,"&gt;="&amp;A11,贷款明细!$G$4:$G$435,"&lt;"&amp;EDATE(A11,1))</f>
        <v>248.82</v>
      </c>
      <c r="M11" s="15">
        <f t="shared" si="3"/>
        <v>289.32558139534882</v>
      </c>
      <c r="N11" s="15">
        <f>IF(B11=策略字典!$A$2,MIN(C11,K11)/D11,0)</f>
        <v>0</v>
      </c>
      <c r="O11" s="15">
        <f t="shared" si="4"/>
        <v>1681.9825581395348</v>
      </c>
      <c r="P11" s="15">
        <f t="shared" si="5"/>
        <v>3041.0872093023254</v>
      </c>
      <c r="Q11" s="15">
        <f t="shared" si="6"/>
        <v>289.32558139534882</v>
      </c>
      <c r="R11" s="15">
        <f>IF(B11=策略字典!$A$3,MIN(H11+G11,MAX(0,M11-N11-Q11)),0)</f>
        <v>0</v>
      </c>
      <c r="S11" s="15">
        <f>IF(R11=0,0,R11/(1-参数设置!$B$24))</f>
        <v>0</v>
      </c>
      <c r="T11" s="15">
        <f t="shared" si="7"/>
        <v>0</v>
      </c>
      <c r="U11" s="28">
        <f t="shared" si="8"/>
        <v>2751.7616279069766</v>
      </c>
      <c r="V11" s="15">
        <f t="shared" si="9"/>
        <v>135910.46511627908</v>
      </c>
      <c r="W11" s="14">
        <f>SUM($C$7:C11)-SUM($K$7:K11)</f>
        <v>117000</v>
      </c>
      <c r="X11" s="15">
        <f t="shared" si="10"/>
        <v>136046.51162790699</v>
      </c>
      <c r="Y11" s="15">
        <f t="shared" si="11"/>
        <v>138662.22674418605</v>
      </c>
      <c r="Z11" s="15">
        <f t="shared" si="12"/>
        <v>2615.7151162790542</v>
      </c>
      <c r="AA11" s="16">
        <f t="shared" si="13"/>
        <v>0</v>
      </c>
    </row>
    <row r="12" spans="1:27">
      <c r="A12" s="13">
        <f>EDATE(DATE(YEAR(参数设置!$B$4),MONTH(参数设置!$B$4),1),ROW()-7)</f>
        <v>46388</v>
      </c>
      <c r="B12" s="27" t="s">
        <v>111</v>
      </c>
      <c r="C12" s="14">
        <f>IF(AND(ROW()-6&lt;=参数设置!$B$6,OR(B12=策略字典!$A$1,B12=策略字典!$A$2)),参数设置!$B$5,0)</f>
        <v>23400</v>
      </c>
      <c r="D12" s="9">
        <f>参数设置!$B$7</f>
        <v>0.86</v>
      </c>
      <c r="E12" s="15">
        <f>IF(B12=策略字典!$A$1,C12/D12,0)</f>
        <v>27209.302325581397</v>
      </c>
      <c r="F12" s="15">
        <f>E12*参数设置!$B$23</f>
        <v>27.209302325581397</v>
      </c>
      <c r="G12" s="15">
        <f t="shared" si="0"/>
        <v>27182.093023255817</v>
      </c>
      <c r="H12" s="15">
        <f t="shared" si="1"/>
        <v>135910.46511627908</v>
      </c>
      <c r="I12" s="15">
        <f>(H12+G12)*参数设置!$B$19/参数设置!$B$20</f>
        <v>2038.6569767441861</v>
      </c>
      <c r="J12" s="15">
        <f t="shared" si="2"/>
        <v>1698.8808139534885</v>
      </c>
      <c r="K12" s="14">
        <f>SUMIFS(贷款明细!$I$4:$I$435,贷款明细!$G$4:$G$435,"&gt;="&amp;A12,贷款明细!$G$4:$G$435,"&lt;"&amp;EDATE(A12,1))</f>
        <v>0</v>
      </c>
      <c r="L12" s="14">
        <f>SUMIFS(贷款明细!$J$4:$J$435,贷款明细!$G$4:$G$435,"&gt;="&amp;A12,贷款明细!$G$4:$G$435,"&lt;"&amp;EDATE(A12,1))</f>
        <v>319.62</v>
      </c>
      <c r="M12" s="15">
        <f t="shared" si="3"/>
        <v>371.6511627906977</v>
      </c>
      <c r="N12" s="15">
        <f>IF(B12=策略字典!$A$2,MIN(C12,K12)/D12,0)</f>
        <v>0</v>
      </c>
      <c r="O12" s="15">
        <f t="shared" si="4"/>
        <v>2751.7616279069766</v>
      </c>
      <c r="P12" s="15">
        <f t="shared" si="5"/>
        <v>4450.6424418604656</v>
      </c>
      <c r="Q12" s="15">
        <f t="shared" si="6"/>
        <v>371.6511627906977</v>
      </c>
      <c r="R12" s="15">
        <f>IF(B12=策略字典!$A$3,MIN(H12+G12,MAX(0,M12-N12-Q12)),0)</f>
        <v>0</v>
      </c>
      <c r="S12" s="15">
        <f>IF(R12=0,0,R12/(1-参数设置!$B$24))</f>
        <v>0</v>
      </c>
      <c r="T12" s="15">
        <f t="shared" si="7"/>
        <v>0</v>
      </c>
      <c r="U12" s="28">
        <f t="shared" si="8"/>
        <v>4078.9912790697681</v>
      </c>
      <c r="V12" s="15">
        <f t="shared" si="9"/>
        <v>163092.5581395349</v>
      </c>
      <c r="W12" s="14">
        <f>SUM($C$7:C12)-SUM($K$7:K12)</f>
        <v>140400</v>
      </c>
      <c r="X12" s="15">
        <f t="shared" si="10"/>
        <v>163255.81395348837</v>
      </c>
      <c r="Y12" s="15">
        <f t="shared" si="11"/>
        <v>167171.54941860467</v>
      </c>
      <c r="Z12" s="15">
        <f t="shared" si="12"/>
        <v>3915.7354651163041</v>
      </c>
      <c r="AA12" s="16">
        <f t="shared" si="13"/>
        <v>0</v>
      </c>
    </row>
    <row r="13" spans="1:27">
      <c r="A13" s="13">
        <f>EDATE(DATE(YEAR(参数设置!$B$4),MONTH(参数设置!$B$4),1),ROW()-7)</f>
        <v>46419</v>
      </c>
      <c r="B13" s="27" t="s">
        <v>111</v>
      </c>
      <c r="C13" s="14">
        <f>IF(AND(ROW()-6&lt;=参数设置!$B$6,OR(B13=策略字典!$A$1,B13=策略字典!$A$2)),参数设置!$B$5,0)</f>
        <v>23400</v>
      </c>
      <c r="D13" s="9">
        <f>参数设置!$B$7</f>
        <v>0.86</v>
      </c>
      <c r="E13" s="15">
        <f>IF(B13=策略字典!$A$1,C13/D13,0)</f>
        <v>27209.302325581397</v>
      </c>
      <c r="F13" s="15">
        <f>E13*参数设置!$B$23</f>
        <v>27.209302325581397</v>
      </c>
      <c r="G13" s="15">
        <f t="shared" si="0"/>
        <v>27182.093023255817</v>
      </c>
      <c r="H13" s="15">
        <f t="shared" si="1"/>
        <v>163092.5581395349</v>
      </c>
      <c r="I13" s="15">
        <f>(H13+G13)*参数设置!$B$19/参数设置!$B$20</f>
        <v>2378.433139534884</v>
      </c>
      <c r="J13" s="15">
        <f t="shared" si="2"/>
        <v>2038.6569767441861</v>
      </c>
      <c r="K13" s="14">
        <f>SUMIFS(贷款明细!$I$4:$I$435,贷款明细!$G$4:$G$435,"&gt;="&amp;A13,贷款明细!$G$4:$G$435,"&lt;"&amp;EDATE(A13,1))</f>
        <v>0</v>
      </c>
      <c r="L13" s="14">
        <f>SUMIFS(贷款明细!$J$4:$J$435,贷款明细!$G$4:$G$435,"&gt;="&amp;A13,贷款明细!$G$4:$G$435,"&lt;"&amp;EDATE(A13,1))</f>
        <v>388.27</v>
      </c>
      <c r="M13" s="15">
        <f t="shared" si="3"/>
        <v>451.47674418604652</v>
      </c>
      <c r="N13" s="15">
        <f>IF(B13=策略字典!$A$2,MIN(C13,K13)/D13,0)</f>
        <v>0</v>
      </c>
      <c r="O13" s="15">
        <f t="shared" si="4"/>
        <v>4078.9912790697681</v>
      </c>
      <c r="P13" s="15">
        <f t="shared" si="5"/>
        <v>6117.6482558139542</v>
      </c>
      <c r="Q13" s="15">
        <f t="shared" si="6"/>
        <v>451.47674418604652</v>
      </c>
      <c r="R13" s="15">
        <f>IF(B13=策略字典!$A$3,MIN(H13+G13,MAX(0,M13-N13-Q13)),0)</f>
        <v>0</v>
      </c>
      <c r="S13" s="15">
        <f>IF(R13=0,0,R13/(1-参数设置!$B$24))</f>
        <v>0</v>
      </c>
      <c r="T13" s="15">
        <f t="shared" si="7"/>
        <v>0</v>
      </c>
      <c r="U13" s="28">
        <f t="shared" si="8"/>
        <v>5666.1715116279074</v>
      </c>
      <c r="V13" s="15">
        <f t="shared" si="9"/>
        <v>190274.65116279072</v>
      </c>
      <c r="W13" s="14">
        <f>SUM($C$7:C13)-SUM($K$7:K13)</f>
        <v>163800</v>
      </c>
      <c r="X13" s="15">
        <f t="shared" si="10"/>
        <v>190465.11627906977</v>
      </c>
      <c r="Y13" s="15">
        <f t="shared" si="11"/>
        <v>195940.82267441862</v>
      </c>
      <c r="Z13" s="15">
        <f t="shared" si="12"/>
        <v>5475.7063953488541</v>
      </c>
      <c r="AA13" s="16">
        <f t="shared" si="13"/>
        <v>0</v>
      </c>
    </row>
    <row r="14" spans="1:27">
      <c r="A14" s="13">
        <f>EDATE(DATE(YEAR(参数设置!$B$4),MONTH(参数设置!$B$4),1),ROW()-7)</f>
        <v>46447</v>
      </c>
      <c r="B14" s="27" t="s">
        <v>111</v>
      </c>
      <c r="C14" s="14">
        <f>IF(AND(ROW()-6&lt;=参数设置!$B$6,OR(B14=策略字典!$A$1,B14=策略字典!$A$2)),参数设置!$B$5,0)</f>
        <v>23400</v>
      </c>
      <c r="D14" s="9">
        <f>参数设置!$B$7</f>
        <v>0.86</v>
      </c>
      <c r="E14" s="15">
        <f>IF(B14=策略字典!$A$1,C14/D14,0)</f>
        <v>27209.302325581397</v>
      </c>
      <c r="F14" s="15">
        <f>E14*参数设置!$B$23</f>
        <v>27.209302325581397</v>
      </c>
      <c r="G14" s="15">
        <f t="shared" si="0"/>
        <v>27182.093023255817</v>
      </c>
      <c r="H14" s="15">
        <f t="shared" si="1"/>
        <v>190274.65116279072</v>
      </c>
      <c r="I14" s="15">
        <f>(H14+G14)*参数设置!$B$19/参数设置!$B$20</f>
        <v>2718.2093023255816</v>
      </c>
      <c r="J14" s="15">
        <f t="shared" si="2"/>
        <v>2378.433139534884</v>
      </c>
      <c r="K14" s="14">
        <f>SUMIFS(贷款明细!$I$4:$I$435,贷款明细!$G$4:$G$435,"&gt;="&amp;A14,贷款明细!$G$4:$G$435,"&lt;"&amp;EDATE(A14,1))</f>
        <v>0</v>
      </c>
      <c r="L14" s="14">
        <f>SUMIFS(贷款明细!$J$4:$J$435,贷款明细!$G$4:$G$435,"&gt;="&amp;A14,贷款明细!$G$4:$G$435,"&lt;"&amp;EDATE(A14,1))</f>
        <v>416.13</v>
      </c>
      <c r="M14" s="15">
        <f t="shared" si="3"/>
        <v>483.87209302325584</v>
      </c>
      <c r="N14" s="15">
        <f>IF(B14=策略字典!$A$2,MIN(C14,K14)/D14,0)</f>
        <v>0</v>
      </c>
      <c r="O14" s="15">
        <f t="shared" si="4"/>
        <v>5666.1715116279074</v>
      </c>
      <c r="P14" s="15">
        <f t="shared" si="5"/>
        <v>8044.6046511627919</v>
      </c>
      <c r="Q14" s="15">
        <f t="shared" si="6"/>
        <v>483.87209302325584</v>
      </c>
      <c r="R14" s="15">
        <f>IF(B14=策略字典!$A$3,MIN(H14+G14,MAX(0,M14-N14-Q14)),0)</f>
        <v>0</v>
      </c>
      <c r="S14" s="15">
        <f>IF(R14=0,0,R14/(1-参数设置!$B$24))</f>
        <v>0</v>
      </c>
      <c r="T14" s="15">
        <f t="shared" si="7"/>
        <v>0</v>
      </c>
      <c r="U14" s="28">
        <f t="shared" si="8"/>
        <v>7560.7325581395362</v>
      </c>
      <c r="V14" s="15">
        <f t="shared" si="9"/>
        <v>217456.74418604653</v>
      </c>
      <c r="W14" s="14">
        <f>SUM($C$7:C14)-SUM($K$7:K14)</f>
        <v>187200</v>
      </c>
      <c r="X14" s="15">
        <f t="shared" si="10"/>
        <v>217674.41860465117</v>
      </c>
      <c r="Y14" s="15">
        <f t="shared" si="11"/>
        <v>225017.47674418607</v>
      </c>
      <c r="Z14" s="15">
        <f t="shared" si="12"/>
        <v>7343.0581395349</v>
      </c>
      <c r="AA14" s="16">
        <f t="shared" si="13"/>
        <v>0</v>
      </c>
    </row>
    <row r="15" spans="1:27">
      <c r="A15" s="13">
        <f>EDATE(DATE(YEAR(参数设置!$B$4),MONTH(参数设置!$B$4),1),ROW()-7)</f>
        <v>46478</v>
      </c>
      <c r="B15" s="27" t="s">
        <v>111</v>
      </c>
      <c r="C15" s="14">
        <f>IF(AND(ROW()-6&lt;=参数设置!$B$6,OR(B15=策略字典!$A$1,B15=策略字典!$A$2)),参数设置!$B$5,0)</f>
        <v>23400</v>
      </c>
      <c r="D15" s="9">
        <f>参数设置!$B$7</f>
        <v>0.86</v>
      </c>
      <c r="E15" s="15">
        <f>IF(B15=策略字典!$A$1,C15/D15,0)</f>
        <v>27209.302325581397</v>
      </c>
      <c r="F15" s="15">
        <f>E15*参数设置!$B$23</f>
        <v>27.209302325581397</v>
      </c>
      <c r="G15" s="15">
        <f t="shared" si="0"/>
        <v>27182.093023255817</v>
      </c>
      <c r="H15" s="15">
        <f t="shared" si="1"/>
        <v>217456.74418604653</v>
      </c>
      <c r="I15" s="15">
        <f>(H15+G15)*参数设置!$B$19/参数设置!$B$20</f>
        <v>3057.9854651162791</v>
      </c>
      <c r="J15" s="15">
        <f t="shared" si="2"/>
        <v>2718.2093023255816</v>
      </c>
      <c r="K15" s="14">
        <f>SUMIFS(贷款明细!$I$4:$I$435,贷款明细!$G$4:$G$435,"&gt;="&amp;A15,贷款明细!$G$4:$G$435,"&lt;"&amp;EDATE(A15,1))</f>
        <v>0</v>
      </c>
      <c r="L15" s="14">
        <f>SUMIFS(贷款明细!$J$4:$J$435,贷款明细!$G$4:$G$435,"&gt;="&amp;A15,贷款明细!$G$4:$G$435,"&lt;"&amp;EDATE(A15,1))</f>
        <v>514.83000000000004</v>
      </c>
      <c r="M15" s="15">
        <f t="shared" si="3"/>
        <v>598.63953488372101</v>
      </c>
      <c r="N15" s="15">
        <f>IF(B15=策略字典!$A$2,MIN(C15,K15)/D15,0)</f>
        <v>0</v>
      </c>
      <c r="O15" s="15">
        <f t="shared" si="4"/>
        <v>7560.7325581395362</v>
      </c>
      <c r="P15" s="15">
        <f t="shared" si="5"/>
        <v>10278.941860465118</v>
      </c>
      <c r="Q15" s="15">
        <f t="shared" si="6"/>
        <v>598.63953488372101</v>
      </c>
      <c r="R15" s="15">
        <f>IF(B15=策略字典!$A$3,MIN(H15+G15,MAX(0,M15-N15-Q15)),0)</f>
        <v>0</v>
      </c>
      <c r="S15" s="15">
        <f>IF(R15=0,0,R15/(1-参数设置!$B$24))</f>
        <v>0</v>
      </c>
      <c r="T15" s="15">
        <f t="shared" si="7"/>
        <v>0</v>
      </c>
      <c r="U15" s="28">
        <f t="shared" si="8"/>
        <v>9680.3023255813969</v>
      </c>
      <c r="V15" s="15">
        <f t="shared" si="9"/>
        <v>244638.83720930235</v>
      </c>
      <c r="W15" s="14">
        <f>SUM($C$7:C15)-SUM($K$7:K15)</f>
        <v>210600</v>
      </c>
      <c r="X15" s="15">
        <f t="shared" si="10"/>
        <v>244883.72093023255</v>
      </c>
      <c r="Y15" s="15">
        <f t="shared" si="11"/>
        <v>254319.13953488375</v>
      </c>
      <c r="Z15" s="15">
        <f t="shared" si="12"/>
        <v>9435.4186046512041</v>
      </c>
      <c r="AA15" s="16">
        <f t="shared" si="13"/>
        <v>0</v>
      </c>
    </row>
    <row r="16" spans="1:27">
      <c r="A16" s="13">
        <f>EDATE(DATE(YEAR(参数设置!$B$4),MONTH(参数设置!$B$4),1),ROW()-7)</f>
        <v>46508</v>
      </c>
      <c r="B16" s="27" t="s">
        <v>111</v>
      </c>
      <c r="C16" s="14">
        <f>IF(AND(ROW()-6&lt;=参数设置!$B$6,OR(B16=策略字典!$A$1,B16=策略字典!$A$2)),参数设置!$B$5,0)</f>
        <v>23400</v>
      </c>
      <c r="D16" s="9">
        <f>参数设置!$B$7</f>
        <v>0.86</v>
      </c>
      <c r="E16" s="15">
        <f>IF(B16=策略字典!$A$1,C16/D16,0)</f>
        <v>27209.302325581397</v>
      </c>
      <c r="F16" s="15">
        <f>E16*参数设置!$B$23</f>
        <v>27.209302325581397</v>
      </c>
      <c r="G16" s="15">
        <f t="shared" si="0"/>
        <v>27182.093023255817</v>
      </c>
      <c r="H16" s="15">
        <f t="shared" si="1"/>
        <v>244638.83720930235</v>
      </c>
      <c r="I16" s="15">
        <f>(H16+G16)*参数设置!$B$19/参数设置!$B$20</f>
        <v>3397.7616279069771</v>
      </c>
      <c r="J16" s="15">
        <f t="shared" si="2"/>
        <v>3057.9854651162791</v>
      </c>
      <c r="K16" s="14">
        <f>SUMIFS(贷款明细!$I$4:$I$435,贷款明细!$G$4:$G$435,"&gt;="&amp;A16,贷款明细!$G$4:$G$435,"&lt;"&amp;EDATE(A16,1))</f>
        <v>0</v>
      </c>
      <c r="L16" s="14">
        <f>SUMIFS(贷款明细!$J$4:$J$435,贷款明细!$G$4:$G$435,"&gt;="&amp;A16,贷款明细!$G$4:$G$435,"&lt;"&amp;EDATE(A16,1))</f>
        <v>570.57000000000005</v>
      </c>
      <c r="M16" s="15">
        <f t="shared" si="3"/>
        <v>663.45348837209315</v>
      </c>
      <c r="N16" s="15">
        <f>IF(B16=策略字典!$A$2,MIN(C16,K16)/D16,0)</f>
        <v>0</v>
      </c>
      <c r="O16" s="15">
        <f t="shared" si="4"/>
        <v>9680.3023255813969</v>
      </c>
      <c r="P16" s="15">
        <f t="shared" si="5"/>
        <v>12738.287790697676</v>
      </c>
      <c r="Q16" s="15">
        <f t="shared" si="6"/>
        <v>663.45348837209315</v>
      </c>
      <c r="R16" s="15">
        <f>IF(B16=策略字典!$A$3,MIN(H16+G16,MAX(0,M16-N16-Q16)),0)</f>
        <v>0</v>
      </c>
      <c r="S16" s="15">
        <f>IF(R16=0,0,R16/(1-参数设置!$B$24))</f>
        <v>0</v>
      </c>
      <c r="T16" s="15">
        <f t="shared" si="7"/>
        <v>0</v>
      </c>
      <c r="U16" s="28">
        <f t="shared" si="8"/>
        <v>12074.834302325582</v>
      </c>
      <c r="V16" s="15">
        <f t="shared" si="9"/>
        <v>271820.93023255817</v>
      </c>
      <c r="W16" s="14">
        <f>SUM($C$7:C16)-SUM($K$7:K16)</f>
        <v>234000</v>
      </c>
      <c r="X16" s="15">
        <f t="shared" si="10"/>
        <v>272093.02325581398</v>
      </c>
      <c r="Y16" s="15">
        <f t="shared" si="11"/>
        <v>283895.76453488372</v>
      </c>
      <c r="Z16" s="15">
        <f t="shared" si="12"/>
        <v>11802.741279069742</v>
      </c>
      <c r="AA16" s="16">
        <f t="shared" si="13"/>
        <v>0</v>
      </c>
    </row>
    <row r="17" spans="1:27">
      <c r="A17" s="13">
        <f>EDATE(DATE(YEAR(参数设置!$B$4),MONTH(参数设置!$B$4),1),ROW()-7)</f>
        <v>46539</v>
      </c>
      <c r="B17" s="27" t="s">
        <v>111</v>
      </c>
      <c r="C17" s="14">
        <f>IF(AND(ROW()-6&lt;=参数设置!$B$6,OR(B17=策略字典!$A$1,B17=策略字典!$A$2)),参数设置!$B$5,0)</f>
        <v>23400</v>
      </c>
      <c r="D17" s="9">
        <f>参数设置!$B$7</f>
        <v>0.86</v>
      </c>
      <c r="E17" s="15">
        <f>IF(B17=策略字典!$A$1,C17/D17,0)</f>
        <v>27209.302325581397</v>
      </c>
      <c r="F17" s="15">
        <f>E17*参数设置!$B$23</f>
        <v>27.209302325581397</v>
      </c>
      <c r="G17" s="15">
        <f t="shared" si="0"/>
        <v>27182.093023255817</v>
      </c>
      <c r="H17" s="15">
        <f t="shared" si="1"/>
        <v>271820.93023255817</v>
      </c>
      <c r="I17" s="15">
        <f>(H17+G17)*参数设置!$B$19/参数设置!$B$20</f>
        <v>3737.5377906976751</v>
      </c>
      <c r="J17" s="15">
        <f t="shared" si="2"/>
        <v>3397.7616279069771</v>
      </c>
      <c r="K17" s="14">
        <f>SUMIFS(贷款明细!$I$4:$I$435,贷款明细!$G$4:$G$435,"&gt;="&amp;A17,贷款明细!$G$4:$G$435,"&lt;"&amp;EDATE(A17,1))</f>
        <v>0</v>
      </c>
      <c r="L17" s="14">
        <f>SUMIFS(贷款明细!$J$4:$J$435,贷款明细!$G$4:$G$435,"&gt;="&amp;A17,贷款明细!$G$4:$G$435,"&lt;"&amp;EDATE(A17,1))</f>
        <v>652.12</v>
      </c>
      <c r="M17" s="15">
        <f t="shared" si="3"/>
        <v>758.27906976744191</v>
      </c>
      <c r="N17" s="15">
        <f>IF(B17=策略字典!$A$2,MIN(C17,K17)/D17,0)</f>
        <v>0</v>
      </c>
      <c r="O17" s="15">
        <f t="shared" si="4"/>
        <v>12074.834302325582</v>
      </c>
      <c r="P17" s="15">
        <f t="shared" si="5"/>
        <v>15472.595930232559</v>
      </c>
      <c r="Q17" s="15">
        <f t="shared" si="6"/>
        <v>758.27906976744191</v>
      </c>
      <c r="R17" s="15">
        <f>IF(B17=策略字典!$A$3,MIN(H17+G17,MAX(0,M17-N17-Q17)),0)</f>
        <v>0</v>
      </c>
      <c r="S17" s="15">
        <f>IF(R17=0,0,R17/(1-参数设置!$B$24))</f>
        <v>0</v>
      </c>
      <c r="T17" s="15">
        <f t="shared" si="7"/>
        <v>0</v>
      </c>
      <c r="U17" s="28">
        <f t="shared" si="8"/>
        <v>14714.316860465116</v>
      </c>
      <c r="V17" s="15">
        <f t="shared" si="9"/>
        <v>299003.02325581398</v>
      </c>
      <c r="W17" s="14">
        <f>SUM($C$7:C17)-SUM($K$7:K17)</f>
        <v>257400</v>
      </c>
      <c r="X17" s="15">
        <f t="shared" si="10"/>
        <v>299302.32558139536</v>
      </c>
      <c r="Y17" s="15">
        <f t="shared" si="11"/>
        <v>313717.34011627908</v>
      </c>
      <c r="Z17" s="15">
        <f t="shared" si="12"/>
        <v>14415.014534883725</v>
      </c>
      <c r="AA17" s="16">
        <f t="shared" si="13"/>
        <v>0</v>
      </c>
    </row>
    <row r="18" spans="1:27">
      <c r="A18" s="13">
        <f>EDATE(DATE(YEAR(参数设置!$B$4),MONTH(参数设置!$B$4),1),ROW()-7)</f>
        <v>46569</v>
      </c>
      <c r="B18" s="27" t="s">
        <v>111</v>
      </c>
      <c r="C18" s="14">
        <f>IF(AND(ROW()-6&lt;=参数设置!$B$6,OR(B18=策略字典!$A$1,B18=策略字典!$A$2)),参数设置!$B$5,0)</f>
        <v>23400</v>
      </c>
      <c r="D18" s="9">
        <f>参数设置!$B$7</f>
        <v>0.86</v>
      </c>
      <c r="E18" s="15">
        <f>IF(B18=策略字典!$A$1,C18/D18,0)</f>
        <v>27209.302325581397</v>
      </c>
      <c r="F18" s="15">
        <f>E18*参数设置!$B$23</f>
        <v>27.209302325581397</v>
      </c>
      <c r="G18" s="15">
        <f t="shared" si="0"/>
        <v>27182.093023255817</v>
      </c>
      <c r="H18" s="15">
        <f t="shared" si="1"/>
        <v>299003.02325581398</v>
      </c>
      <c r="I18" s="15">
        <f>(H18+G18)*参数设置!$B$19/参数设置!$B$20</f>
        <v>4077.3139534883721</v>
      </c>
      <c r="J18" s="15">
        <f t="shared" si="2"/>
        <v>3737.5377906976751</v>
      </c>
      <c r="K18" s="14">
        <f>SUMIFS(贷款明细!$I$4:$I$435,贷款明细!$G$4:$G$435,"&gt;="&amp;A18,贷款明细!$G$4:$G$435,"&lt;"&amp;EDATE(A18,1))</f>
        <v>0</v>
      </c>
      <c r="L18" s="14">
        <f>SUMIFS(贷款明细!$J$4:$J$435,贷款明细!$G$4:$G$435,"&gt;="&amp;A18,贷款明细!$G$4:$G$435,"&lt;"&amp;EDATE(A18,1))</f>
        <v>699.2700000000001</v>
      </c>
      <c r="M18" s="15">
        <f t="shared" si="3"/>
        <v>813.10465116279079</v>
      </c>
      <c r="N18" s="15">
        <f>IF(B18=策略字典!$A$2,MIN(C18,K18)/D18,0)</f>
        <v>0</v>
      </c>
      <c r="O18" s="15">
        <f t="shared" si="4"/>
        <v>14714.316860465116</v>
      </c>
      <c r="P18" s="15">
        <f t="shared" si="5"/>
        <v>18451.85465116279</v>
      </c>
      <c r="Q18" s="15">
        <f t="shared" si="6"/>
        <v>813.10465116279079</v>
      </c>
      <c r="R18" s="15">
        <f>IF(B18=策略字典!$A$3,MIN(H18+G18,MAX(0,M18-N18-Q18)),0)</f>
        <v>0</v>
      </c>
      <c r="S18" s="15">
        <f>IF(R18=0,0,R18/(1-参数设置!$B$24))</f>
        <v>0</v>
      </c>
      <c r="T18" s="15">
        <f t="shared" si="7"/>
        <v>0</v>
      </c>
      <c r="U18" s="28">
        <f t="shared" si="8"/>
        <v>17638.75</v>
      </c>
      <c r="V18" s="15">
        <f t="shared" si="9"/>
        <v>326185.1162790698</v>
      </c>
      <c r="W18" s="14">
        <f>SUM($C$7:C18)-SUM($K$7:K18)</f>
        <v>280800</v>
      </c>
      <c r="X18" s="15">
        <f t="shared" si="10"/>
        <v>326511.62790697673</v>
      </c>
      <c r="Y18" s="15">
        <f t="shared" si="11"/>
        <v>343823.8662790698</v>
      </c>
      <c r="Z18" s="15">
        <f t="shared" si="12"/>
        <v>17312.238372093067</v>
      </c>
      <c r="AA18" s="16">
        <f t="shared" si="13"/>
        <v>0</v>
      </c>
    </row>
    <row r="19" spans="1:27">
      <c r="A19" s="13">
        <f>EDATE(DATE(YEAR(参数设置!$B$4),MONTH(参数设置!$B$4),1),ROW()-7)</f>
        <v>46600</v>
      </c>
      <c r="B19" s="27" t="s">
        <v>90</v>
      </c>
      <c r="C19" s="14">
        <f>IF(AND(ROW()-6&lt;=参数设置!$B$6,OR(B19=策略字典!$A$1,B19=策略字典!$A$2)),参数设置!$B$5,0)</f>
        <v>23400</v>
      </c>
      <c r="D19" s="9">
        <f>参数设置!$B$7</f>
        <v>0.86</v>
      </c>
      <c r="E19" s="15">
        <f>IF(B19=策略字典!$A$1,C19/D19,0)</f>
        <v>0</v>
      </c>
      <c r="F19" s="15">
        <f>E19*参数设置!$B$23</f>
        <v>0</v>
      </c>
      <c r="G19" s="15">
        <f t="shared" si="0"/>
        <v>0</v>
      </c>
      <c r="H19" s="15">
        <f t="shared" si="1"/>
        <v>326185.1162790698</v>
      </c>
      <c r="I19" s="15">
        <f>(H19+G19)*参数设置!$B$19/参数设置!$B$20</f>
        <v>4077.3139534883721</v>
      </c>
      <c r="J19" s="15">
        <f t="shared" si="2"/>
        <v>4077.3139534883721</v>
      </c>
      <c r="K19" s="14">
        <f>SUMIFS(贷款明细!$I$4:$I$435,贷款明细!$G$4:$G$435,"&gt;="&amp;A19,贷款明细!$G$4:$G$435,"&lt;"&amp;EDATE(A19,1))</f>
        <v>23400</v>
      </c>
      <c r="L19" s="14">
        <f>SUMIFS(贷款明细!$J$4:$J$435,贷款明细!$G$4:$G$435,"&gt;="&amp;A19,贷款明细!$G$4:$G$435,"&lt;"&amp;EDATE(A19,1))</f>
        <v>795.85</v>
      </c>
      <c r="M19" s="15">
        <f t="shared" si="3"/>
        <v>28134.70930232558</v>
      </c>
      <c r="N19" s="15">
        <f>IF(B19=策略字典!$A$2,MIN(C19,K19)/D19,0)</f>
        <v>27209.302325581397</v>
      </c>
      <c r="O19" s="15">
        <f t="shared" si="4"/>
        <v>17638.75</v>
      </c>
      <c r="P19" s="15">
        <f t="shared" si="5"/>
        <v>21716.063953488374</v>
      </c>
      <c r="Q19" s="15">
        <f t="shared" si="6"/>
        <v>925.40697674418334</v>
      </c>
      <c r="R19" s="15">
        <f>IF(B19=策略字典!$A$3,MIN(H19+G19,MAX(0,M19-N19-Q19)),0)</f>
        <v>0</v>
      </c>
      <c r="S19" s="15">
        <f>IF(R19=0,0,R19/(1-参数设置!$B$24))</f>
        <v>0</v>
      </c>
      <c r="T19" s="15">
        <f t="shared" si="7"/>
        <v>0</v>
      </c>
      <c r="U19" s="28">
        <f t="shared" si="8"/>
        <v>20790.656976744191</v>
      </c>
      <c r="V19" s="15">
        <f t="shared" si="9"/>
        <v>326185.1162790698</v>
      </c>
      <c r="W19" s="14">
        <f>SUM($C$7:C19)-SUM($K$7:K19)</f>
        <v>280800</v>
      </c>
      <c r="X19" s="15">
        <f t="shared" si="10"/>
        <v>326511.62790697673</v>
      </c>
      <c r="Y19" s="15">
        <f t="shared" si="11"/>
        <v>346975.77325581398</v>
      </c>
      <c r="Z19" s="15">
        <f t="shared" si="12"/>
        <v>20464.14534883725</v>
      </c>
      <c r="AA19" s="16">
        <f t="shared" si="13"/>
        <v>0</v>
      </c>
    </row>
    <row r="20" spans="1:27">
      <c r="A20" s="13">
        <f>EDATE(DATE(YEAR(参数设置!$B$4),MONTH(参数设置!$B$4),1),ROW()-7)</f>
        <v>46631</v>
      </c>
      <c r="B20" s="27" t="s">
        <v>90</v>
      </c>
      <c r="C20" s="14">
        <f>IF(AND(ROW()-6&lt;=参数设置!$B$6,OR(B20=策略字典!$A$1,B20=策略字典!$A$2)),参数设置!$B$5,0)</f>
        <v>23400</v>
      </c>
      <c r="D20" s="9">
        <f>参数设置!$B$7</f>
        <v>0.86</v>
      </c>
      <c r="E20" s="15">
        <f>IF(B20=策略字典!$A$1,C20/D20,0)</f>
        <v>0</v>
      </c>
      <c r="F20" s="15">
        <f>E20*参数设置!$B$23</f>
        <v>0</v>
      </c>
      <c r="G20" s="15">
        <f t="shared" si="0"/>
        <v>0</v>
      </c>
      <c r="H20" s="15">
        <f t="shared" si="1"/>
        <v>326185.1162790698</v>
      </c>
      <c r="I20" s="15">
        <f>(H20+G20)*参数设置!$B$19/参数设置!$B$20</f>
        <v>4077.3139534883721</v>
      </c>
      <c r="J20" s="15">
        <f t="shared" si="2"/>
        <v>4077.3139534883721</v>
      </c>
      <c r="K20" s="14">
        <f>SUMIFS(贷款明细!$I$4:$I$435,贷款明细!$G$4:$G$435,"&gt;="&amp;A20,贷款明细!$G$4:$G$435,"&lt;"&amp;EDATE(A20,1))</f>
        <v>23400</v>
      </c>
      <c r="L20" s="14">
        <f>SUMIFS(贷款明细!$J$4:$J$435,贷款明细!$G$4:$G$435,"&gt;="&amp;A20,贷款明细!$G$4:$G$435,"&lt;"&amp;EDATE(A20,1))</f>
        <v>798</v>
      </c>
      <c r="M20" s="15">
        <f t="shared" si="3"/>
        <v>28137.20930232558</v>
      </c>
      <c r="N20" s="15">
        <f>IF(B20=策略字典!$A$2,MIN(C20,K20)/D20,0)</f>
        <v>27209.302325581397</v>
      </c>
      <c r="O20" s="15">
        <f t="shared" si="4"/>
        <v>20790.656976744191</v>
      </c>
      <c r="P20" s="15">
        <f t="shared" si="5"/>
        <v>24867.970930232565</v>
      </c>
      <c r="Q20" s="15">
        <f t="shared" si="6"/>
        <v>927.90697674418334</v>
      </c>
      <c r="R20" s="15">
        <f>IF(B20=策略字典!$A$3,MIN(H20+G20,MAX(0,M20-N20-Q20)),0)</f>
        <v>0</v>
      </c>
      <c r="S20" s="15">
        <f>IF(R20=0,0,R20/(1-参数设置!$B$24))</f>
        <v>0</v>
      </c>
      <c r="T20" s="15">
        <f t="shared" si="7"/>
        <v>0</v>
      </c>
      <c r="U20" s="28">
        <f t="shared" si="8"/>
        <v>23940.063953488381</v>
      </c>
      <c r="V20" s="15">
        <f t="shared" si="9"/>
        <v>326185.1162790698</v>
      </c>
      <c r="W20" s="14">
        <f>SUM($C$7:C20)-SUM($K$7:K20)</f>
        <v>280800</v>
      </c>
      <c r="X20" s="15">
        <f t="shared" si="10"/>
        <v>326511.62790697673</v>
      </c>
      <c r="Y20" s="15">
        <f t="shared" si="11"/>
        <v>350125.18023255817</v>
      </c>
      <c r="Z20" s="15">
        <f t="shared" si="12"/>
        <v>23613.552325581433</v>
      </c>
      <c r="AA20" s="16">
        <f t="shared" si="13"/>
        <v>0</v>
      </c>
    </row>
    <row r="21" spans="1:27">
      <c r="A21" s="13">
        <f>EDATE(DATE(YEAR(参数设置!$B$4),MONTH(参数设置!$B$4),1),ROW()-7)</f>
        <v>46661</v>
      </c>
      <c r="B21" s="27" t="s">
        <v>90</v>
      </c>
      <c r="C21" s="14">
        <f>IF(AND(ROW()-6&lt;=参数设置!$B$6,OR(B21=策略字典!$A$1,B21=策略字典!$A$2)),参数设置!$B$5,0)</f>
        <v>23400</v>
      </c>
      <c r="D21" s="9">
        <f>参数设置!$B$7</f>
        <v>0.86</v>
      </c>
      <c r="E21" s="15">
        <f>IF(B21=策略字典!$A$1,C21/D21,0)</f>
        <v>0</v>
      </c>
      <c r="F21" s="15">
        <f>E21*参数设置!$B$23</f>
        <v>0</v>
      </c>
      <c r="G21" s="15">
        <f t="shared" si="0"/>
        <v>0</v>
      </c>
      <c r="H21" s="15">
        <f t="shared" si="1"/>
        <v>326185.1162790698</v>
      </c>
      <c r="I21" s="15">
        <f>(H21+G21)*参数设置!$B$19/参数设置!$B$20</f>
        <v>4077.3139534883721</v>
      </c>
      <c r="J21" s="15">
        <f t="shared" si="2"/>
        <v>4077.3139534883721</v>
      </c>
      <c r="K21" s="14">
        <f>SUMIFS(贷款明细!$I$4:$I$435,贷款明细!$G$4:$G$435,"&gt;="&amp;A21,贷款明细!$G$4:$G$435,"&lt;"&amp;EDATE(A21,1))</f>
        <v>23400</v>
      </c>
      <c r="L21" s="14">
        <f>SUMIFS(贷款明细!$J$4:$J$435,贷款明细!$G$4:$G$435,"&gt;="&amp;A21,贷款明细!$G$4:$G$435,"&lt;"&amp;EDATE(A21,1))</f>
        <v>774.35000000000014</v>
      </c>
      <c r="M21" s="15">
        <f t="shared" si="3"/>
        <v>28109.70930232558</v>
      </c>
      <c r="N21" s="15">
        <f>IF(B21=策略字典!$A$2,MIN(C21,K21)/D21,0)</f>
        <v>27209.302325581397</v>
      </c>
      <c r="O21" s="15">
        <f t="shared" si="4"/>
        <v>23940.063953488381</v>
      </c>
      <c r="P21" s="15">
        <f t="shared" si="5"/>
        <v>28017.377906976755</v>
      </c>
      <c r="Q21" s="15">
        <f t="shared" si="6"/>
        <v>900.40697674418334</v>
      </c>
      <c r="R21" s="15">
        <f>IF(B21=策略字典!$A$3,MIN(H21+G21,MAX(0,M21-N21-Q21)),0)</f>
        <v>0</v>
      </c>
      <c r="S21" s="15">
        <f>IF(R21=0,0,R21/(1-参数设置!$B$24))</f>
        <v>0</v>
      </c>
      <c r="T21" s="15">
        <f t="shared" si="7"/>
        <v>0</v>
      </c>
      <c r="U21" s="28">
        <f t="shared" si="8"/>
        <v>27116.970930232572</v>
      </c>
      <c r="V21" s="15">
        <f t="shared" si="9"/>
        <v>326185.1162790698</v>
      </c>
      <c r="W21" s="14">
        <f>SUM($C$7:C21)-SUM($K$7:K21)</f>
        <v>280800</v>
      </c>
      <c r="X21" s="15">
        <f t="shared" si="10"/>
        <v>326511.62790697673</v>
      </c>
      <c r="Y21" s="15">
        <f t="shared" si="11"/>
        <v>353302.08720930235</v>
      </c>
      <c r="Z21" s="15">
        <f t="shared" si="12"/>
        <v>26790.459302325617</v>
      </c>
      <c r="AA21" s="16">
        <f t="shared" si="13"/>
        <v>0</v>
      </c>
    </row>
    <row r="22" spans="1:27">
      <c r="A22" s="13">
        <f>EDATE(DATE(YEAR(参数设置!$B$4),MONTH(参数设置!$B$4),1),ROW()-7)</f>
        <v>46692</v>
      </c>
      <c r="B22" s="27" t="s">
        <v>90</v>
      </c>
      <c r="C22" s="14">
        <f>IF(AND(ROW()-6&lt;=参数设置!$B$6,OR(B22=策略字典!$A$1,B22=策略字典!$A$2)),参数设置!$B$5,0)</f>
        <v>23400</v>
      </c>
      <c r="D22" s="9">
        <f>参数设置!$B$7</f>
        <v>0.86</v>
      </c>
      <c r="E22" s="15">
        <f>IF(B22=策略字典!$A$1,C22/D22,0)</f>
        <v>0</v>
      </c>
      <c r="F22" s="15">
        <f>E22*参数设置!$B$23</f>
        <v>0</v>
      </c>
      <c r="G22" s="15">
        <f t="shared" si="0"/>
        <v>0</v>
      </c>
      <c r="H22" s="15">
        <f t="shared" si="1"/>
        <v>326185.1162790698</v>
      </c>
      <c r="I22" s="15">
        <f>(H22+G22)*参数设置!$B$19/参数设置!$B$20</f>
        <v>4077.3139534883721</v>
      </c>
      <c r="J22" s="15">
        <f t="shared" si="2"/>
        <v>4077.3139534883721</v>
      </c>
      <c r="K22" s="14">
        <f>SUMIFS(贷款明细!$I$4:$I$435,贷款明细!$G$4:$G$435,"&gt;="&amp;A22,贷款明细!$G$4:$G$435,"&lt;"&amp;EDATE(A22,1))</f>
        <v>23400</v>
      </c>
      <c r="L22" s="14">
        <f>SUMIFS(贷款明细!$J$4:$J$435,贷款明细!$G$4:$G$435,"&gt;="&amp;A22,贷款明细!$G$4:$G$435,"&lt;"&amp;EDATE(A22,1))</f>
        <v>795.85</v>
      </c>
      <c r="M22" s="15">
        <f t="shared" si="3"/>
        <v>28134.70930232558</v>
      </c>
      <c r="N22" s="15">
        <f>IF(B22=策略字典!$A$2,MIN(C22,K22)/D22,0)</f>
        <v>27209.302325581397</v>
      </c>
      <c r="O22" s="15">
        <f t="shared" si="4"/>
        <v>27116.970930232572</v>
      </c>
      <c r="P22" s="15">
        <f t="shared" si="5"/>
        <v>31194.284883720946</v>
      </c>
      <c r="Q22" s="15">
        <f t="shared" si="6"/>
        <v>925.40697674418334</v>
      </c>
      <c r="R22" s="15">
        <f>IF(B22=策略字典!$A$3,MIN(H22+G22,MAX(0,M22-N22-Q22)),0)</f>
        <v>0</v>
      </c>
      <c r="S22" s="15">
        <f>IF(R22=0,0,R22/(1-参数设置!$B$24))</f>
        <v>0</v>
      </c>
      <c r="T22" s="15">
        <f t="shared" si="7"/>
        <v>0</v>
      </c>
      <c r="U22" s="28">
        <f t="shared" si="8"/>
        <v>30268.877906976762</v>
      </c>
      <c r="V22" s="15">
        <f t="shared" si="9"/>
        <v>326185.1162790698</v>
      </c>
      <c r="W22" s="14">
        <f>SUM($C$7:C22)-SUM($K$7:K22)</f>
        <v>280800</v>
      </c>
      <c r="X22" s="15">
        <f t="shared" si="10"/>
        <v>326511.62790697673</v>
      </c>
      <c r="Y22" s="15">
        <f t="shared" si="11"/>
        <v>356453.99418604653</v>
      </c>
      <c r="Z22" s="15">
        <f t="shared" si="12"/>
        <v>29942.3662790698</v>
      </c>
      <c r="AA22" s="16">
        <f t="shared" si="13"/>
        <v>0</v>
      </c>
    </row>
    <row r="23" spans="1:27">
      <c r="A23" s="13">
        <f>EDATE(DATE(YEAR(参数设置!$B$4),MONTH(参数设置!$B$4),1),ROW()-7)</f>
        <v>46722</v>
      </c>
      <c r="B23" s="27" t="s">
        <v>90</v>
      </c>
      <c r="C23" s="14">
        <f>IF(AND(ROW()-6&lt;=参数设置!$B$6,OR(B23=策略字典!$A$1,B23=策略字典!$A$2)),参数设置!$B$5,0)</f>
        <v>23400</v>
      </c>
      <c r="D23" s="9">
        <f>参数设置!$B$7</f>
        <v>0.86</v>
      </c>
      <c r="E23" s="15">
        <f>IF(B23=策略字典!$A$1,C23/D23,0)</f>
        <v>0</v>
      </c>
      <c r="F23" s="15">
        <f>E23*参数设置!$B$23</f>
        <v>0</v>
      </c>
      <c r="G23" s="15">
        <f t="shared" si="0"/>
        <v>0</v>
      </c>
      <c r="H23" s="15">
        <f t="shared" si="1"/>
        <v>326185.1162790698</v>
      </c>
      <c r="I23" s="15">
        <f>(H23+G23)*参数设置!$B$19/参数设置!$B$20</f>
        <v>4077.3139534883721</v>
      </c>
      <c r="J23" s="15">
        <f t="shared" si="2"/>
        <v>4077.3139534883721</v>
      </c>
      <c r="K23" s="14">
        <f>SUMIFS(贷款明细!$I$4:$I$435,贷款明细!$G$4:$G$435,"&gt;="&amp;A23,贷款明细!$G$4:$G$435,"&lt;"&amp;EDATE(A23,1))</f>
        <v>23400</v>
      </c>
      <c r="L23" s="14">
        <f>SUMIFS(贷款明细!$J$4:$J$435,贷款明细!$G$4:$G$435,"&gt;="&amp;A23,贷款明细!$G$4:$G$435,"&lt;"&amp;EDATE(A23,1))</f>
        <v>774.35000000000014</v>
      </c>
      <c r="M23" s="15">
        <f t="shared" si="3"/>
        <v>28109.70930232558</v>
      </c>
      <c r="N23" s="15">
        <f>IF(B23=策略字典!$A$2,MIN(C23,K23)/D23,0)</f>
        <v>27209.302325581397</v>
      </c>
      <c r="O23" s="15">
        <f t="shared" si="4"/>
        <v>30268.877906976762</v>
      </c>
      <c r="P23" s="15">
        <f t="shared" si="5"/>
        <v>34346.191860465136</v>
      </c>
      <c r="Q23" s="15">
        <f t="shared" si="6"/>
        <v>900.40697674418334</v>
      </c>
      <c r="R23" s="15">
        <f>IF(B23=策略字典!$A$3,MIN(H23+G23,MAX(0,M23-N23-Q23)),0)</f>
        <v>0</v>
      </c>
      <c r="S23" s="15">
        <f>IF(R23=0,0,R23/(1-参数设置!$B$24))</f>
        <v>0</v>
      </c>
      <c r="T23" s="15">
        <f t="shared" si="7"/>
        <v>0</v>
      </c>
      <c r="U23" s="28">
        <f t="shared" si="8"/>
        <v>33445.784883720953</v>
      </c>
      <c r="V23" s="15">
        <f t="shared" si="9"/>
        <v>326185.1162790698</v>
      </c>
      <c r="W23" s="14">
        <f>SUM($C$7:C23)-SUM($K$7:K23)</f>
        <v>280800</v>
      </c>
      <c r="X23" s="15">
        <f t="shared" si="10"/>
        <v>326511.62790697673</v>
      </c>
      <c r="Y23" s="15">
        <f t="shared" si="11"/>
        <v>359630.90116279077</v>
      </c>
      <c r="Z23" s="15">
        <f t="shared" si="12"/>
        <v>33119.273255814041</v>
      </c>
      <c r="AA23" s="16">
        <f t="shared" si="13"/>
        <v>0</v>
      </c>
    </row>
    <row r="24" spans="1:27">
      <c r="A24" s="13">
        <f>EDATE(DATE(YEAR(参数设置!$B$4),MONTH(参数设置!$B$4),1),ROW()-7)</f>
        <v>46753</v>
      </c>
      <c r="B24" s="27" t="s">
        <v>90</v>
      </c>
      <c r="C24" s="14">
        <f>IF(AND(ROW()-6&lt;=参数设置!$B$6,OR(B24=策略字典!$A$1,B24=策略字典!$A$2)),参数设置!$B$5,0)</f>
        <v>23400</v>
      </c>
      <c r="D24" s="9">
        <f>参数设置!$B$7</f>
        <v>0.86</v>
      </c>
      <c r="E24" s="15">
        <f>IF(B24=策略字典!$A$1,C24/D24,0)</f>
        <v>0</v>
      </c>
      <c r="F24" s="15">
        <f>E24*参数设置!$B$23</f>
        <v>0</v>
      </c>
      <c r="G24" s="15">
        <f t="shared" si="0"/>
        <v>0</v>
      </c>
      <c r="H24" s="15">
        <f t="shared" si="1"/>
        <v>326185.1162790698</v>
      </c>
      <c r="I24" s="15">
        <f>(H24+G24)*参数设置!$B$19/参数设置!$B$20</f>
        <v>4077.3139534883721</v>
      </c>
      <c r="J24" s="15">
        <f t="shared" si="2"/>
        <v>4077.3139534883721</v>
      </c>
      <c r="K24" s="14">
        <f>SUMIFS(贷款明细!$I$4:$I$435,贷款明细!$G$4:$G$435,"&gt;="&amp;A24,贷款明细!$G$4:$G$435,"&lt;"&amp;EDATE(A24,1))</f>
        <v>23400</v>
      </c>
      <c r="L24" s="14">
        <f>SUMIFS(贷款明细!$J$4:$J$435,贷款明细!$G$4:$G$435,"&gt;="&amp;A24,贷款明细!$G$4:$G$435,"&lt;"&amp;EDATE(A24,1))</f>
        <v>795.85</v>
      </c>
      <c r="M24" s="15">
        <f t="shared" si="3"/>
        <v>28134.70930232558</v>
      </c>
      <c r="N24" s="15">
        <f>IF(B24=策略字典!$A$2,MIN(C24,K24)/D24,0)</f>
        <v>27209.302325581397</v>
      </c>
      <c r="O24" s="15">
        <f t="shared" si="4"/>
        <v>33445.784883720953</v>
      </c>
      <c r="P24" s="15">
        <f t="shared" si="5"/>
        <v>37523.098837209327</v>
      </c>
      <c r="Q24" s="15">
        <f t="shared" si="6"/>
        <v>925.40697674418334</v>
      </c>
      <c r="R24" s="15">
        <f>IF(B24=策略字典!$A$3,MIN(H24+G24,MAX(0,M24-N24-Q24)),0)</f>
        <v>0</v>
      </c>
      <c r="S24" s="15">
        <f>IF(R24=0,0,R24/(1-参数设置!$B$24))</f>
        <v>0</v>
      </c>
      <c r="T24" s="15">
        <f t="shared" si="7"/>
        <v>0</v>
      </c>
      <c r="U24" s="28">
        <f t="shared" si="8"/>
        <v>36597.691860465144</v>
      </c>
      <c r="V24" s="15">
        <f t="shared" si="9"/>
        <v>326185.1162790698</v>
      </c>
      <c r="W24" s="14">
        <f>SUM($C$7:C24)-SUM($K$7:K24)</f>
        <v>280800</v>
      </c>
      <c r="X24" s="15">
        <f t="shared" si="10"/>
        <v>326511.62790697673</v>
      </c>
      <c r="Y24" s="15">
        <f t="shared" si="11"/>
        <v>362782.80813953496</v>
      </c>
      <c r="Z24" s="15">
        <f t="shared" si="12"/>
        <v>36271.180232558225</v>
      </c>
      <c r="AA24" s="16">
        <f t="shared" si="13"/>
        <v>0</v>
      </c>
    </row>
    <row r="25" spans="1:27">
      <c r="A25" s="13">
        <f>EDATE(DATE(YEAR(参数设置!$B$4),MONTH(参数设置!$B$4),1),ROW()-7)</f>
        <v>46784</v>
      </c>
      <c r="B25" s="27" t="s">
        <v>90</v>
      </c>
      <c r="C25" s="14">
        <f>IF(AND(ROW()-6&lt;=参数设置!$B$6,OR(B25=策略字典!$A$1,B25=策略字典!$A$2)),参数设置!$B$5,0)</f>
        <v>23400</v>
      </c>
      <c r="D25" s="9">
        <f>参数设置!$B$7</f>
        <v>0.86</v>
      </c>
      <c r="E25" s="15">
        <f>IF(B25=策略字典!$A$1,C25/D25,0)</f>
        <v>0</v>
      </c>
      <c r="F25" s="15">
        <f>E25*参数设置!$B$23</f>
        <v>0</v>
      </c>
      <c r="G25" s="15">
        <f t="shared" si="0"/>
        <v>0</v>
      </c>
      <c r="H25" s="15">
        <f t="shared" si="1"/>
        <v>326185.1162790698</v>
      </c>
      <c r="I25" s="15">
        <f>(H25+G25)*参数设置!$B$19/参数设置!$B$20</f>
        <v>4077.3139534883721</v>
      </c>
      <c r="J25" s="15">
        <f t="shared" si="2"/>
        <v>4077.3139534883721</v>
      </c>
      <c r="K25" s="14">
        <f>SUMIFS(贷款明细!$I$4:$I$435,贷款明细!$G$4:$G$435,"&gt;="&amp;A25,贷款明细!$G$4:$G$435,"&lt;"&amp;EDATE(A25,1))</f>
        <v>23400</v>
      </c>
      <c r="L25" s="14">
        <f>SUMIFS(贷款明细!$J$4:$J$435,贷款明细!$G$4:$G$435,"&gt;="&amp;A25,贷款明细!$G$4:$G$435,"&lt;"&amp;EDATE(A25,1))</f>
        <v>798</v>
      </c>
      <c r="M25" s="15">
        <f t="shared" si="3"/>
        <v>28137.20930232558</v>
      </c>
      <c r="N25" s="15">
        <f>IF(B25=策略字典!$A$2,MIN(C25,K25)/D25,0)</f>
        <v>27209.302325581397</v>
      </c>
      <c r="O25" s="15">
        <f t="shared" si="4"/>
        <v>36597.691860465144</v>
      </c>
      <c r="P25" s="15">
        <f t="shared" si="5"/>
        <v>40675.005813953518</v>
      </c>
      <c r="Q25" s="15">
        <f t="shared" si="6"/>
        <v>927.90697674418334</v>
      </c>
      <c r="R25" s="15">
        <f>IF(B25=策略字典!$A$3,MIN(H25+G25,MAX(0,M25-N25-Q25)),0)</f>
        <v>0</v>
      </c>
      <c r="S25" s="15">
        <f>IF(R25=0,0,R25/(1-参数设置!$B$24))</f>
        <v>0</v>
      </c>
      <c r="T25" s="15">
        <f t="shared" si="7"/>
        <v>0</v>
      </c>
      <c r="U25" s="28">
        <f t="shared" si="8"/>
        <v>39747.098837209334</v>
      </c>
      <c r="V25" s="15">
        <f t="shared" si="9"/>
        <v>326185.1162790698</v>
      </c>
      <c r="W25" s="14">
        <f>SUM($C$7:C25)-SUM($K$7:K25)</f>
        <v>280800</v>
      </c>
      <c r="X25" s="15">
        <f t="shared" si="10"/>
        <v>326511.62790697673</v>
      </c>
      <c r="Y25" s="15">
        <f t="shared" si="11"/>
        <v>365932.21511627914</v>
      </c>
      <c r="Z25" s="15">
        <f t="shared" si="12"/>
        <v>39420.587209302408</v>
      </c>
      <c r="AA25" s="16">
        <f t="shared" si="13"/>
        <v>0</v>
      </c>
    </row>
    <row r="26" spans="1:27">
      <c r="A26" s="13">
        <f>EDATE(DATE(YEAR(参数设置!$B$4),MONTH(参数设置!$B$4),1),ROW()-7)</f>
        <v>46813</v>
      </c>
      <c r="B26" s="27" t="s">
        <v>90</v>
      </c>
      <c r="C26" s="14">
        <f>IF(AND(ROW()-6&lt;=参数设置!$B$6,OR(B26=策略字典!$A$1,B26=策略字典!$A$2)),参数设置!$B$5,0)</f>
        <v>23400</v>
      </c>
      <c r="D26" s="9">
        <f>参数设置!$B$7</f>
        <v>0.86</v>
      </c>
      <c r="E26" s="15">
        <f>IF(B26=策略字典!$A$1,C26/D26,0)</f>
        <v>0</v>
      </c>
      <c r="F26" s="15">
        <f>E26*参数设置!$B$23</f>
        <v>0</v>
      </c>
      <c r="G26" s="15">
        <f t="shared" si="0"/>
        <v>0</v>
      </c>
      <c r="H26" s="15">
        <f t="shared" si="1"/>
        <v>326185.1162790698</v>
      </c>
      <c r="I26" s="15">
        <f>(H26+G26)*参数设置!$B$19/参数设置!$B$20</f>
        <v>4077.3139534883721</v>
      </c>
      <c r="J26" s="15">
        <f t="shared" si="2"/>
        <v>4077.3139534883721</v>
      </c>
      <c r="K26" s="14">
        <f>SUMIFS(贷款明细!$I$4:$I$435,贷款明细!$G$4:$G$435,"&gt;="&amp;A26,贷款明细!$G$4:$G$435,"&lt;"&amp;EDATE(A26,1))</f>
        <v>23400</v>
      </c>
      <c r="L26" s="14">
        <f>SUMIFS(贷款明细!$J$4:$J$435,贷款明细!$G$4:$G$435,"&gt;="&amp;A26,贷款明细!$G$4:$G$435,"&lt;"&amp;EDATE(A26,1))</f>
        <v>750.81</v>
      </c>
      <c r="M26" s="15">
        <f t="shared" si="3"/>
        <v>28082.337209302328</v>
      </c>
      <c r="N26" s="15">
        <f>IF(B26=策略字典!$A$2,MIN(C26,K26)/D26,0)</f>
        <v>27209.302325581397</v>
      </c>
      <c r="O26" s="15">
        <f t="shared" si="4"/>
        <v>39747.098837209334</v>
      </c>
      <c r="P26" s="15">
        <f t="shared" si="5"/>
        <v>43824.412790697708</v>
      </c>
      <c r="Q26" s="15">
        <f t="shared" si="6"/>
        <v>873.03488372093125</v>
      </c>
      <c r="R26" s="15">
        <f>IF(B26=策略字典!$A$3,MIN(H26+G26,MAX(0,M26-N26-Q26)),0)</f>
        <v>0</v>
      </c>
      <c r="S26" s="15">
        <f>IF(R26=0,0,R26/(1-参数设置!$B$24))</f>
        <v>0</v>
      </c>
      <c r="T26" s="15">
        <f t="shared" si="7"/>
        <v>0</v>
      </c>
      <c r="U26" s="28">
        <f t="shared" si="8"/>
        <v>42951.377906976777</v>
      </c>
      <c r="V26" s="15">
        <f t="shared" si="9"/>
        <v>326185.1162790698</v>
      </c>
      <c r="W26" s="14">
        <f>SUM($C$7:C26)-SUM($K$7:K26)</f>
        <v>280800</v>
      </c>
      <c r="X26" s="15">
        <f t="shared" si="10"/>
        <v>326511.62790697673</v>
      </c>
      <c r="Y26" s="15">
        <f t="shared" si="11"/>
        <v>369136.49418604659</v>
      </c>
      <c r="Z26" s="15">
        <f t="shared" si="12"/>
        <v>42624.866279069858</v>
      </c>
      <c r="AA26" s="16">
        <f t="shared" si="13"/>
        <v>0</v>
      </c>
    </row>
    <row r="27" spans="1:27">
      <c r="A27" s="13">
        <f>EDATE(DATE(YEAR(参数设置!$B$4),MONTH(参数设置!$B$4),1),ROW()-7)</f>
        <v>46844</v>
      </c>
      <c r="B27" s="27" t="s">
        <v>90</v>
      </c>
      <c r="C27" s="14">
        <f>IF(AND(ROW()-6&lt;=参数设置!$B$6,OR(B27=策略字典!$A$1,B27=策略字典!$A$2)),参数设置!$B$5,0)</f>
        <v>23400</v>
      </c>
      <c r="D27" s="9">
        <f>参数设置!$B$7</f>
        <v>0.86</v>
      </c>
      <c r="E27" s="15">
        <f>IF(B27=策略字典!$A$1,C27/D27,0)</f>
        <v>0</v>
      </c>
      <c r="F27" s="15">
        <f>E27*参数设置!$B$23</f>
        <v>0</v>
      </c>
      <c r="G27" s="15">
        <f t="shared" si="0"/>
        <v>0</v>
      </c>
      <c r="H27" s="15">
        <f t="shared" si="1"/>
        <v>326185.1162790698</v>
      </c>
      <c r="I27" s="15">
        <f>(H27+G27)*参数设置!$B$19/参数设置!$B$20</f>
        <v>4077.3139534883721</v>
      </c>
      <c r="J27" s="15">
        <f t="shared" si="2"/>
        <v>4077.3139534883721</v>
      </c>
      <c r="K27" s="14">
        <f>SUMIFS(贷款明细!$I$4:$I$435,贷款明细!$G$4:$G$435,"&gt;="&amp;A27,贷款明细!$G$4:$G$435,"&lt;"&amp;EDATE(A27,1))</f>
        <v>23400</v>
      </c>
      <c r="L27" s="14">
        <f>SUMIFS(贷款明细!$J$4:$J$435,贷款明细!$G$4:$G$435,"&gt;="&amp;A27,贷款明细!$G$4:$G$435,"&lt;"&amp;EDATE(A27,1))</f>
        <v>793.71</v>
      </c>
      <c r="M27" s="15">
        <f t="shared" si="3"/>
        <v>28132.220930232557</v>
      </c>
      <c r="N27" s="15">
        <f>IF(B27=策略字典!$A$2,MIN(C27,K27)/D27,0)</f>
        <v>27209.302325581397</v>
      </c>
      <c r="O27" s="15">
        <f t="shared" si="4"/>
        <v>42951.377906976777</v>
      </c>
      <c r="P27" s="15">
        <f t="shared" si="5"/>
        <v>47028.691860465151</v>
      </c>
      <c r="Q27" s="15">
        <f t="shared" si="6"/>
        <v>922.91860465116042</v>
      </c>
      <c r="R27" s="15">
        <f>IF(B27=策略字典!$A$3,MIN(H27+G27,MAX(0,M27-N27-Q27)),0)</f>
        <v>0</v>
      </c>
      <c r="S27" s="15">
        <f>IF(R27=0,0,R27/(1-参数设置!$B$24))</f>
        <v>0</v>
      </c>
      <c r="T27" s="15">
        <f t="shared" si="7"/>
        <v>0</v>
      </c>
      <c r="U27" s="28">
        <f t="shared" si="8"/>
        <v>46105.773255813991</v>
      </c>
      <c r="V27" s="15">
        <f t="shared" si="9"/>
        <v>326185.1162790698</v>
      </c>
      <c r="W27" s="14">
        <f>SUM($C$7:C27)-SUM($K$7:K27)</f>
        <v>280800</v>
      </c>
      <c r="X27" s="15">
        <f t="shared" si="10"/>
        <v>326511.62790697673</v>
      </c>
      <c r="Y27" s="15">
        <f t="shared" si="11"/>
        <v>372290.88953488378</v>
      </c>
      <c r="Z27" s="15">
        <f t="shared" si="12"/>
        <v>45779.26162790705</v>
      </c>
      <c r="AA27" s="16">
        <f t="shared" si="13"/>
        <v>0</v>
      </c>
    </row>
    <row r="28" spans="1:27">
      <c r="A28" s="13">
        <f>EDATE(DATE(YEAR(参数设置!$B$4),MONTH(参数设置!$B$4),1),ROW()-7)</f>
        <v>46874</v>
      </c>
      <c r="B28" s="27" t="s">
        <v>90</v>
      </c>
      <c r="C28" s="14">
        <f>IF(AND(ROW()-6&lt;=参数设置!$B$6,OR(B28=策略字典!$A$1,B28=策略字典!$A$2)),参数设置!$B$5,0)</f>
        <v>23400</v>
      </c>
      <c r="D28" s="9">
        <f>参数设置!$B$7</f>
        <v>0.86</v>
      </c>
      <c r="E28" s="15">
        <f>IF(B28=策略字典!$A$1,C28/D28,0)</f>
        <v>0</v>
      </c>
      <c r="F28" s="15">
        <f>E28*参数设置!$B$23</f>
        <v>0</v>
      </c>
      <c r="G28" s="15">
        <f t="shared" si="0"/>
        <v>0</v>
      </c>
      <c r="H28" s="15">
        <f t="shared" si="1"/>
        <v>326185.1162790698</v>
      </c>
      <c r="I28" s="15">
        <f>(H28+G28)*参数设置!$B$19/参数设置!$B$20</f>
        <v>4077.3139534883721</v>
      </c>
      <c r="J28" s="15">
        <f t="shared" si="2"/>
        <v>4077.3139534883721</v>
      </c>
      <c r="K28" s="14">
        <f>SUMIFS(贷款明细!$I$4:$I$435,贷款明细!$G$4:$G$435,"&gt;="&amp;A28,贷款明细!$G$4:$G$435,"&lt;"&amp;EDATE(A28,1))</f>
        <v>23400</v>
      </c>
      <c r="L28" s="14">
        <f>SUMIFS(贷款明细!$J$4:$J$435,贷款明细!$G$4:$G$435,"&gt;="&amp;A28,贷款明细!$G$4:$G$435,"&lt;"&amp;EDATE(A28,1))</f>
        <v>774.35000000000014</v>
      </c>
      <c r="M28" s="15">
        <f t="shared" si="3"/>
        <v>28109.70930232558</v>
      </c>
      <c r="N28" s="15">
        <f>IF(B28=策略字典!$A$2,MIN(C28,K28)/D28,0)</f>
        <v>27209.302325581397</v>
      </c>
      <c r="O28" s="15">
        <f t="shared" si="4"/>
        <v>46105.773255813991</v>
      </c>
      <c r="P28" s="15">
        <f t="shared" si="5"/>
        <v>50183.087209302364</v>
      </c>
      <c r="Q28" s="15">
        <f t="shared" si="6"/>
        <v>900.40697674418334</v>
      </c>
      <c r="R28" s="15">
        <f>IF(B28=策略字典!$A$3,MIN(H28+G28,MAX(0,M28-N28-Q28)),0)</f>
        <v>0</v>
      </c>
      <c r="S28" s="15">
        <f>IF(R28=0,0,R28/(1-参数设置!$B$24))</f>
        <v>0</v>
      </c>
      <c r="T28" s="15">
        <f t="shared" si="7"/>
        <v>0</v>
      </c>
      <c r="U28" s="28">
        <f t="shared" si="8"/>
        <v>49282.680232558181</v>
      </c>
      <c r="V28" s="15">
        <f t="shared" si="9"/>
        <v>326185.1162790698</v>
      </c>
      <c r="W28" s="14">
        <f>SUM($C$7:C28)-SUM($K$7:K28)</f>
        <v>280800</v>
      </c>
      <c r="X28" s="15">
        <f t="shared" si="10"/>
        <v>326511.62790697673</v>
      </c>
      <c r="Y28" s="15">
        <f t="shared" si="11"/>
        <v>375467.79651162797</v>
      </c>
      <c r="Z28" s="15">
        <f t="shared" si="12"/>
        <v>48956.168604651233</v>
      </c>
      <c r="AA28" s="16">
        <f t="shared" si="13"/>
        <v>0</v>
      </c>
    </row>
    <row r="29" spans="1:27">
      <c r="A29" s="13">
        <f>EDATE(DATE(YEAR(参数设置!$B$4),MONTH(参数设置!$B$4),1),ROW()-7)</f>
        <v>46905</v>
      </c>
      <c r="B29" s="27" t="s">
        <v>90</v>
      </c>
      <c r="C29" s="14">
        <f>IF(AND(ROW()-6&lt;=参数设置!$B$6,OR(B29=策略字典!$A$1,B29=策略字典!$A$2)),参数设置!$B$5,0)</f>
        <v>23400</v>
      </c>
      <c r="D29" s="9">
        <f>参数设置!$B$7</f>
        <v>0.86</v>
      </c>
      <c r="E29" s="15">
        <f>IF(B29=策略字典!$A$1,C29/D29,0)</f>
        <v>0</v>
      </c>
      <c r="F29" s="15">
        <f>E29*参数设置!$B$23</f>
        <v>0</v>
      </c>
      <c r="G29" s="15">
        <f t="shared" si="0"/>
        <v>0</v>
      </c>
      <c r="H29" s="15">
        <f t="shared" si="1"/>
        <v>326185.1162790698</v>
      </c>
      <c r="I29" s="15">
        <f>(H29+G29)*参数设置!$B$19/参数设置!$B$20</f>
        <v>4077.3139534883721</v>
      </c>
      <c r="J29" s="15">
        <f t="shared" si="2"/>
        <v>4077.3139534883721</v>
      </c>
      <c r="K29" s="14">
        <f>SUMIFS(贷款明细!$I$4:$I$435,贷款明细!$G$4:$G$435,"&gt;="&amp;A29,贷款明细!$G$4:$G$435,"&lt;"&amp;EDATE(A29,1))</f>
        <v>23400</v>
      </c>
      <c r="L29" s="14">
        <f>SUMIFS(贷款明细!$J$4:$J$435,贷款明细!$G$4:$G$435,"&gt;="&amp;A29,贷款明细!$G$4:$G$435,"&lt;"&amp;EDATE(A29,1))</f>
        <v>795.85</v>
      </c>
      <c r="M29" s="15">
        <f t="shared" si="3"/>
        <v>28134.70930232558</v>
      </c>
      <c r="N29" s="15">
        <f>IF(B29=策略字典!$A$2,MIN(C29,K29)/D29,0)</f>
        <v>27209.302325581397</v>
      </c>
      <c r="O29" s="15">
        <f t="shared" si="4"/>
        <v>49282.680232558181</v>
      </c>
      <c r="P29" s="15">
        <f t="shared" si="5"/>
        <v>53359.994186046555</v>
      </c>
      <c r="Q29" s="15">
        <f t="shared" si="6"/>
        <v>925.40697674418334</v>
      </c>
      <c r="R29" s="15">
        <f>IF(B29=策略字典!$A$3,MIN(H29+G29,MAX(0,M29-N29-Q29)),0)</f>
        <v>0</v>
      </c>
      <c r="S29" s="15">
        <f>IF(R29=0,0,R29/(1-参数设置!$B$24))</f>
        <v>0</v>
      </c>
      <c r="T29" s="15">
        <f t="shared" si="7"/>
        <v>0</v>
      </c>
      <c r="U29" s="28">
        <f t="shared" si="8"/>
        <v>52434.587209302372</v>
      </c>
      <c r="V29" s="15">
        <f t="shared" si="9"/>
        <v>326185.1162790698</v>
      </c>
      <c r="W29" s="14">
        <f>SUM($C$7:C29)-SUM($K$7:K29)</f>
        <v>280800</v>
      </c>
      <c r="X29" s="15">
        <f t="shared" si="10"/>
        <v>326511.62790697673</v>
      </c>
      <c r="Y29" s="15">
        <f t="shared" si="11"/>
        <v>378619.70348837215</v>
      </c>
      <c r="Z29" s="15">
        <f t="shared" si="12"/>
        <v>52108.075581395417</v>
      </c>
      <c r="AA29" s="16">
        <f t="shared" si="13"/>
        <v>0</v>
      </c>
    </row>
    <row r="30" spans="1:27">
      <c r="A30" s="13">
        <f>EDATE(DATE(YEAR(参数设置!$B$4),MONTH(参数设置!$B$4),1),ROW()-7)</f>
        <v>46935</v>
      </c>
      <c r="B30" s="27" t="s">
        <v>90</v>
      </c>
      <c r="C30" s="14">
        <f>IF(AND(ROW()-6&lt;=参数设置!$B$6,OR(B30=策略字典!$A$1,B30=策略字典!$A$2)),参数设置!$B$5,0)</f>
        <v>23400</v>
      </c>
      <c r="D30" s="9">
        <f>参数设置!$B$7</f>
        <v>0.86</v>
      </c>
      <c r="E30" s="15">
        <f>IF(B30=策略字典!$A$1,C30/D30,0)</f>
        <v>0</v>
      </c>
      <c r="F30" s="15">
        <f>E30*参数设置!$B$23</f>
        <v>0</v>
      </c>
      <c r="G30" s="15">
        <f t="shared" si="0"/>
        <v>0</v>
      </c>
      <c r="H30" s="15">
        <f t="shared" si="1"/>
        <v>326185.1162790698</v>
      </c>
      <c r="I30" s="15">
        <f>(H30+G30)*参数设置!$B$19/参数设置!$B$20</f>
        <v>4077.3139534883721</v>
      </c>
      <c r="J30" s="15">
        <f t="shared" si="2"/>
        <v>4077.3139534883721</v>
      </c>
      <c r="K30" s="14">
        <f>SUMIFS(贷款明细!$I$4:$I$435,贷款明细!$G$4:$G$435,"&gt;="&amp;A30,贷款明细!$G$4:$G$435,"&lt;"&amp;EDATE(A30,1))</f>
        <v>23400</v>
      </c>
      <c r="L30" s="14">
        <f>SUMIFS(贷款明细!$J$4:$J$435,贷款明细!$G$4:$G$435,"&gt;="&amp;A30,贷款明细!$G$4:$G$435,"&lt;"&amp;EDATE(A30,1))</f>
        <v>774.35000000000014</v>
      </c>
      <c r="M30" s="15">
        <f t="shared" si="3"/>
        <v>28109.70930232558</v>
      </c>
      <c r="N30" s="15">
        <f>IF(B30=策略字典!$A$2,MIN(C30,K30)/D30,0)</f>
        <v>27209.302325581397</v>
      </c>
      <c r="O30" s="15">
        <f t="shared" si="4"/>
        <v>52434.587209302372</v>
      </c>
      <c r="P30" s="15">
        <f t="shared" si="5"/>
        <v>56511.901162790746</v>
      </c>
      <c r="Q30" s="15">
        <f t="shared" si="6"/>
        <v>900.40697674418334</v>
      </c>
      <c r="R30" s="15">
        <f>IF(B30=策略字典!$A$3,MIN(H30+G30,MAX(0,M30-N30-Q30)),0)</f>
        <v>0</v>
      </c>
      <c r="S30" s="15">
        <f>IF(R30=0,0,R30/(1-参数设置!$B$24))</f>
        <v>0</v>
      </c>
      <c r="T30" s="15">
        <f t="shared" si="7"/>
        <v>0</v>
      </c>
      <c r="U30" s="28">
        <f t="shared" si="8"/>
        <v>55611.494186046562</v>
      </c>
      <c r="V30" s="15">
        <f t="shared" si="9"/>
        <v>326185.1162790698</v>
      </c>
      <c r="W30" s="14">
        <f>SUM($C$7:C30)-SUM($K$7:K30)</f>
        <v>280800</v>
      </c>
      <c r="X30" s="15">
        <f t="shared" si="10"/>
        <v>326511.62790697673</v>
      </c>
      <c r="Y30" s="15">
        <f t="shared" si="11"/>
        <v>381796.61046511633</v>
      </c>
      <c r="Z30" s="15">
        <f t="shared" si="12"/>
        <v>55284.9825581396</v>
      </c>
      <c r="AA30" s="16">
        <f t="shared" si="13"/>
        <v>0</v>
      </c>
    </row>
    <row r="31" spans="1:27">
      <c r="A31" s="13">
        <f>EDATE(DATE(YEAR(参数设置!$B$4),MONTH(参数设置!$B$4),1),ROW()-7)</f>
        <v>46966</v>
      </c>
      <c r="B31" s="27" t="s">
        <v>91</v>
      </c>
      <c r="C31" s="14">
        <f>IF(AND(ROW()-6&lt;=参数设置!$B$6,OR(B31=策略字典!$A$1,B31=策略字典!$A$2)),参数设置!$B$5,0)</f>
        <v>0</v>
      </c>
      <c r="D31" s="9">
        <f>参数设置!$B$7</f>
        <v>0.86</v>
      </c>
      <c r="E31" s="15">
        <f>IF(B31=策略字典!$A$1,C31/D31,0)</f>
        <v>0</v>
      </c>
      <c r="F31" s="15">
        <f>E31*参数设置!$B$23</f>
        <v>0</v>
      </c>
      <c r="G31" s="15">
        <f t="shared" si="0"/>
        <v>0</v>
      </c>
      <c r="H31" s="15">
        <f t="shared" si="1"/>
        <v>326185.1162790698</v>
      </c>
      <c r="I31" s="15">
        <f>(H31+G31)*参数设置!$B$19/参数设置!$B$20</f>
        <v>4077.3139534883721</v>
      </c>
      <c r="J31" s="15">
        <f t="shared" si="2"/>
        <v>4077.3139534883721</v>
      </c>
      <c r="K31" s="14">
        <f>SUMIFS(贷款明细!$I$4:$I$435,贷款明细!$G$4:$G$435,"&gt;="&amp;A31,贷款明细!$G$4:$G$435,"&lt;"&amp;EDATE(A31,1))</f>
        <v>23400</v>
      </c>
      <c r="L31" s="14">
        <f>SUMIFS(贷款明细!$J$4:$J$435,贷款明细!$G$4:$G$435,"&gt;="&amp;A31,贷款明细!$G$4:$G$435,"&lt;"&amp;EDATE(A31,1))</f>
        <v>795.85</v>
      </c>
      <c r="M31" s="15">
        <f t="shared" si="3"/>
        <v>28134.70930232558</v>
      </c>
      <c r="N31" s="15">
        <f>IF(B31=策略字典!$A$2,MIN(C31,K31)/D31,0)</f>
        <v>0</v>
      </c>
      <c r="O31" s="15">
        <f t="shared" si="4"/>
        <v>55611.494186046562</v>
      </c>
      <c r="P31" s="15">
        <f t="shared" si="5"/>
        <v>59688.808139534936</v>
      </c>
      <c r="Q31" s="15">
        <f t="shared" si="6"/>
        <v>28134.70930232558</v>
      </c>
      <c r="R31" s="15">
        <f>IF(B31=策略字典!$A$3,MIN(H31+G31,MAX(0,M31-N31-Q31)),0)</f>
        <v>0</v>
      </c>
      <c r="S31" s="15">
        <f>IF(R31=0,0,R31/(1-参数设置!$B$24))</f>
        <v>0</v>
      </c>
      <c r="T31" s="15">
        <f t="shared" si="7"/>
        <v>0</v>
      </c>
      <c r="U31" s="28">
        <f t="shared" si="8"/>
        <v>31554.098837209356</v>
      </c>
      <c r="V31" s="15">
        <f t="shared" si="9"/>
        <v>326185.1162790698</v>
      </c>
      <c r="W31" s="14">
        <f>SUM($C$7:C31)-SUM($K$7:K31)</f>
        <v>257400</v>
      </c>
      <c r="X31" s="15">
        <f t="shared" si="10"/>
        <v>299302.32558139536</v>
      </c>
      <c r="Y31" s="15">
        <f t="shared" si="11"/>
        <v>357739.21511627914</v>
      </c>
      <c r="Z31" s="15">
        <f t="shared" si="12"/>
        <v>58436.889534883783</v>
      </c>
      <c r="AA31" s="16">
        <f t="shared" si="13"/>
        <v>0</v>
      </c>
    </row>
    <row r="32" spans="1:27">
      <c r="A32" s="13">
        <f>EDATE(DATE(YEAR(参数设置!$B$4),MONTH(参数设置!$B$4),1),ROW()-7)</f>
        <v>46997</v>
      </c>
      <c r="B32" s="27" t="s">
        <v>91</v>
      </c>
      <c r="C32" s="14">
        <f>IF(AND(ROW()-6&lt;=参数设置!$B$6,OR(B32=策略字典!$A$1,B32=策略字典!$A$2)),参数设置!$B$5,0)</f>
        <v>0</v>
      </c>
      <c r="D32" s="9">
        <f>参数设置!$B$7</f>
        <v>0.86</v>
      </c>
      <c r="E32" s="15">
        <f>IF(B32=策略字典!$A$1,C32/D32,0)</f>
        <v>0</v>
      </c>
      <c r="F32" s="15">
        <f>E32*参数设置!$B$23</f>
        <v>0</v>
      </c>
      <c r="G32" s="15">
        <f t="shared" si="0"/>
        <v>0</v>
      </c>
      <c r="H32" s="15">
        <f t="shared" si="1"/>
        <v>326185.1162790698</v>
      </c>
      <c r="I32" s="15">
        <f>(H32+G32)*参数设置!$B$19/参数设置!$B$20</f>
        <v>4077.3139534883721</v>
      </c>
      <c r="J32" s="15">
        <f t="shared" si="2"/>
        <v>4077.3139534883721</v>
      </c>
      <c r="K32" s="14">
        <f>SUMIFS(贷款明细!$I$4:$I$435,贷款明细!$G$4:$G$435,"&gt;="&amp;A32,贷款明细!$G$4:$G$435,"&lt;"&amp;EDATE(A32,1))</f>
        <v>23400</v>
      </c>
      <c r="L32" s="14">
        <f>SUMIFS(贷款明细!$J$4:$J$435,贷款明细!$G$4:$G$435,"&gt;="&amp;A32,贷款明细!$G$4:$G$435,"&lt;"&amp;EDATE(A32,1))</f>
        <v>798</v>
      </c>
      <c r="M32" s="15">
        <f t="shared" si="3"/>
        <v>28137.20930232558</v>
      </c>
      <c r="N32" s="15">
        <f>IF(B32=策略字典!$A$2,MIN(C32,K32)/D32,0)</f>
        <v>0</v>
      </c>
      <c r="O32" s="15">
        <f t="shared" si="4"/>
        <v>31554.098837209356</v>
      </c>
      <c r="P32" s="15">
        <f t="shared" si="5"/>
        <v>35631.41279069773</v>
      </c>
      <c r="Q32" s="15">
        <f t="shared" si="6"/>
        <v>28137.20930232558</v>
      </c>
      <c r="R32" s="15">
        <f>IF(B32=策略字典!$A$3,MIN(H32+G32,MAX(0,M32-N32-Q32)),0)</f>
        <v>0</v>
      </c>
      <c r="S32" s="15">
        <f>IF(R32=0,0,R32/(1-参数设置!$B$24))</f>
        <v>0</v>
      </c>
      <c r="T32" s="15">
        <f t="shared" si="7"/>
        <v>0</v>
      </c>
      <c r="U32" s="28">
        <f t="shared" si="8"/>
        <v>7494.2034883721499</v>
      </c>
      <c r="V32" s="15">
        <f t="shared" si="9"/>
        <v>326185.1162790698</v>
      </c>
      <c r="W32" s="14">
        <f>SUM($C$7:C32)-SUM($K$7:K32)</f>
        <v>234000</v>
      </c>
      <c r="X32" s="15">
        <f t="shared" si="10"/>
        <v>272093.02325581398</v>
      </c>
      <c r="Y32" s="15">
        <f t="shared" si="11"/>
        <v>333679.31976744195</v>
      </c>
      <c r="Z32" s="15">
        <f t="shared" si="12"/>
        <v>61586.296511627967</v>
      </c>
      <c r="AA32" s="16">
        <f t="shared" si="13"/>
        <v>0</v>
      </c>
    </row>
    <row r="33" spans="1:27">
      <c r="A33" s="13">
        <f>EDATE(DATE(YEAR(参数设置!$B$4),MONTH(参数设置!$B$4),1),ROW()-7)</f>
        <v>47027</v>
      </c>
      <c r="B33" s="27" t="s">
        <v>91</v>
      </c>
      <c r="C33" s="14">
        <f>IF(AND(ROW()-6&lt;=参数设置!$B$6,OR(B33=策略字典!$A$1,B33=策略字典!$A$2)),参数设置!$B$5,0)</f>
        <v>0</v>
      </c>
      <c r="D33" s="9">
        <f>参数设置!$B$7</f>
        <v>0.86</v>
      </c>
      <c r="E33" s="15">
        <f>IF(B33=策略字典!$A$1,C33/D33,0)</f>
        <v>0</v>
      </c>
      <c r="F33" s="15">
        <f>E33*参数设置!$B$23</f>
        <v>0</v>
      </c>
      <c r="G33" s="15">
        <f t="shared" si="0"/>
        <v>0</v>
      </c>
      <c r="H33" s="15">
        <f t="shared" si="1"/>
        <v>326185.1162790698</v>
      </c>
      <c r="I33" s="15">
        <f>(H33+G33)*参数设置!$B$19/参数设置!$B$20</f>
        <v>4077.3139534883721</v>
      </c>
      <c r="J33" s="15">
        <f t="shared" si="2"/>
        <v>4077.3139534883721</v>
      </c>
      <c r="K33" s="14">
        <f>SUMIFS(贷款明细!$I$4:$I$435,贷款明细!$G$4:$G$435,"&gt;="&amp;A33,贷款明细!$G$4:$G$435,"&lt;"&amp;EDATE(A33,1))</f>
        <v>23400</v>
      </c>
      <c r="L33" s="14">
        <f>SUMIFS(贷款明细!$J$4:$J$435,贷款明细!$G$4:$G$435,"&gt;="&amp;A33,贷款明细!$G$4:$G$435,"&lt;"&amp;EDATE(A33,1))</f>
        <v>654.23000000000013</v>
      </c>
      <c r="M33" s="15">
        <f t="shared" si="3"/>
        <v>27970.034883720931</v>
      </c>
      <c r="N33" s="15">
        <f>IF(B33=策略字典!$A$2,MIN(C33,K33)/D33,0)</f>
        <v>0</v>
      </c>
      <c r="O33" s="15">
        <f t="shared" si="4"/>
        <v>7494.2034883721499</v>
      </c>
      <c r="P33" s="15">
        <f t="shared" si="5"/>
        <v>11571.517441860522</v>
      </c>
      <c r="Q33" s="15">
        <f t="shared" si="6"/>
        <v>11571.517441860522</v>
      </c>
      <c r="R33" s="15">
        <f>IF(B33=策略字典!$A$3,MIN(H33+G33,MAX(0,M33-N33-Q33)),0)</f>
        <v>16398.517441860407</v>
      </c>
      <c r="S33" s="15">
        <f>IF(R33=0,0,R33/(1-参数设置!$B$24))</f>
        <v>16414.932374234642</v>
      </c>
      <c r="T33" s="15">
        <f t="shared" si="7"/>
        <v>0</v>
      </c>
      <c r="U33" s="28">
        <f t="shared" si="8"/>
        <v>0</v>
      </c>
      <c r="V33" s="15">
        <f t="shared" si="9"/>
        <v>309770.18390483514</v>
      </c>
      <c r="W33" s="14">
        <f>SUM($C$7:C33)-SUM($K$7:K33)</f>
        <v>210600</v>
      </c>
      <c r="X33" s="15">
        <f t="shared" si="10"/>
        <v>244883.72093023255</v>
      </c>
      <c r="Y33" s="15">
        <f t="shared" si="11"/>
        <v>309770.18390483514</v>
      </c>
      <c r="Z33" s="15">
        <f t="shared" si="12"/>
        <v>64886.462974602589</v>
      </c>
      <c r="AA33" s="16">
        <f t="shared" si="13"/>
        <v>0</v>
      </c>
    </row>
    <row r="34" spans="1:27">
      <c r="A34" s="13">
        <f>EDATE(DATE(YEAR(参数设置!$B$4),MONTH(参数设置!$B$4),1),ROW()-7)</f>
        <v>47058</v>
      </c>
      <c r="B34" s="27" t="s">
        <v>91</v>
      </c>
      <c r="C34" s="14">
        <f>IF(AND(ROW()-6&lt;=参数设置!$B$6,OR(B34=策略字典!$A$1,B34=策略字典!$A$2)),参数设置!$B$5,0)</f>
        <v>0</v>
      </c>
      <c r="D34" s="9">
        <f>参数设置!$B$7</f>
        <v>0.86</v>
      </c>
      <c r="E34" s="15">
        <f>IF(B34=策略字典!$A$1,C34/D34,0)</f>
        <v>0</v>
      </c>
      <c r="F34" s="15">
        <f>E34*参数设置!$B$23</f>
        <v>0</v>
      </c>
      <c r="G34" s="15">
        <f t="shared" si="0"/>
        <v>0</v>
      </c>
      <c r="H34" s="15">
        <f t="shared" si="1"/>
        <v>309770.18390483514</v>
      </c>
      <c r="I34" s="15">
        <f>(H34+G34)*参数设置!$B$19/参数设置!$B$20</f>
        <v>3872.1272988104392</v>
      </c>
      <c r="J34" s="15">
        <f t="shared" si="2"/>
        <v>4077.3139534883721</v>
      </c>
      <c r="K34" s="14">
        <f>SUMIFS(贷款明细!$I$4:$I$435,贷款明细!$G$4:$G$435,"&gt;="&amp;A34,贷款明细!$G$4:$G$435,"&lt;"&amp;EDATE(A34,1))</f>
        <v>23400</v>
      </c>
      <c r="L34" s="14">
        <f>SUMIFS(贷款明细!$J$4:$J$435,贷款明细!$G$4:$G$435,"&gt;="&amp;A34,贷款明细!$G$4:$G$435,"&lt;"&amp;EDATE(A34,1))</f>
        <v>609.23</v>
      </c>
      <c r="M34" s="15">
        <f t="shared" si="3"/>
        <v>27917.70930232558</v>
      </c>
      <c r="N34" s="15">
        <f>IF(B34=策略字典!$A$2,MIN(C34,K34)/D34,0)</f>
        <v>0</v>
      </c>
      <c r="O34" s="15">
        <f t="shared" si="4"/>
        <v>0</v>
      </c>
      <c r="P34" s="15">
        <f t="shared" si="5"/>
        <v>4077.3139534883721</v>
      </c>
      <c r="Q34" s="15">
        <f t="shared" si="6"/>
        <v>4077.3139534883721</v>
      </c>
      <c r="R34" s="15">
        <f>IF(B34=策略字典!$A$3,MIN(H34+G34,MAX(0,M34-N34-Q34)),0)</f>
        <v>23840.395348837206</v>
      </c>
      <c r="S34" s="15">
        <f>IF(R34=0,0,R34/(1-参数设置!$B$24))</f>
        <v>23864.259608445653</v>
      </c>
      <c r="T34" s="15">
        <f t="shared" si="7"/>
        <v>0</v>
      </c>
      <c r="U34" s="28">
        <f t="shared" si="8"/>
        <v>0</v>
      </c>
      <c r="V34" s="15">
        <f t="shared" si="9"/>
        <v>285905.92429638951</v>
      </c>
      <c r="W34" s="14">
        <f>SUM($C$7:C34)-SUM($K$7:K34)</f>
        <v>187200</v>
      </c>
      <c r="X34" s="15">
        <f t="shared" si="10"/>
        <v>217674.41860465117</v>
      </c>
      <c r="Y34" s="15">
        <f t="shared" si="11"/>
        <v>285905.92429638951</v>
      </c>
      <c r="Z34" s="15">
        <f t="shared" si="12"/>
        <v>68231.505691738334</v>
      </c>
      <c r="AA34" s="16">
        <f t="shared" si="13"/>
        <v>0</v>
      </c>
    </row>
    <row r="35" spans="1:27">
      <c r="A35" s="13">
        <f>EDATE(DATE(YEAR(参数设置!$B$4),MONTH(参数设置!$B$4),1),ROW()-7)</f>
        <v>47088</v>
      </c>
      <c r="B35" s="27" t="s">
        <v>91</v>
      </c>
      <c r="C35" s="14">
        <f>IF(AND(ROW()-6&lt;=参数设置!$B$6,OR(B35=策略字典!$A$1,B35=策略字典!$A$2)),参数设置!$B$5,0)</f>
        <v>0</v>
      </c>
      <c r="D35" s="9">
        <f>参数设置!$B$7</f>
        <v>0.86</v>
      </c>
      <c r="E35" s="15">
        <f>IF(B35=策略字典!$A$1,C35/D35,0)</f>
        <v>0</v>
      </c>
      <c r="F35" s="15">
        <f>E35*参数设置!$B$23</f>
        <v>0</v>
      </c>
      <c r="G35" s="15">
        <f t="shared" si="0"/>
        <v>0</v>
      </c>
      <c r="H35" s="15">
        <f t="shared" si="1"/>
        <v>285905.92429638951</v>
      </c>
      <c r="I35" s="15">
        <f>(H35+G35)*参数设置!$B$19/参数设置!$B$20</f>
        <v>3573.8240537048691</v>
      </c>
      <c r="J35" s="15">
        <f t="shared" si="2"/>
        <v>3872.1272988104392</v>
      </c>
      <c r="K35" s="14">
        <f>SUMIFS(贷款明细!$I$4:$I$435,贷款明细!$G$4:$G$435,"&gt;="&amp;A35,贷款明细!$G$4:$G$435,"&lt;"&amp;EDATE(A35,1))</f>
        <v>23400</v>
      </c>
      <c r="L35" s="14">
        <f>SUMIFS(贷款明细!$J$4:$J$435,贷款明细!$G$4:$G$435,"&gt;="&amp;A35,贷款明细!$G$4:$G$435,"&lt;"&amp;EDATE(A35,1))</f>
        <v>525.53000000000009</v>
      </c>
      <c r="M35" s="15">
        <f t="shared" si="3"/>
        <v>27820.383720930233</v>
      </c>
      <c r="N35" s="15">
        <f>IF(B35=策略字典!$A$2,MIN(C35,K35)/D35,0)</f>
        <v>0</v>
      </c>
      <c r="O35" s="15">
        <f t="shared" si="4"/>
        <v>0</v>
      </c>
      <c r="P35" s="15">
        <f t="shared" si="5"/>
        <v>3872.1272988104392</v>
      </c>
      <c r="Q35" s="15">
        <f t="shared" si="6"/>
        <v>3872.1272988104392</v>
      </c>
      <c r="R35" s="15">
        <f>IF(B35=策略字典!$A$3,MIN(H35+G35,MAX(0,M35-N35-Q35)),0)</f>
        <v>23948.256422119794</v>
      </c>
      <c r="S35" s="15">
        <f>IF(R35=0,0,R35/(1-参数设置!$B$24))</f>
        <v>23972.228650770565</v>
      </c>
      <c r="T35" s="15">
        <f t="shared" si="7"/>
        <v>0</v>
      </c>
      <c r="U35" s="28">
        <f t="shared" si="8"/>
        <v>0</v>
      </c>
      <c r="V35" s="15">
        <f t="shared" si="9"/>
        <v>261933.69564561895</v>
      </c>
      <c r="W35" s="14">
        <f>SUM($C$7:C35)-SUM($K$7:K35)</f>
        <v>163800</v>
      </c>
      <c r="X35" s="15">
        <f t="shared" si="10"/>
        <v>190465.11627906977</v>
      </c>
      <c r="Y35" s="15">
        <f t="shared" si="11"/>
        <v>261933.69564561895</v>
      </c>
      <c r="Z35" s="15">
        <f t="shared" si="12"/>
        <v>71468.57936654918</v>
      </c>
      <c r="AA35" s="16">
        <f t="shared" si="13"/>
        <v>0</v>
      </c>
    </row>
    <row r="36" spans="1:27">
      <c r="A36" s="13">
        <f>EDATE(DATE(YEAR(参数设置!$B$4),MONTH(参数设置!$B$4),1),ROW()-7)</f>
        <v>47119</v>
      </c>
      <c r="B36" s="27" t="s">
        <v>91</v>
      </c>
      <c r="C36" s="14">
        <f>IF(AND(ROW()-6&lt;=参数设置!$B$6,OR(B36=策略字典!$A$1,B36=策略字典!$A$2)),参数设置!$B$5,0)</f>
        <v>0</v>
      </c>
      <c r="D36" s="9">
        <f>参数设置!$B$7</f>
        <v>0.86</v>
      </c>
      <c r="E36" s="15">
        <f>IF(B36=策略字典!$A$1,C36/D36,0)</f>
        <v>0</v>
      </c>
      <c r="F36" s="15">
        <f>E36*参数设置!$B$23</f>
        <v>0</v>
      </c>
      <c r="G36" s="15">
        <f t="shared" si="0"/>
        <v>0</v>
      </c>
      <c r="H36" s="15">
        <f t="shared" si="1"/>
        <v>261933.69564561895</v>
      </c>
      <c r="I36" s="15">
        <f>(H36+G36)*参数设置!$B$19/参数设置!$B$20</f>
        <v>3274.1711955702372</v>
      </c>
      <c r="J36" s="15">
        <f t="shared" si="2"/>
        <v>3573.8240537048691</v>
      </c>
      <c r="K36" s="14">
        <f>SUMIFS(贷款明细!$I$4:$I$435,贷款明细!$G$4:$G$435,"&gt;="&amp;A36,贷款明细!$G$4:$G$435,"&lt;"&amp;EDATE(A36,1))</f>
        <v>23400</v>
      </c>
      <c r="L36" s="14">
        <f>SUMIFS(贷款明细!$J$4:$J$435,贷款明细!$G$4:$G$435,"&gt;="&amp;A36,贷款明细!$G$4:$G$435,"&lt;"&amp;EDATE(A36,1))</f>
        <v>476.23</v>
      </c>
      <c r="M36" s="15">
        <f t="shared" si="3"/>
        <v>27763.058139534885</v>
      </c>
      <c r="N36" s="15">
        <f>IF(B36=策略字典!$A$2,MIN(C36,K36)/D36,0)</f>
        <v>0</v>
      </c>
      <c r="O36" s="15">
        <f t="shared" si="4"/>
        <v>0</v>
      </c>
      <c r="P36" s="15">
        <f t="shared" si="5"/>
        <v>3573.8240537048691</v>
      </c>
      <c r="Q36" s="15">
        <f t="shared" si="6"/>
        <v>3573.8240537048691</v>
      </c>
      <c r="R36" s="15">
        <f>IF(B36=策略字典!$A$3,MIN(H36+G36,MAX(0,M36-N36-Q36)),0)</f>
        <v>24189.234085830016</v>
      </c>
      <c r="S36" s="15">
        <f>IF(R36=0,0,R36/(1-参数设置!$B$24))</f>
        <v>24213.447533363378</v>
      </c>
      <c r="T36" s="15">
        <f t="shared" si="7"/>
        <v>0</v>
      </c>
      <c r="U36" s="28">
        <f t="shared" si="8"/>
        <v>0</v>
      </c>
      <c r="V36" s="15">
        <f t="shared" si="9"/>
        <v>237720.24811225556</v>
      </c>
      <c r="W36" s="14">
        <f>SUM($C$7:C36)-SUM($K$7:K36)</f>
        <v>140400</v>
      </c>
      <c r="X36" s="15">
        <f t="shared" si="10"/>
        <v>163255.81395348837</v>
      </c>
      <c r="Y36" s="15">
        <f t="shared" si="11"/>
        <v>237720.24811225556</v>
      </c>
      <c r="Z36" s="15">
        <f t="shared" si="12"/>
        <v>74464.434158767195</v>
      </c>
      <c r="AA36" s="16">
        <f t="shared" si="13"/>
        <v>0</v>
      </c>
    </row>
    <row r="37" spans="1:27">
      <c r="A37" s="13">
        <f>EDATE(DATE(YEAR(参数设置!$B$4),MONTH(参数设置!$B$4),1),ROW()-7)</f>
        <v>47150</v>
      </c>
      <c r="B37" s="27" t="s">
        <v>91</v>
      </c>
      <c r="C37" s="14">
        <f>IF(AND(ROW()-6&lt;=参数设置!$B$6,OR(B37=策略字典!$A$1,B37=策略字典!$A$2)),参数设置!$B$5,0)</f>
        <v>0</v>
      </c>
      <c r="D37" s="9">
        <f>参数设置!$B$7</f>
        <v>0.86</v>
      </c>
      <c r="E37" s="15">
        <f>IF(B37=策略字典!$A$1,C37/D37,0)</f>
        <v>0</v>
      </c>
      <c r="F37" s="15">
        <f>E37*参数设置!$B$23</f>
        <v>0</v>
      </c>
      <c r="G37" s="15">
        <f t="shared" si="0"/>
        <v>0</v>
      </c>
      <c r="H37" s="15">
        <f t="shared" si="1"/>
        <v>237720.24811225556</v>
      </c>
      <c r="I37" s="15">
        <f>(H37+G37)*参数设置!$B$19/参数设置!$B$20</f>
        <v>2971.5031014031943</v>
      </c>
      <c r="J37" s="15">
        <f t="shared" si="2"/>
        <v>3274.1711955702372</v>
      </c>
      <c r="K37" s="14">
        <f>SUMIFS(贷款明细!$I$4:$I$435,贷款明细!$G$4:$G$435,"&gt;="&amp;A37,贷款明细!$G$4:$G$435,"&lt;"&amp;EDATE(A37,1))</f>
        <v>23400</v>
      </c>
      <c r="L37" s="14">
        <f>SUMIFS(贷款明细!$J$4:$J$435,贷款明细!$G$4:$G$435,"&gt;="&amp;A37,贷款明细!$G$4:$G$435,"&lt;"&amp;EDATE(A37,1))</f>
        <v>409.73</v>
      </c>
      <c r="M37" s="15">
        <f t="shared" si="3"/>
        <v>27685.732558139534</v>
      </c>
      <c r="N37" s="15">
        <f>IF(B37=策略字典!$A$2,MIN(C37,K37)/D37,0)</f>
        <v>0</v>
      </c>
      <c r="O37" s="15">
        <f t="shared" si="4"/>
        <v>0</v>
      </c>
      <c r="P37" s="15">
        <f t="shared" si="5"/>
        <v>3274.1711955702372</v>
      </c>
      <c r="Q37" s="15">
        <f t="shared" si="6"/>
        <v>3274.1711955702372</v>
      </c>
      <c r="R37" s="15">
        <f>IF(B37=策略字典!$A$3,MIN(H37+G37,MAX(0,M37-N37-Q37)),0)</f>
        <v>24411.561362569297</v>
      </c>
      <c r="S37" s="15">
        <f>IF(R37=0,0,R37/(1-参数设置!$B$24))</f>
        <v>24435.997359929224</v>
      </c>
      <c r="T37" s="15">
        <f t="shared" si="7"/>
        <v>0</v>
      </c>
      <c r="U37" s="28">
        <f t="shared" si="8"/>
        <v>0</v>
      </c>
      <c r="V37" s="15">
        <f t="shared" si="9"/>
        <v>213284.25075232633</v>
      </c>
      <c r="W37" s="14">
        <f>SUM($C$7:C37)-SUM($K$7:K37)</f>
        <v>117000</v>
      </c>
      <c r="X37" s="15">
        <f t="shared" si="10"/>
        <v>136046.51162790699</v>
      </c>
      <c r="Y37" s="15">
        <f t="shared" si="11"/>
        <v>213284.25075232633</v>
      </c>
      <c r="Z37" s="15">
        <f t="shared" si="12"/>
        <v>77237.739124419342</v>
      </c>
      <c r="AA37" s="16">
        <f t="shared" si="13"/>
        <v>0</v>
      </c>
    </row>
    <row r="38" spans="1:27">
      <c r="A38" s="13">
        <f>EDATE(DATE(YEAR(参数设置!$B$4),MONTH(参数设置!$B$4),1),ROW()-7)</f>
        <v>47178</v>
      </c>
      <c r="B38" s="27" t="s">
        <v>91</v>
      </c>
      <c r="C38" s="14">
        <f>IF(AND(ROW()-6&lt;=参数设置!$B$6,OR(B38=策略字典!$A$1,B38=策略字典!$A$2)),参数设置!$B$5,0)</f>
        <v>0</v>
      </c>
      <c r="D38" s="9">
        <f>参数设置!$B$7</f>
        <v>0.86</v>
      </c>
      <c r="E38" s="15">
        <f>IF(B38=策略字典!$A$1,C38/D38,0)</f>
        <v>0</v>
      </c>
      <c r="F38" s="15">
        <f>E38*参数设置!$B$23</f>
        <v>0</v>
      </c>
      <c r="G38" s="15">
        <f t="shared" si="0"/>
        <v>0</v>
      </c>
      <c r="H38" s="15">
        <f t="shared" si="1"/>
        <v>213284.25075232633</v>
      </c>
      <c r="I38" s="15">
        <f>(H38+G38)*参数设置!$B$19/参数设置!$B$20</f>
        <v>2666.0531344040792</v>
      </c>
      <c r="J38" s="15">
        <f t="shared" si="2"/>
        <v>2971.5031014031943</v>
      </c>
      <c r="K38" s="14">
        <f>SUMIFS(贷款明细!$I$4:$I$435,贷款明细!$G$4:$G$435,"&gt;="&amp;A38,贷款明细!$G$4:$G$435,"&lt;"&amp;EDATE(A38,1))</f>
        <v>23400</v>
      </c>
      <c r="L38" s="14">
        <f>SUMIFS(贷款明细!$J$4:$J$435,贷款明细!$G$4:$G$435,"&gt;="&amp;A38,贷款明细!$G$4:$G$435,"&lt;"&amp;EDATE(A38,1))</f>
        <v>311.03000000000003</v>
      </c>
      <c r="M38" s="15">
        <f t="shared" si="3"/>
        <v>27570.965116279069</v>
      </c>
      <c r="N38" s="15">
        <f>IF(B38=策略字典!$A$2,MIN(C38,K38)/D38,0)</f>
        <v>0</v>
      </c>
      <c r="O38" s="15">
        <f t="shared" si="4"/>
        <v>0</v>
      </c>
      <c r="P38" s="15">
        <f t="shared" si="5"/>
        <v>2971.5031014031943</v>
      </c>
      <c r="Q38" s="15">
        <f t="shared" si="6"/>
        <v>2971.5031014031943</v>
      </c>
      <c r="R38" s="15">
        <f>IF(B38=策略字典!$A$3,MIN(H38+G38,MAX(0,M38-N38-Q38)),0)</f>
        <v>24599.462014875873</v>
      </c>
      <c r="S38" s="15">
        <f>IF(R38=0,0,R38/(1-参数设置!$B$24))</f>
        <v>24624.086100976849</v>
      </c>
      <c r="T38" s="15">
        <f t="shared" si="7"/>
        <v>0</v>
      </c>
      <c r="U38" s="28">
        <f t="shared" si="8"/>
        <v>0</v>
      </c>
      <c r="V38" s="15">
        <f t="shared" si="9"/>
        <v>188660.16465134948</v>
      </c>
      <c r="W38" s="14">
        <f>SUM($C$7:C38)-SUM($K$7:K38)</f>
        <v>93600</v>
      </c>
      <c r="X38" s="15">
        <f t="shared" si="10"/>
        <v>108837.20930232559</v>
      </c>
      <c r="Y38" s="15">
        <f t="shared" si="11"/>
        <v>188660.16465134948</v>
      </c>
      <c r="Z38" s="15">
        <f t="shared" si="12"/>
        <v>79822.95534902389</v>
      </c>
      <c r="AA38" s="16">
        <f t="shared" si="13"/>
        <v>0</v>
      </c>
    </row>
    <row r="39" spans="1:27">
      <c r="A39" s="13">
        <f>EDATE(DATE(YEAR(参数设置!$B$4),MONTH(参数设置!$B$4),1),ROW()-7)</f>
        <v>47209</v>
      </c>
      <c r="B39" s="27" t="s">
        <v>91</v>
      </c>
      <c r="C39" s="14">
        <f>IF(AND(ROW()-6&lt;=参数设置!$B$6,OR(B39=策略字典!$A$1,B39=策略字典!$A$2)),参数设置!$B$5,0)</f>
        <v>0</v>
      </c>
      <c r="D39" s="9">
        <f>参数设置!$B$7</f>
        <v>0.86</v>
      </c>
      <c r="E39" s="15">
        <f>IF(B39=策略字典!$A$1,C39/D39,0)</f>
        <v>0</v>
      </c>
      <c r="F39" s="15">
        <f>E39*参数设置!$B$23</f>
        <v>0</v>
      </c>
      <c r="G39" s="15">
        <f t="shared" si="0"/>
        <v>0</v>
      </c>
      <c r="H39" s="15">
        <f t="shared" si="1"/>
        <v>188660.16465134948</v>
      </c>
      <c r="I39" s="15">
        <f>(H39+G39)*参数设置!$B$19/参数设置!$B$20</f>
        <v>2358.2520581418685</v>
      </c>
      <c r="J39" s="15">
        <f t="shared" si="2"/>
        <v>2666.0531344040792</v>
      </c>
      <c r="K39" s="14">
        <f>SUMIFS(贷款明细!$I$4:$I$435,贷款明细!$G$4:$G$435,"&gt;="&amp;A39,贷款明细!$G$4:$G$435,"&lt;"&amp;EDATE(A39,1))</f>
        <v>23400</v>
      </c>
      <c r="L39" s="14">
        <f>SUMIFS(贷款明细!$J$4:$J$435,贷款明细!$G$4:$G$435,"&gt;="&amp;A39,贷款明细!$G$4:$G$435,"&lt;"&amp;EDATE(A39,1))</f>
        <v>276.73</v>
      </c>
      <c r="M39" s="15">
        <f t="shared" si="3"/>
        <v>27531.081395348836</v>
      </c>
      <c r="N39" s="15">
        <f>IF(B39=策略字典!$A$2,MIN(C39,K39)/D39,0)</f>
        <v>0</v>
      </c>
      <c r="O39" s="15">
        <f t="shared" si="4"/>
        <v>0</v>
      </c>
      <c r="P39" s="15">
        <f t="shared" si="5"/>
        <v>2666.0531344040792</v>
      </c>
      <c r="Q39" s="15">
        <f t="shared" si="6"/>
        <v>2666.0531344040792</v>
      </c>
      <c r="R39" s="15">
        <f>IF(B39=策略字典!$A$3,MIN(H39+G39,MAX(0,M39-N39-Q39)),0)</f>
        <v>24865.028260944757</v>
      </c>
      <c r="S39" s="15">
        <f>IF(R39=0,0,R39/(1-参数设置!$B$24))</f>
        <v>24889.918179123881</v>
      </c>
      <c r="T39" s="15">
        <f t="shared" si="7"/>
        <v>0</v>
      </c>
      <c r="U39" s="28">
        <f t="shared" si="8"/>
        <v>0</v>
      </c>
      <c r="V39" s="15">
        <f t="shared" si="9"/>
        <v>163770.24647222558</v>
      </c>
      <c r="W39" s="14">
        <f>SUM($C$7:C39)-SUM($K$7:K39)</f>
        <v>70200</v>
      </c>
      <c r="X39" s="15">
        <f t="shared" si="10"/>
        <v>81627.906976744183</v>
      </c>
      <c r="Y39" s="15">
        <f t="shared" si="11"/>
        <v>163770.24647222558</v>
      </c>
      <c r="Z39" s="15">
        <f t="shared" si="12"/>
        <v>82142.339495481399</v>
      </c>
      <c r="AA39" s="16">
        <f t="shared" si="13"/>
        <v>0</v>
      </c>
    </row>
    <row r="40" spans="1:27">
      <c r="A40" s="13">
        <f>EDATE(DATE(YEAR(参数设置!$B$4),MONTH(参数设置!$B$4),1),ROW()-7)</f>
        <v>47239</v>
      </c>
      <c r="B40" s="27" t="s">
        <v>91</v>
      </c>
      <c r="C40" s="14">
        <f>IF(AND(ROW()-6&lt;=参数设置!$B$6,OR(B40=策略字典!$A$1,B40=策略字典!$A$2)),参数设置!$B$5,0)</f>
        <v>0</v>
      </c>
      <c r="D40" s="9">
        <f>参数设置!$B$7</f>
        <v>0.86</v>
      </c>
      <c r="E40" s="15">
        <f>IF(B40=策略字典!$A$1,C40/D40,0)</f>
        <v>0</v>
      </c>
      <c r="F40" s="15">
        <f>E40*参数设置!$B$23</f>
        <v>0</v>
      </c>
      <c r="G40" s="15">
        <f t="shared" si="0"/>
        <v>0</v>
      </c>
      <c r="H40" s="15">
        <f t="shared" si="1"/>
        <v>163770.24647222558</v>
      </c>
      <c r="I40" s="15">
        <f>(H40+G40)*参数设置!$B$19/参数设置!$B$20</f>
        <v>2047.1280809028196</v>
      </c>
      <c r="J40" s="15">
        <f t="shared" si="2"/>
        <v>2358.2520581418685</v>
      </c>
      <c r="K40" s="14">
        <f>SUMIFS(贷款明细!$I$4:$I$435,贷款明细!$G$4:$G$435,"&gt;="&amp;A40,贷款明细!$G$4:$G$435,"&lt;"&amp;EDATE(A40,1))</f>
        <v>23400</v>
      </c>
      <c r="L40" s="14">
        <f>SUMIFS(贷款明细!$J$4:$J$435,贷款明细!$G$4:$G$435,"&gt;="&amp;A40,贷款明细!$G$4:$G$435,"&lt;"&amp;EDATE(A40,1))</f>
        <v>203.78</v>
      </c>
      <c r="M40" s="15">
        <f t="shared" si="3"/>
        <v>27446.255813953489</v>
      </c>
      <c r="N40" s="15">
        <f>IF(B40=策略字典!$A$2,MIN(C40,K40)/D40,0)</f>
        <v>0</v>
      </c>
      <c r="O40" s="15">
        <f t="shared" si="4"/>
        <v>0</v>
      </c>
      <c r="P40" s="15">
        <f t="shared" si="5"/>
        <v>2358.2520581418685</v>
      </c>
      <c r="Q40" s="15">
        <f t="shared" si="6"/>
        <v>2358.2520581418685</v>
      </c>
      <c r="R40" s="15">
        <f>IF(B40=策略字典!$A$3,MIN(H40+G40,MAX(0,M40-N40-Q40)),0)</f>
        <v>25088.00375581162</v>
      </c>
      <c r="S40" s="15">
        <f>IF(R40=0,0,R40/(1-参数设置!$B$24))</f>
        <v>25113.116872684306</v>
      </c>
      <c r="T40" s="15">
        <f t="shared" si="7"/>
        <v>0</v>
      </c>
      <c r="U40" s="28">
        <f t="shared" si="8"/>
        <v>0</v>
      </c>
      <c r="V40" s="15">
        <f t="shared" si="9"/>
        <v>138657.12959954128</v>
      </c>
      <c r="W40" s="14">
        <f>SUM($C$7:C40)-SUM($K$7:K40)</f>
        <v>46800</v>
      </c>
      <c r="X40" s="15">
        <f t="shared" si="10"/>
        <v>54418.604651162794</v>
      </c>
      <c r="Y40" s="15">
        <f t="shared" si="11"/>
        <v>138657.12959954128</v>
      </c>
      <c r="Z40" s="15">
        <f t="shared" si="12"/>
        <v>84238.524948378486</v>
      </c>
      <c r="AA40" s="16">
        <f t="shared" si="13"/>
        <v>0</v>
      </c>
    </row>
    <row r="41" spans="1:27">
      <c r="A41" s="13">
        <f>EDATE(DATE(YEAR(参数设置!$B$4),MONTH(参数设置!$B$4),1),ROW()-7)</f>
        <v>47270</v>
      </c>
      <c r="B41" s="27" t="s">
        <v>91</v>
      </c>
      <c r="C41" s="14">
        <f>IF(AND(ROW()-6&lt;=参数设置!$B$6,OR(B41=策略字典!$A$1,B41=策略字典!$A$2)),参数设置!$B$5,0)</f>
        <v>0</v>
      </c>
      <c r="D41" s="9">
        <f>参数设置!$B$7</f>
        <v>0.86</v>
      </c>
      <c r="E41" s="15">
        <f>IF(B41=策略字典!$A$1,C41/D41,0)</f>
        <v>0</v>
      </c>
      <c r="F41" s="15">
        <f>E41*参数设置!$B$23</f>
        <v>0</v>
      </c>
      <c r="G41" s="15">
        <f t="shared" si="0"/>
        <v>0</v>
      </c>
      <c r="H41" s="15">
        <f t="shared" si="1"/>
        <v>138657.12959954128</v>
      </c>
      <c r="I41" s="15">
        <f>(H41+G41)*参数设置!$B$19/参数设置!$B$20</f>
        <v>1733.214119994266</v>
      </c>
      <c r="J41" s="15">
        <f t="shared" si="2"/>
        <v>2047.1280809028196</v>
      </c>
      <c r="K41" s="14">
        <f>SUMIFS(贷款明细!$I$4:$I$435,贷款明细!$G$4:$G$435,"&gt;="&amp;A41,贷款明细!$G$4:$G$435,"&lt;"&amp;EDATE(A41,1))</f>
        <v>23400</v>
      </c>
      <c r="L41" s="14">
        <f>SUMIFS(贷款明细!$J$4:$J$435,贷款明细!$G$4:$G$435,"&gt;="&amp;A41,贷款明细!$G$4:$G$435,"&lt;"&amp;EDATE(A41,1))</f>
        <v>143.73000000000002</v>
      </c>
      <c r="M41" s="15">
        <f t="shared" si="3"/>
        <v>27376.430232558141</v>
      </c>
      <c r="N41" s="15">
        <f>IF(B41=策略字典!$A$2,MIN(C41,K41)/D41,0)</f>
        <v>0</v>
      </c>
      <c r="O41" s="15">
        <f t="shared" si="4"/>
        <v>0</v>
      </c>
      <c r="P41" s="15">
        <f t="shared" si="5"/>
        <v>2047.1280809028196</v>
      </c>
      <c r="Q41" s="15">
        <f t="shared" si="6"/>
        <v>2047.1280809028196</v>
      </c>
      <c r="R41" s="15">
        <f>IF(B41=策略字典!$A$3,MIN(H41+G41,MAX(0,M41-N41-Q41)),0)</f>
        <v>25329.30215165532</v>
      </c>
      <c r="S41" s="15">
        <f>IF(R41=0,0,R41/(1-参数设置!$B$24))</f>
        <v>25354.656808463784</v>
      </c>
      <c r="T41" s="15">
        <f t="shared" si="7"/>
        <v>0</v>
      </c>
      <c r="U41" s="28">
        <f t="shared" si="8"/>
        <v>0</v>
      </c>
      <c r="V41" s="15">
        <f t="shared" si="9"/>
        <v>113302.4727910775</v>
      </c>
      <c r="W41" s="14">
        <f>SUM($C$7:C41)-SUM($K$7:K41)</f>
        <v>23400</v>
      </c>
      <c r="X41" s="15">
        <f t="shared" si="10"/>
        <v>27209.302325581397</v>
      </c>
      <c r="Y41" s="15">
        <f t="shared" si="11"/>
        <v>113302.4727910775</v>
      </c>
      <c r="Z41" s="15">
        <f t="shared" si="12"/>
        <v>86093.170465496107</v>
      </c>
      <c r="AA41" s="16">
        <f t="shared" si="13"/>
        <v>0</v>
      </c>
    </row>
    <row r="42" spans="1:27">
      <c r="A42" s="13">
        <f>EDATE(DATE(YEAR(参数设置!$B$4),MONTH(参数设置!$B$4),1),ROW()-7)</f>
        <v>47300</v>
      </c>
      <c r="B42" s="27" t="s">
        <v>91</v>
      </c>
      <c r="C42" s="14">
        <f>IF(AND(ROW()-6&lt;=参数设置!$B$6,OR(B42=策略字典!$A$1,B42=策略字典!$A$2)),参数设置!$B$5,0)</f>
        <v>0</v>
      </c>
      <c r="D42" s="9">
        <f>参数设置!$B$7</f>
        <v>0.86</v>
      </c>
      <c r="E42" s="15">
        <f>IF(B42=策略字典!$A$1,C42/D42,0)</f>
        <v>0</v>
      </c>
      <c r="F42" s="15">
        <f>E42*参数设置!$B$23</f>
        <v>0</v>
      </c>
      <c r="G42" s="15">
        <f t="shared" si="0"/>
        <v>0</v>
      </c>
      <c r="H42" s="15">
        <f t="shared" si="1"/>
        <v>113302.4727910775</v>
      </c>
      <c r="I42" s="15">
        <f>(H42+G42)*参数设置!$B$19/参数设置!$B$20</f>
        <v>1416.2809098884688</v>
      </c>
      <c r="J42" s="15">
        <f t="shared" si="2"/>
        <v>1733.214119994266</v>
      </c>
      <c r="K42" s="14">
        <f>SUMIFS(贷款明细!$I$4:$I$435,贷款明细!$G$4:$G$435,"&gt;="&amp;A42,贷款明细!$G$4:$G$435,"&lt;"&amp;EDATE(A42,1))</f>
        <v>23400</v>
      </c>
      <c r="L42" s="14">
        <f>SUMIFS(贷款明细!$J$4:$J$435,贷款明细!$G$4:$G$435,"&gt;="&amp;A42,贷款明细!$G$4:$G$435,"&lt;"&amp;EDATE(A42,1))</f>
        <v>75.08</v>
      </c>
      <c r="M42" s="15">
        <f t="shared" si="3"/>
        <v>27296.604651162794</v>
      </c>
      <c r="N42" s="15">
        <f>IF(B42=策略字典!$A$2,MIN(C42,K42)/D42,0)</f>
        <v>0</v>
      </c>
      <c r="O42" s="15">
        <f t="shared" si="4"/>
        <v>0</v>
      </c>
      <c r="P42" s="15">
        <f t="shared" si="5"/>
        <v>1733.214119994266</v>
      </c>
      <c r="Q42" s="15">
        <f t="shared" si="6"/>
        <v>1733.214119994266</v>
      </c>
      <c r="R42" s="15">
        <f>IF(B42=策略字典!$A$3,MIN(H42+G42,MAX(0,M42-N42-Q42)),0)</f>
        <v>25563.390531168527</v>
      </c>
      <c r="S42" s="15">
        <f>IF(R42=0,0,R42/(1-参数设置!$B$24))</f>
        <v>25588.979510679204</v>
      </c>
      <c r="T42" s="15">
        <f t="shared" si="7"/>
        <v>0</v>
      </c>
      <c r="U42" s="28">
        <f t="shared" si="8"/>
        <v>0</v>
      </c>
      <c r="V42" s="15">
        <f t="shared" si="9"/>
        <v>87713.493280398296</v>
      </c>
      <c r="W42" s="14">
        <f>SUM($C$7:C42)-SUM($K$7:K42)</f>
        <v>0</v>
      </c>
      <c r="X42" s="15">
        <f t="shared" si="10"/>
        <v>0</v>
      </c>
      <c r="Y42" s="15">
        <f t="shared" si="11"/>
        <v>87713.493280398296</v>
      </c>
      <c r="Z42" s="15">
        <f t="shared" si="12"/>
        <v>87713.493280398296</v>
      </c>
      <c r="AA42" s="16">
        <f t="shared" si="13"/>
        <v>0</v>
      </c>
    </row>
    <row r="43" spans="1:27" s="30" customFormat="1">
      <c r="A43" s="31">
        <f>EDATE(DATE(YEAR(参数设置!$B$4),MONTH(参数设置!$B$4),1),ROW()-7)</f>
        <v>47331</v>
      </c>
      <c r="B43" s="32" t="s">
        <v>92</v>
      </c>
      <c r="C43" s="33">
        <f>IF(AND(ROW()-6&lt;=参数设置!$B$6,OR(B43=策略字典!$A$1,B43=策略字典!$A$2)),参数设置!$B$5,0)</f>
        <v>0</v>
      </c>
      <c r="D43" s="34">
        <f>参数设置!$B$7</f>
        <v>0.86</v>
      </c>
      <c r="E43" s="28">
        <f>IF(B43=策略字典!$A$1,C43/D43,0)</f>
        <v>0</v>
      </c>
      <c r="F43" s="28">
        <f>E43*参数设置!$B$23</f>
        <v>0</v>
      </c>
      <c r="G43" s="28">
        <f t="shared" si="0"/>
        <v>0</v>
      </c>
      <c r="H43" s="28">
        <f t="shared" si="1"/>
        <v>87713.493280398296</v>
      </c>
      <c r="I43" s="28">
        <f>(H43+G43)*参数设置!$B$19/参数设置!$B$20</f>
        <v>1096.4186660049786</v>
      </c>
      <c r="J43" s="28">
        <f t="shared" si="2"/>
        <v>1416.2809098884688</v>
      </c>
      <c r="K43" s="33">
        <f>SUMIFS(贷款明细!$I$4:$I$435,贷款明细!$G$4:$G$435,"&gt;="&amp;A43,贷款明细!$G$4:$G$435,"&lt;"&amp;EDATE(A43,1))</f>
        <v>0</v>
      </c>
      <c r="L43" s="33">
        <f>SUMIFS(贷款明细!$J$4:$J$435,贷款明细!$G$4:$G$435,"&gt;="&amp;A43,贷款明细!$G$4:$G$435,"&lt;"&amp;EDATE(A43,1))</f>
        <v>0</v>
      </c>
      <c r="M43" s="28">
        <f t="shared" si="3"/>
        <v>0</v>
      </c>
      <c r="N43" s="28">
        <f>IF(B43=策略字典!$A$2,MIN(C43,K43)/D43,0)</f>
        <v>0</v>
      </c>
      <c r="O43" s="28">
        <f t="shared" si="4"/>
        <v>0</v>
      </c>
      <c r="P43" s="28">
        <f t="shared" si="5"/>
        <v>1416.2809098884688</v>
      </c>
      <c r="Q43" s="28">
        <f t="shared" si="6"/>
        <v>0</v>
      </c>
      <c r="R43" s="28">
        <f>IF(B43=策略字典!$A$3,MIN(H43+G43,MAX(0,M43-N43-Q43)),0)</f>
        <v>0</v>
      </c>
      <c r="S43" s="28">
        <f>IF(R43=0,0,R43/(1-参数设置!$B$24))</f>
        <v>0</v>
      </c>
      <c r="T43" s="28">
        <f t="shared" si="7"/>
        <v>0</v>
      </c>
      <c r="U43" s="28">
        <f t="shared" si="8"/>
        <v>1416.2809098884688</v>
      </c>
      <c r="V43" s="28">
        <f t="shared" si="9"/>
        <v>87713.493280398296</v>
      </c>
      <c r="W43" s="33">
        <f>SUM($C$7:C43)-SUM($K$7:K43)</f>
        <v>0</v>
      </c>
      <c r="X43" s="28">
        <f t="shared" si="10"/>
        <v>0</v>
      </c>
      <c r="Y43" s="28">
        <f t="shared" si="11"/>
        <v>89129.774190286771</v>
      </c>
      <c r="Z43" s="28">
        <f t="shared" si="12"/>
        <v>89129.774190286771</v>
      </c>
      <c r="AA43" s="35">
        <f t="shared" si="13"/>
        <v>0</v>
      </c>
    </row>
    <row r="44" spans="1:27">
      <c r="A44" s="13">
        <f>EDATE(DATE(YEAR(参数设置!$B$4),MONTH(参数设置!$B$4),1),ROW()-7)</f>
        <v>47362</v>
      </c>
      <c r="B44" s="17" t="s">
        <v>92</v>
      </c>
      <c r="C44" s="14">
        <f>IF(AND(ROW()-6&lt;=参数设置!$B$6,OR(B44=策略字典!$A$1,B44=策略字典!$A$2)),参数设置!$B$5,0)</f>
        <v>0</v>
      </c>
      <c r="D44" s="9">
        <f>参数设置!$B$7</f>
        <v>0.86</v>
      </c>
      <c r="E44" s="15">
        <f>IF(B44=策略字典!$A$1,C44/D44,0)</f>
        <v>0</v>
      </c>
      <c r="F44" s="15">
        <f>E44*参数设置!$B$23</f>
        <v>0</v>
      </c>
      <c r="G44" s="15">
        <f t="shared" si="0"/>
        <v>0</v>
      </c>
      <c r="H44" s="15">
        <f t="shared" si="1"/>
        <v>87713.493280398296</v>
      </c>
      <c r="I44" s="15">
        <f>(H44+G44)*参数设置!$B$19/参数设置!$B$20</f>
        <v>1096.4186660049786</v>
      </c>
      <c r="J44" s="15">
        <f t="shared" si="2"/>
        <v>1096.4186660049786</v>
      </c>
      <c r="K44" s="14">
        <f>SUMIFS(贷款明细!$I$4:$I$435,贷款明细!$G$4:$G$435,"&gt;="&amp;A44,贷款明细!$G$4:$G$435,"&lt;"&amp;EDATE(A44,1))</f>
        <v>0</v>
      </c>
      <c r="L44" s="14">
        <f>SUMIFS(贷款明细!$J$4:$J$435,贷款明细!$G$4:$G$435,"&gt;="&amp;A44,贷款明细!$G$4:$G$435,"&lt;"&amp;EDATE(A44,1))</f>
        <v>0</v>
      </c>
      <c r="M44" s="15">
        <f t="shared" si="3"/>
        <v>0</v>
      </c>
      <c r="N44" s="15">
        <f>IF(B44=策略字典!$A$2,MIN(C44,K44)/D44,0)</f>
        <v>0</v>
      </c>
      <c r="O44" s="15">
        <f t="shared" si="4"/>
        <v>1416.2809098884688</v>
      </c>
      <c r="P44" s="15">
        <f t="shared" si="5"/>
        <v>2512.6995758934472</v>
      </c>
      <c r="Q44" s="15">
        <f t="shared" si="6"/>
        <v>0</v>
      </c>
      <c r="R44" s="15">
        <f>IF(B44=策略字典!$A$3,MIN(H44+G44,MAX(0,M44-N44-Q44)),0)</f>
        <v>0</v>
      </c>
      <c r="S44" s="15">
        <f>IF(R44=0,0,R44/(1-参数设置!$B$24))</f>
        <v>0</v>
      </c>
      <c r="T44" s="15">
        <f t="shared" si="7"/>
        <v>0</v>
      </c>
      <c r="U44" s="28">
        <f t="shared" si="8"/>
        <v>2512.6995758934472</v>
      </c>
      <c r="V44" s="15">
        <f t="shared" si="9"/>
        <v>87713.493280398296</v>
      </c>
      <c r="W44" s="14">
        <f>SUM($C$7:C44)-SUM($K$7:K44)</f>
        <v>0</v>
      </c>
      <c r="X44" s="15">
        <f t="shared" si="10"/>
        <v>0</v>
      </c>
      <c r="Y44" s="15">
        <f t="shared" si="11"/>
        <v>90226.192856291746</v>
      </c>
      <c r="Z44" s="15">
        <f t="shared" si="12"/>
        <v>90226.192856291746</v>
      </c>
      <c r="AA44" s="16">
        <f t="shared" si="13"/>
        <v>0</v>
      </c>
    </row>
    <row r="45" spans="1:27">
      <c r="A45" s="13">
        <f>EDATE(DATE(YEAR(参数设置!$B$4),MONTH(参数设置!$B$4),1),ROW()-7)</f>
        <v>47392</v>
      </c>
      <c r="B45" s="17" t="s">
        <v>92</v>
      </c>
      <c r="C45" s="14">
        <f>IF(AND(ROW()-6&lt;=参数设置!$B$6,OR(B45=策略字典!$A$1,B45=策略字典!$A$2)),参数设置!$B$5,0)</f>
        <v>0</v>
      </c>
      <c r="D45" s="9">
        <f>参数设置!$B$7</f>
        <v>0.86</v>
      </c>
      <c r="E45" s="15">
        <f>IF(B45=策略字典!$A$1,C45/D45,0)</f>
        <v>0</v>
      </c>
      <c r="F45" s="15">
        <f>E45*参数设置!$B$23</f>
        <v>0</v>
      </c>
      <c r="G45" s="15">
        <f t="shared" si="0"/>
        <v>0</v>
      </c>
      <c r="H45" s="15">
        <f t="shared" si="1"/>
        <v>87713.493280398296</v>
      </c>
      <c r="I45" s="15">
        <f>(H45+G45)*参数设置!$B$19/参数设置!$B$20</f>
        <v>1096.4186660049786</v>
      </c>
      <c r="J45" s="15">
        <f t="shared" si="2"/>
        <v>1096.4186660049786</v>
      </c>
      <c r="K45" s="14">
        <f>SUMIFS(贷款明细!$I$4:$I$435,贷款明细!$G$4:$G$435,"&gt;="&amp;A45,贷款明细!$G$4:$G$435,"&lt;"&amp;EDATE(A45,1))</f>
        <v>0</v>
      </c>
      <c r="L45" s="14">
        <f>SUMIFS(贷款明细!$J$4:$J$435,贷款明细!$G$4:$G$435,"&gt;="&amp;A45,贷款明细!$G$4:$G$435,"&lt;"&amp;EDATE(A45,1))</f>
        <v>0</v>
      </c>
      <c r="M45" s="15">
        <f t="shared" si="3"/>
        <v>0</v>
      </c>
      <c r="N45" s="15">
        <f>IF(B45=策略字典!$A$2,MIN(C45,K45)/D45,0)</f>
        <v>0</v>
      </c>
      <c r="O45" s="15">
        <f t="shared" si="4"/>
        <v>2512.6995758934472</v>
      </c>
      <c r="P45" s="15">
        <f t="shared" si="5"/>
        <v>3609.1182418984258</v>
      </c>
      <c r="Q45" s="15">
        <f t="shared" si="6"/>
        <v>0</v>
      </c>
      <c r="R45" s="15">
        <f>IF(B45=策略字典!$A$3,MIN(H45+G45,MAX(0,M45-N45-Q45)),0)</f>
        <v>0</v>
      </c>
      <c r="S45" s="15">
        <f>IF(R45=0,0,R45/(1-参数设置!$B$24))</f>
        <v>0</v>
      </c>
      <c r="T45" s="15">
        <f t="shared" si="7"/>
        <v>0</v>
      </c>
      <c r="U45" s="28">
        <f t="shared" si="8"/>
        <v>3609.1182418984258</v>
      </c>
      <c r="V45" s="15">
        <f t="shared" si="9"/>
        <v>87713.493280398296</v>
      </c>
      <c r="W45" s="14">
        <f>SUM($C$7:C45)-SUM($K$7:K45)</f>
        <v>0</v>
      </c>
      <c r="X45" s="15">
        <f t="shared" si="10"/>
        <v>0</v>
      </c>
      <c r="Y45" s="15">
        <f t="shared" si="11"/>
        <v>91322.61152229672</v>
      </c>
      <c r="Z45" s="15">
        <f t="shared" si="12"/>
        <v>91322.61152229672</v>
      </c>
      <c r="AA45" s="16">
        <f t="shared" si="13"/>
        <v>0</v>
      </c>
    </row>
    <row r="46" spans="1:27">
      <c r="A46" s="13">
        <f>EDATE(DATE(YEAR(参数设置!$B$4),MONTH(参数设置!$B$4),1),ROW()-7)</f>
        <v>47423</v>
      </c>
      <c r="B46" s="17" t="s">
        <v>92</v>
      </c>
      <c r="C46" s="14">
        <f>IF(AND(ROW()-6&lt;=参数设置!$B$6,OR(B46=策略字典!$A$1,B46=策略字典!$A$2)),参数设置!$B$5,0)</f>
        <v>0</v>
      </c>
      <c r="D46" s="9">
        <f>参数设置!$B$7</f>
        <v>0.86</v>
      </c>
      <c r="E46" s="15">
        <f>IF(B46=策略字典!$A$1,C46/D46,0)</f>
        <v>0</v>
      </c>
      <c r="F46" s="15">
        <f>E46*参数设置!$B$23</f>
        <v>0</v>
      </c>
      <c r="G46" s="15">
        <f t="shared" si="0"/>
        <v>0</v>
      </c>
      <c r="H46" s="15">
        <f t="shared" si="1"/>
        <v>87713.493280398296</v>
      </c>
      <c r="I46" s="15">
        <f>(H46+G46)*参数设置!$B$19/参数设置!$B$20</f>
        <v>1096.4186660049786</v>
      </c>
      <c r="J46" s="15">
        <f t="shared" si="2"/>
        <v>1096.4186660049786</v>
      </c>
      <c r="K46" s="14">
        <f>SUMIFS(贷款明细!$I$4:$I$435,贷款明细!$G$4:$G$435,"&gt;="&amp;A46,贷款明细!$G$4:$G$435,"&lt;"&amp;EDATE(A46,1))</f>
        <v>0</v>
      </c>
      <c r="L46" s="14">
        <f>SUMIFS(贷款明细!$J$4:$J$435,贷款明细!$G$4:$G$435,"&gt;="&amp;A46,贷款明细!$G$4:$G$435,"&lt;"&amp;EDATE(A46,1))</f>
        <v>0</v>
      </c>
      <c r="M46" s="15">
        <f t="shared" si="3"/>
        <v>0</v>
      </c>
      <c r="N46" s="15">
        <f>IF(B46=策略字典!$A$2,MIN(C46,K46)/D46,0)</f>
        <v>0</v>
      </c>
      <c r="O46" s="15">
        <f t="shared" si="4"/>
        <v>3609.1182418984258</v>
      </c>
      <c r="P46" s="15">
        <f t="shared" si="5"/>
        <v>4705.5369079034044</v>
      </c>
      <c r="Q46" s="15">
        <f t="shared" si="6"/>
        <v>0</v>
      </c>
      <c r="R46" s="15">
        <f>IF(B46=策略字典!$A$3,MIN(H46+G46,MAX(0,M46-N46-Q46)),0)</f>
        <v>0</v>
      </c>
      <c r="S46" s="15">
        <f>IF(R46=0,0,R46/(1-参数设置!$B$24))</f>
        <v>0</v>
      </c>
      <c r="T46" s="15">
        <f t="shared" si="7"/>
        <v>0</v>
      </c>
      <c r="U46" s="28">
        <f t="shared" si="8"/>
        <v>4705.5369079034044</v>
      </c>
      <c r="V46" s="15">
        <f t="shared" si="9"/>
        <v>87713.493280398296</v>
      </c>
      <c r="W46" s="14">
        <f>SUM($C$7:C46)-SUM($K$7:K46)</f>
        <v>0</v>
      </c>
      <c r="X46" s="15">
        <f t="shared" si="10"/>
        <v>0</v>
      </c>
      <c r="Y46" s="15">
        <f t="shared" si="11"/>
        <v>92419.030188301695</v>
      </c>
      <c r="Z46" s="15">
        <f t="shared" si="12"/>
        <v>92419.030188301695</v>
      </c>
      <c r="AA46" s="16">
        <f t="shared" si="13"/>
        <v>0</v>
      </c>
    </row>
    <row r="47" spans="1:27">
      <c r="A47" s="13">
        <f>EDATE(DATE(YEAR(参数设置!$B$4),MONTH(参数设置!$B$4),1),ROW()-7)</f>
        <v>47453</v>
      </c>
      <c r="B47" s="17" t="s">
        <v>92</v>
      </c>
      <c r="C47" s="14">
        <f>IF(AND(ROW()-6&lt;=参数设置!$B$6,OR(B47=策略字典!$A$1,B47=策略字典!$A$2)),参数设置!$B$5,0)</f>
        <v>0</v>
      </c>
      <c r="D47" s="9">
        <f>参数设置!$B$7</f>
        <v>0.86</v>
      </c>
      <c r="E47" s="15">
        <f>IF(B47=策略字典!$A$1,C47/D47,0)</f>
        <v>0</v>
      </c>
      <c r="F47" s="15">
        <f>E47*参数设置!$B$23</f>
        <v>0</v>
      </c>
      <c r="G47" s="15">
        <f t="shared" si="0"/>
        <v>0</v>
      </c>
      <c r="H47" s="15">
        <f t="shared" si="1"/>
        <v>87713.493280398296</v>
      </c>
      <c r="I47" s="15">
        <f>(H47+G47)*参数设置!$B$19/参数设置!$B$20</f>
        <v>1096.4186660049786</v>
      </c>
      <c r="J47" s="15">
        <f t="shared" si="2"/>
        <v>1096.4186660049786</v>
      </c>
      <c r="K47" s="14">
        <f>SUMIFS(贷款明细!$I$4:$I$435,贷款明细!$G$4:$G$435,"&gt;="&amp;A47,贷款明细!$G$4:$G$435,"&lt;"&amp;EDATE(A47,1))</f>
        <v>0</v>
      </c>
      <c r="L47" s="14">
        <f>SUMIFS(贷款明细!$J$4:$J$435,贷款明细!$G$4:$G$435,"&gt;="&amp;A47,贷款明细!$G$4:$G$435,"&lt;"&amp;EDATE(A47,1))</f>
        <v>0</v>
      </c>
      <c r="M47" s="15">
        <f t="shared" si="3"/>
        <v>0</v>
      </c>
      <c r="N47" s="15">
        <f>IF(B47=策略字典!$A$2,MIN(C47,K47)/D47,0)</f>
        <v>0</v>
      </c>
      <c r="O47" s="15">
        <f t="shared" si="4"/>
        <v>4705.5369079034044</v>
      </c>
      <c r="P47" s="15">
        <f t="shared" si="5"/>
        <v>5801.9555739083826</v>
      </c>
      <c r="Q47" s="15">
        <f t="shared" si="6"/>
        <v>0</v>
      </c>
      <c r="R47" s="15">
        <f>IF(B47=策略字典!$A$3,MIN(H47+G47,MAX(0,M47-N47-Q47)),0)</f>
        <v>0</v>
      </c>
      <c r="S47" s="15">
        <f>IF(R47=0,0,R47/(1-参数设置!$B$24))</f>
        <v>0</v>
      </c>
      <c r="T47" s="15">
        <f t="shared" si="7"/>
        <v>0</v>
      </c>
      <c r="U47" s="28">
        <f t="shared" si="8"/>
        <v>5801.9555739083826</v>
      </c>
      <c r="V47" s="15">
        <f t="shared" si="9"/>
        <v>87713.493280398296</v>
      </c>
      <c r="W47" s="14">
        <f>SUM($C$7:C47)-SUM($K$7:K47)</f>
        <v>0</v>
      </c>
      <c r="X47" s="15">
        <f t="shared" si="10"/>
        <v>0</v>
      </c>
      <c r="Y47" s="15">
        <f t="shared" si="11"/>
        <v>93515.448854306684</v>
      </c>
      <c r="Z47" s="15">
        <f t="shared" si="12"/>
        <v>93515.448854306684</v>
      </c>
      <c r="AA47" s="16">
        <f t="shared" si="13"/>
        <v>0</v>
      </c>
    </row>
    <row r="48" spans="1:27">
      <c r="A48" s="13">
        <f>EDATE(DATE(YEAR(参数设置!$B$4),MONTH(参数设置!$B$4),1),ROW()-7)</f>
        <v>47484</v>
      </c>
      <c r="B48" s="17" t="s">
        <v>92</v>
      </c>
      <c r="C48" s="14">
        <f>IF(AND(ROW()-6&lt;=参数设置!$B$6,OR(B48=策略字典!$A$1,B48=策略字典!$A$2)),参数设置!$B$5,0)</f>
        <v>0</v>
      </c>
      <c r="D48" s="9">
        <f>参数设置!$B$7</f>
        <v>0.86</v>
      </c>
      <c r="E48" s="15">
        <f>IF(B48=策略字典!$A$1,C48/D48,0)</f>
        <v>0</v>
      </c>
      <c r="F48" s="15">
        <f>E48*参数设置!$B$23</f>
        <v>0</v>
      </c>
      <c r="G48" s="15">
        <f t="shared" si="0"/>
        <v>0</v>
      </c>
      <c r="H48" s="15">
        <f t="shared" si="1"/>
        <v>87713.493280398296</v>
      </c>
      <c r="I48" s="15">
        <f>(H48+G48)*参数设置!$B$19/参数设置!$B$20</f>
        <v>1096.4186660049786</v>
      </c>
      <c r="J48" s="15">
        <f t="shared" si="2"/>
        <v>1096.4186660049786</v>
      </c>
      <c r="K48" s="14">
        <f>SUMIFS(贷款明细!$I$4:$I$435,贷款明细!$G$4:$G$435,"&gt;="&amp;A48,贷款明细!$G$4:$G$435,"&lt;"&amp;EDATE(A48,1))</f>
        <v>0</v>
      </c>
      <c r="L48" s="14">
        <f>SUMIFS(贷款明细!$J$4:$J$435,贷款明细!$G$4:$G$435,"&gt;="&amp;A48,贷款明细!$G$4:$G$435,"&lt;"&amp;EDATE(A48,1))</f>
        <v>0</v>
      </c>
      <c r="M48" s="15">
        <f t="shared" si="3"/>
        <v>0</v>
      </c>
      <c r="N48" s="15">
        <f>IF(B48=策略字典!$A$2,MIN(C48,K48)/D48,0)</f>
        <v>0</v>
      </c>
      <c r="O48" s="15">
        <f t="shared" si="4"/>
        <v>5801.9555739083826</v>
      </c>
      <c r="P48" s="15">
        <f t="shared" si="5"/>
        <v>6898.3742399133607</v>
      </c>
      <c r="Q48" s="15">
        <f t="shared" si="6"/>
        <v>0</v>
      </c>
      <c r="R48" s="15">
        <f>IF(B48=策略字典!$A$3,MIN(H48+G48,MAX(0,M48-N48-Q48)),0)</f>
        <v>0</v>
      </c>
      <c r="S48" s="15">
        <f>IF(R48=0,0,R48/(1-参数设置!$B$24))</f>
        <v>0</v>
      </c>
      <c r="T48" s="15">
        <f t="shared" si="7"/>
        <v>0</v>
      </c>
      <c r="U48" s="28">
        <f t="shared" si="8"/>
        <v>6898.3742399133607</v>
      </c>
      <c r="V48" s="15">
        <f t="shared" si="9"/>
        <v>87713.493280398296</v>
      </c>
      <c r="W48" s="14">
        <f>SUM($C$7:C48)-SUM($K$7:K48)</f>
        <v>0</v>
      </c>
      <c r="X48" s="15">
        <f t="shared" si="10"/>
        <v>0</v>
      </c>
      <c r="Y48" s="15">
        <f t="shared" si="11"/>
        <v>94611.867520311658</v>
      </c>
      <c r="Z48" s="15">
        <f t="shared" si="12"/>
        <v>94611.867520311658</v>
      </c>
      <c r="AA48" s="16">
        <f t="shared" si="13"/>
        <v>0</v>
      </c>
    </row>
    <row r="49" spans="1:27">
      <c r="A49" s="13">
        <f>EDATE(DATE(YEAR(参数设置!$B$4),MONTH(参数设置!$B$4),1),ROW()-7)</f>
        <v>47515</v>
      </c>
      <c r="B49" s="17" t="s">
        <v>92</v>
      </c>
      <c r="C49" s="14">
        <f>IF(AND(ROW()-6&lt;=参数设置!$B$6,OR(B49=策略字典!$A$1,B49=策略字典!$A$2)),参数设置!$B$5,0)</f>
        <v>0</v>
      </c>
      <c r="D49" s="9">
        <f>参数设置!$B$7</f>
        <v>0.86</v>
      </c>
      <c r="E49" s="15">
        <f>IF(B49=策略字典!$A$1,C49/D49,0)</f>
        <v>0</v>
      </c>
      <c r="F49" s="15">
        <f>E49*参数设置!$B$23</f>
        <v>0</v>
      </c>
      <c r="G49" s="15">
        <f t="shared" si="0"/>
        <v>0</v>
      </c>
      <c r="H49" s="15">
        <f t="shared" si="1"/>
        <v>87713.493280398296</v>
      </c>
      <c r="I49" s="15">
        <f>(H49+G49)*参数设置!$B$19/参数设置!$B$20</f>
        <v>1096.4186660049786</v>
      </c>
      <c r="J49" s="15">
        <f t="shared" si="2"/>
        <v>1096.4186660049786</v>
      </c>
      <c r="K49" s="14">
        <f>SUMIFS(贷款明细!$I$4:$I$435,贷款明细!$G$4:$G$435,"&gt;="&amp;A49,贷款明细!$G$4:$G$435,"&lt;"&amp;EDATE(A49,1))</f>
        <v>0</v>
      </c>
      <c r="L49" s="14">
        <f>SUMIFS(贷款明细!$J$4:$J$435,贷款明细!$G$4:$G$435,"&gt;="&amp;A49,贷款明细!$G$4:$G$435,"&lt;"&amp;EDATE(A49,1))</f>
        <v>0</v>
      </c>
      <c r="M49" s="15">
        <f t="shared" si="3"/>
        <v>0</v>
      </c>
      <c r="N49" s="15">
        <f>IF(B49=策略字典!$A$2,MIN(C49,K49)/D49,0)</f>
        <v>0</v>
      </c>
      <c r="O49" s="15">
        <f t="shared" si="4"/>
        <v>6898.3742399133607</v>
      </c>
      <c r="P49" s="15">
        <f t="shared" si="5"/>
        <v>7994.7929059183389</v>
      </c>
      <c r="Q49" s="15">
        <f t="shared" si="6"/>
        <v>0</v>
      </c>
      <c r="R49" s="15">
        <f>IF(B49=策略字典!$A$3,MIN(H49+G49,MAX(0,M49-N49-Q49)),0)</f>
        <v>0</v>
      </c>
      <c r="S49" s="15">
        <f>IF(R49=0,0,R49/(1-参数设置!$B$24))</f>
        <v>0</v>
      </c>
      <c r="T49" s="15">
        <f t="shared" si="7"/>
        <v>0</v>
      </c>
      <c r="U49" s="28">
        <f t="shared" si="8"/>
        <v>7994.7929059183389</v>
      </c>
      <c r="V49" s="15">
        <f t="shared" si="9"/>
        <v>87713.493280398296</v>
      </c>
      <c r="W49" s="14">
        <f>SUM($C$7:C49)-SUM($K$7:K49)</f>
        <v>0</v>
      </c>
      <c r="X49" s="15">
        <f t="shared" si="10"/>
        <v>0</v>
      </c>
      <c r="Y49" s="15">
        <f t="shared" si="11"/>
        <v>95708.286186316633</v>
      </c>
      <c r="Z49" s="15">
        <f t="shared" si="12"/>
        <v>95708.286186316633</v>
      </c>
      <c r="AA49" s="16">
        <f t="shared" si="13"/>
        <v>0</v>
      </c>
    </row>
    <row r="50" spans="1:27">
      <c r="A50" s="13">
        <f>EDATE(DATE(YEAR(参数设置!$B$4),MONTH(参数设置!$B$4),1),ROW()-7)</f>
        <v>47543</v>
      </c>
      <c r="B50" s="17" t="s">
        <v>92</v>
      </c>
      <c r="C50" s="14">
        <f>IF(AND(ROW()-6&lt;=参数设置!$B$6,OR(B50=策略字典!$A$1,B50=策略字典!$A$2)),参数设置!$B$5,0)</f>
        <v>0</v>
      </c>
      <c r="D50" s="9">
        <f>参数设置!$B$7</f>
        <v>0.86</v>
      </c>
      <c r="E50" s="15">
        <f>IF(B50=策略字典!$A$1,C50/D50,0)</f>
        <v>0</v>
      </c>
      <c r="F50" s="15">
        <f>E50*参数设置!$B$23</f>
        <v>0</v>
      </c>
      <c r="G50" s="15">
        <f t="shared" si="0"/>
        <v>0</v>
      </c>
      <c r="H50" s="15">
        <f t="shared" si="1"/>
        <v>87713.493280398296</v>
      </c>
      <c r="I50" s="15">
        <f>(H50+G50)*参数设置!$B$19/参数设置!$B$20</f>
        <v>1096.4186660049786</v>
      </c>
      <c r="J50" s="15">
        <f t="shared" si="2"/>
        <v>1096.4186660049786</v>
      </c>
      <c r="K50" s="14">
        <f>SUMIFS(贷款明细!$I$4:$I$435,贷款明细!$G$4:$G$435,"&gt;="&amp;A50,贷款明细!$G$4:$G$435,"&lt;"&amp;EDATE(A50,1))</f>
        <v>0</v>
      </c>
      <c r="L50" s="14">
        <f>SUMIFS(贷款明细!$J$4:$J$435,贷款明细!$G$4:$G$435,"&gt;="&amp;A50,贷款明细!$G$4:$G$435,"&lt;"&amp;EDATE(A50,1))</f>
        <v>0</v>
      </c>
      <c r="M50" s="15">
        <f t="shared" si="3"/>
        <v>0</v>
      </c>
      <c r="N50" s="15">
        <f>IF(B50=策略字典!$A$2,MIN(C50,K50)/D50,0)</f>
        <v>0</v>
      </c>
      <c r="O50" s="15">
        <f t="shared" si="4"/>
        <v>7994.7929059183389</v>
      </c>
      <c r="P50" s="15">
        <f t="shared" si="5"/>
        <v>9091.211571923317</v>
      </c>
      <c r="Q50" s="15">
        <f t="shared" si="6"/>
        <v>0</v>
      </c>
      <c r="R50" s="15">
        <f>IF(B50=策略字典!$A$3,MIN(H50+G50,MAX(0,M50-N50-Q50)),0)</f>
        <v>0</v>
      </c>
      <c r="S50" s="15">
        <f>IF(R50=0,0,R50/(1-参数设置!$B$24))</f>
        <v>0</v>
      </c>
      <c r="T50" s="15">
        <f t="shared" si="7"/>
        <v>0</v>
      </c>
      <c r="U50" s="28">
        <f t="shared" si="8"/>
        <v>9091.211571923317</v>
      </c>
      <c r="V50" s="15">
        <f t="shared" si="9"/>
        <v>87713.493280398296</v>
      </c>
      <c r="W50" s="14">
        <f>SUM($C$7:C50)-SUM($K$7:K50)</f>
        <v>0</v>
      </c>
      <c r="X50" s="15">
        <f t="shared" si="10"/>
        <v>0</v>
      </c>
      <c r="Y50" s="15">
        <f t="shared" si="11"/>
        <v>96804.704852321607</v>
      </c>
      <c r="Z50" s="15">
        <f t="shared" si="12"/>
        <v>96804.704852321607</v>
      </c>
      <c r="AA50" s="16">
        <f t="shared" si="13"/>
        <v>0</v>
      </c>
    </row>
    <row r="51" spans="1:27">
      <c r="A51" s="13">
        <f>EDATE(DATE(YEAR(参数设置!$B$4),MONTH(参数设置!$B$4),1),ROW()-7)</f>
        <v>47574</v>
      </c>
      <c r="B51" s="17" t="s">
        <v>92</v>
      </c>
      <c r="C51" s="14">
        <f>IF(AND(ROW()-6&lt;=参数设置!$B$6,OR(B51=策略字典!$A$1,B51=策略字典!$A$2)),参数设置!$B$5,0)</f>
        <v>0</v>
      </c>
      <c r="D51" s="9">
        <f>参数设置!$B$7</f>
        <v>0.86</v>
      </c>
      <c r="E51" s="15">
        <f>IF(B51=策略字典!$A$1,C51/D51,0)</f>
        <v>0</v>
      </c>
      <c r="F51" s="15">
        <f>E51*参数设置!$B$23</f>
        <v>0</v>
      </c>
      <c r="G51" s="15">
        <f t="shared" si="0"/>
        <v>0</v>
      </c>
      <c r="H51" s="15">
        <f t="shared" si="1"/>
        <v>87713.493280398296</v>
      </c>
      <c r="I51" s="15">
        <f>(H51+G51)*参数设置!$B$19/参数设置!$B$20</f>
        <v>1096.4186660049786</v>
      </c>
      <c r="J51" s="15">
        <f t="shared" si="2"/>
        <v>1096.4186660049786</v>
      </c>
      <c r="K51" s="14">
        <f>SUMIFS(贷款明细!$I$4:$I$435,贷款明细!$G$4:$G$435,"&gt;="&amp;A51,贷款明细!$G$4:$G$435,"&lt;"&amp;EDATE(A51,1))</f>
        <v>0</v>
      </c>
      <c r="L51" s="14">
        <f>SUMIFS(贷款明细!$J$4:$J$435,贷款明细!$G$4:$G$435,"&gt;="&amp;A51,贷款明细!$G$4:$G$435,"&lt;"&amp;EDATE(A51,1))</f>
        <v>0</v>
      </c>
      <c r="M51" s="15">
        <f t="shared" si="3"/>
        <v>0</v>
      </c>
      <c r="N51" s="15">
        <f>IF(B51=策略字典!$A$2,MIN(C51,K51)/D51,0)</f>
        <v>0</v>
      </c>
      <c r="O51" s="15">
        <f t="shared" si="4"/>
        <v>9091.211571923317</v>
      </c>
      <c r="P51" s="15">
        <f t="shared" si="5"/>
        <v>10187.630237928295</v>
      </c>
      <c r="Q51" s="15">
        <f t="shared" si="6"/>
        <v>0</v>
      </c>
      <c r="R51" s="15">
        <f>IF(B51=策略字典!$A$3,MIN(H51+G51,MAX(0,M51-N51-Q51)),0)</f>
        <v>0</v>
      </c>
      <c r="S51" s="15">
        <f>IF(R51=0,0,R51/(1-参数设置!$B$24))</f>
        <v>0</v>
      </c>
      <c r="T51" s="15">
        <f t="shared" si="7"/>
        <v>0</v>
      </c>
      <c r="U51" s="28">
        <f t="shared" si="8"/>
        <v>10187.630237928295</v>
      </c>
      <c r="V51" s="15">
        <f t="shared" si="9"/>
        <v>87713.493280398296</v>
      </c>
      <c r="W51" s="14">
        <f>SUM($C$7:C51)-SUM($K$7:K51)</f>
        <v>0</v>
      </c>
      <c r="X51" s="15">
        <f t="shared" si="10"/>
        <v>0</v>
      </c>
      <c r="Y51" s="15">
        <f t="shared" si="11"/>
        <v>97901.123518326596</v>
      </c>
      <c r="Z51" s="15">
        <f t="shared" si="12"/>
        <v>97901.123518326596</v>
      </c>
      <c r="AA51" s="16">
        <f t="shared" si="13"/>
        <v>0</v>
      </c>
    </row>
    <row r="52" spans="1:27">
      <c r="A52" s="13">
        <f>EDATE(DATE(YEAR(参数设置!$B$4),MONTH(参数设置!$B$4),1),ROW()-7)</f>
        <v>47604</v>
      </c>
      <c r="B52" s="17" t="s">
        <v>92</v>
      </c>
      <c r="C52" s="14">
        <f>IF(AND(ROW()-6&lt;=参数设置!$B$6,OR(B52=策略字典!$A$1,B52=策略字典!$A$2)),参数设置!$B$5,0)</f>
        <v>0</v>
      </c>
      <c r="D52" s="9">
        <f>参数设置!$B$7</f>
        <v>0.86</v>
      </c>
      <c r="E52" s="15">
        <f>IF(B52=策略字典!$A$1,C52/D52,0)</f>
        <v>0</v>
      </c>
      <c r="F52" s="15">
        <f>E52*参数设置!$B$23</f>
        <v>0</v>
      </c>
      <c r="G52" s="15">
        <f t="shared" si="0"/>
        <v>0</v>
      </c>
      <c r="H52" s="15">
        <f t="shared" si="1"/>
        <v>87713.493280398296</v>
      </c>
      <c r="I52" s="15">
        <f>(H52+G52)*参数设置!$B$19/参数设置!$B$20</f>
        <v>1096.4186660049786</v>
      </c>
      <c r="J52" s="15">
        <f t="shared" si="2"/>
        <v>1096.4186660049786</v>
      </c>
      <c r="K52" s="14">
        <f>SUMIFS(贷款明细!$I$4:$I$435,贷款明细!$G$4:$G$435,"&gt;="&amp;A52,贷款明细!$G$4:$G$435,"&lt;"&amp;EDATE(A52,1))</f>
        <v>0</v>
      </c>
      <c r="L52" s="14">
        <f>SUMIFS(贷款明细!$J$4:$J$435,贷款明细!$G$4:$G$435,"&gt;="&amp;A52,贷款明细!$G$4:$G$435,"&lt;"&amp;EDATE(A52,1))</f>
        <v>0</v>
      </c>
      <c r="M52" s="15">
        <f t="shared" si="3"/>
        <v>0</v>
      </c>
      <c r="N52" s="15">
        <f>IF(B52=策略字典!$A$2,MIN(C52,K52)/D52,0)</f>
        <v>0</v>
      </c>
      <c r="O52" s="15">
        <f t="shared" si="4"/>
        <v>10187.630237928295</v>
      </c>
      <c r="P52" s="15">
        <f t="shared" si="5"/>
        <v>11284.048903933273</v>
      </c>
      <c r="Q52" s="15">
        <f t="shared" si="6"/>
        <v>0</v>
      </c>
      <c r="R52" s="15">
        <f>IF(B52=策略字典!$A$3,MIN(H52+G52,MAX(0,M52-N52-Q52)),0)</f>
        <v>0</v>
      </c>
      <c r="S52" s="15">
        <f>IF(R52=0,0,R52/(1-参数设置!$B$24))</f>
        <v>0</v>
      </c>
      <c r="T52" s="15">
        <f t="shared" si="7"/>
        <v>0</v>
      </c>
      <c r="U52" s="28">
        <f t="shared" si="8"/>
        <v>11284.048903933273</v>
      </c>
      <c r="V52" s="15">
        <f t="shared" si="9"/>
        <v>87713.493280398296</v>
      </c>
      <c r="W52" s="14">
        <f>SUM($C$7:C52)-SUM($K$7:K52)</f>
        <v>0</v>
      </c>
      <c r="X52" s="15">
        <f t="shared" si="10"/>
        <v>0</v>
      </c>
      <c r="Y52" s="15">
        <f t="shared" si="11"/>
        <v>98997.542184331571</v>
      </c>
      <c r="Z52" s="15">
        <f t="shared" si="12"/>
        <v>98997.542184331571</v>
      </c>
      <c r="AA52" s="16">
        <f t="shared" si="13"/>
        <v>0</v>
      </c>
    </row>
    <row r="53" spans="1:27">
      <c r="A53" s="13">
        <f>EDATE(DATE(YEAR(参数设置!$B$4),MONTH(参数设置!$B$4),1),ROW()-7)</f>
        <v>47635</v>
      </c>
      <c r="B53" s="17" t="s">
        <v>92</v>
      </c>
      <c r="C53" s="14">
        <f>IF(AND(ROW()-6&lt;=参数设置!$B$6,OR(B53=策略字典!$A$1,B53=策略字典!$A$2)),参数设置!$B$5,0)</f>
        <v>0</v>
      </c>
      <c r="D53" s="9">
        <f>参数设置!$B$7</f>
        <v>0.86</v>
      </c>
      <c r="E53" s="15">
        <f>IF(B53=策略字典!$A$1,C53/D53,0)</f>
        <v>0</v>
      </c>
      <c r="F53" s="15">
        <f>E53*参数设置!$B$23</f>
        <v>0</v>
      </c>
      <c r="G53" s="15">
        <f t="shared" si="0"/>
        <v>0</v>
      </c>
      <c r="H53" s="15">
        <f t="shared" si="1"/>
        <v>87713.493280398296</v>
      </c>
      <c r="I53" s="15">
        <f>(H53+G53)*参数设置!$B$19/参数设置!$B$20</f>
        <v>1096.4186660049786</v>
      </c>
      <c r="J53" s="15">
        <f t="shared" si="2"/>
        <v>1096.4186660049786</v>
      </c>
      <c r="K53" s="14">
        <f>SUMIFS(贷款明细!$I$4:$I$435,贷款明细!$G$4:$G$435,"&gt;="&amp;A53,贷款明细!$G$4:$G$435,"&lt;"&amp;EDATE(A53,1))</f>
        <v>0</v>
      </c>
      <c r="L53" s="14">
        <f>SUMIFS(贷款明细!$J$4:$J$435,贷款明细!$G$4:$G$435,"&gt;="&amp;A53,贷款明细!$G$4:$G$435,"&lt;"&amp;EDATE(A53,1))</f>
        <v>0</v>
      </c>
      <c r="M53" s="15">
        <f t="shared" si="3"/>
        <v>0</v>
      </c>
      <c r="N53" s="15">
        <f>IF(B53=策略字典!$A$2,MIN(C53,K53)/D53,0)</f>
        <v>0</v>
      </c>
      <c r="O53" s="15">
        <f t="shared" si="4"/>
        <v>11284.048903933273</v>
      </c>
      <c r="P53" s="15">
        <f t="shared" si="5"/>
        <v>12380.467569938251</v>
      </c>
      <c r="Q53" s="15">
        <f t="shared" si="6"/>
        <v>0</v>
      </c>
      <c r="R53" s="15">
        <f>IF(B53=策略字典!$A$3,MIN(H53+G53,MAX(0,M53-N53-Q53)),0)</f>
        <v>0</v>
      </c>
      <c r="S53" s="15">
        <f>IF(R53=0,0,R53/(1-参数设置!$B$24))</f>
        <v>0</v>
      </c>
      <c r="T53" s="15">
        <f t="shared" si="7"/>
        <v>0</v>
      </c>
      <c r="U53" s="28">
        <f t="shared" si="8"/>
        <v>12380.467569938251</v>
      </c>
      <c r="V53" s="15">
        <f t="shared" si="9"/>
        <v>87713.493280398296</v>
      </c>
      <c r="W53" s="14">
        <f>SUM($C$7:C53)-SUM($K$7:K53)</f>
        <v>0</v>
      </c>
      <c r="X53" s="15">
        <f t="shared" si="10"/>
        <v>0</v>
      </c>
      <c r="Y53" s="15">
        <f t="shared" si="11"/>
        <v>100093.96085033655</v>
      </c>
      <c r="Z53" s="15">
        <f t="shared" si="12"/>
        <v>100093.96085033655</v>
      </c>
      <c r="AA53" s="16">
        <f t="shared" si="13"/>
        <v>0</v>
      </c>
    </row>
    <row r="54" spans="1:27">
      <c r="A54" s="13">
        <f>EDATE(DATE(YEAR(参数设置!$B$4),MONTH(参数设置!$B$4),1),ROW()-7)</f>
        <v>47665</v>
      </c>
      <c r="B54" s="17" t="s">
        <v>92</v>
      </c>
      <c r="C54" s="14">
        <f>IF(AND(ROW()-6&lt;=参数设置!$B$6,OR(B54=策略字典!$A$1,B54=策略字典!$A$2)),参数设置!$B$5,0)</f>
        <v>0</v>
      </c>
      <c r="D54" s="9">
        <f>参数设置!$B$7</f>
        <v>0.86</v>
      </c>
      <c r="E54" s="15">
        <f>IF(B54=策略字典!$A$1,C54/D54,0)</f>
        <v>0</v>
      </c>
      <c r="F54" s="15">
        <f>E54*参数设置!$B$23</f>
        <v>0</v>
      </c>
      <c r="G54" s="15">
        <f t="shared" si="0"/>
        <v>0</v>
      </c>
      <c r="H54" s="28">
        <f t="shared" si="1"/>
        <v>87713.493280398296</v>
      </c>
      <c r="I54" s="15">
        <f>(H54+G54)*参数设置!$B$19/参数设置!$B$20</f>
        <v>1096.4186660049786</v>
      </c>
      <c r="J54" s="15">
        <f t="shared" si="2"/>
        <v>1096.4186660049786</v>
      </c>
      <c r="K54" s="14">
        <f>SUMIFS(贷款明细!$I$4:$I$435,贷款明细!$G$4:$G$435,"&gt;="&amp;A54,贷款明细!$G$4:$G$435,"&lt;"&amp;EDATE(A54,1))</f>
        <v>0</v>
      </c>
      <c r="L54" s="14">
        <f>SUMIFS(贷款明细!$J$4:$J$435,贷款明细!$G$4:$G$435,"&gt;="&amp;A54,贷款明细!$G$4:$G$435,"&lt;"&amp;EDATE(A54,1))</f>
        <v>0</v>
      </c>
      <c r="M54" s="15">
        <f t="shared" si="3"/>
        <v>0</v>
      </c>
      <c r="N54" s="15">
        <f>IF(B54=策略字典!$A$2,MIN(C54,K54)/D54,0)</f>
        <v>0</v>
      </c>
      <c r="O54" s="15">
        <f t="shared" si="4"/>
        <v>12380.467569938251</v>
      </c>
      <c r="P54" s="15">
        <f t="shared" si="5"/>
        <v>13476.88623594323</v>
      </c>
      <c r="Q54" s="15">
        <f t="shared" si="6"/>
        <v>0</v>
      </c>
      <c r="R54" s="15">
        <f>IF(B54=策略字典!$A$3,MIN(H54+G54,MAX(0,M54-N54-Q54)),0)</f>
        <v>0</v>
      </c>
      <c r="S54" s="15">
        <f>IF(R54=0,0,R54/(1-参数设置!$B$24))</f>
        <v>0</v>
      </c>
      <c r="T54" s="15">
        <f t="shared" si="7"/>
        <v>0</v>
      </c>
      <c r="U54" s="28">
        <f t="shared" si="8"/>
        <v>13476.88623594323</v>
      </c>
      <c r="V54" s="15">
        <f t="shared" si="9"/>
        <v>87713.493280398296</v>
      </c>
      <c r="W54" s="14">
        <f>SUM($C$7:C54)-SUM($K$7:K54)</f>
        <v>0</v>
      </c>
      <c r="X54" s="15">
        <f t="shared" si="10"/>
        <v>0</v>
      </c>
      <c r="Y54" s="15">
        <f t="shared" si="11"/>
        <v>101190.37951634152</v>
      </c>
      <c r="Z54" s="15">
        <f t="shared" si="12"/>
        <v>101190.37951634152</v>
      </c>
      <c r="AA54" s="16">
        <f t="shared" si="13"/>
        <v>0</v>
      </c>
    </row>
    <row r="55" spans="1:27">
      <c r="A55" s="18" t="s">
        <v>93</v>
      </c>
      <c r="B55" s="18"/>
      <c r="C55" s="19">
        <f>SUM(C7:C54)</f>
        <v>561600</v>
      </c>
      <c r="D55" s="18"/>
      <c r="E55" s="20">
        <f>SUM(E7:E54)</f>
        <v>326511.62790697673</v>
      </c>
      <c r="F55" s="20">
        <f>SUM(F7:F54)</f>
        <v>326.5116279069768</v>
      </c>
      <c r="G55" s="20">
        <f>SUM(G7:G54)</f>
        <v>326185.1162790698</v>
      </c>
      <c r="H55" s="20">
        <f>H54</f>
        <v>87713.493280398296</v>
      </c>
      <c r="I55" s="20">
        <f t="shared" ref="I55:N55" si="14">SUM(I7:I54)</f>
        <v>124731.82794487994</v>
      </c>
      <c r="J55" s="20">
        <f t="shared" si="14"/>
        <v>123635.40927887497</v>
      </c>
      <c r="K55" s="19">
        <f t="shared" si="14"/>
        <v>561600</v>
      </c>
      <c r="L55" s="19">
        <f t="shared" si="14"/>
        <v>18816.839999999997</v>
      </c>
      <c r="M55" s="20">
        <f t="shared" si="14"/>
        <v>674903.30232558132</v>
      </c>
      <c r="N55" s="20">
        <f t="shared" si="14"/>
        <v>326511.62790697673</v>
      </c>
      <c r="O55" s="20">
        <f>O54</f>
        <v>12380.467569938251</v>
      </c>
      <c r="P55" s="20">
        <f>P54</f>
        <v>13476.88623594323</v>
      </c>
      <c r="Q55" s="20">
        <f>SUM(Q7:Q54)</f>
        <v>110158.5230429318</v>
      </c>
      <c r="R55" s="20">
        <f>SUM(R7:R54)</f>
        <v>238233.15137567281</v>
      </c>
      <c r="S55" s="20">
        <f>SUM(S7:S54)</f>
        <v>238471.62299867149</v>
      </c>
      <c r="T55" s="20">
        <f>SUM(T7:T54)</f>
        <v>0</v>
      </c>
      <c r="U55" s="29">
        <f t="shared" ref="U55:Z55" si="15">U54</f>
        <v>13476.88623594323</v>
      </c>
      <c r="V55" s="20">
        <f t="shared" si="15"/>
        <v>87713.493280398296</v>
      </c>
      <c r="W55" s="19">
        <f t="shared" si="15"/>
        <v>0</v>
      </c>
      <c r="X55" s="20">
        <f t="shared" si="15"/>
        <v>0</v>
      </c>
      <c r="Y55" s="20">
        <f t="shared" si="15"/>
        <v>101190.37951634152</v>
      </c>
      <c r="Z55" s="20">
        <f t="shared" si="15"/>
        <v>101190.37951634152</v>
      </c>
      <c r="AA55" s="18"/>
    </row>
  </sheetData>
  <autoFilter ref="A6:AA54" xr:uid="{00000000-0009-0000-0000-000002000000}"/>
  <mergeCells count="13">
    <mergeCell ref="U4:W4"/>
    <mergeCell ref="A4:C4"/>
    <mergeCell ref="E4:G4"/>
    <mergeCell ref="I4:K4"/>
    <mergeCell ref="M4:O4"/>
    <mergeCell ref="Q4:S4"/>
    <mergeCell ref="A1:AA1"/>
    <mergeCell ref="A3:C3"/>
    <mergeCell ref="E3:G3"/>
    <mergeCell ref="I3:K3"/>
    <mergeCell ref="M3:O3"/>
    <mergeCell ref="Q3:S3"/>
    <mergeCell ref="U3:W3"/>
  </mergeCells>
  <phoneticPr fontId="16" type="noConversion"/>
  <pageMargins left="0.75" right="0.75" top="1" bottom="1" header="0.511811023622047" footer="0.511811023622047"/>
  <pageSetup paperSize="9" orientation="portrait" horizontalDpi="300" verticalDpi="30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无效策略" error="请选择策略一、策略二或策略三" promptTitle="策略控制" prompt="选择当月贷款及还款策略" xr:uid="{00000000-0002-0000-0200-000000000000}">
          <x14:formula1>
            <xm:f>策略字典!$A$1:$A$3</xm:f>
          </x14:formula1>
          <x14:formula2>
            <xm:f>0</xm:f>
          </x14:formula2>
          <xm:sqref>B7:B42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35"/>
  <sheetViews>
    <sheetView showGridLines="0" zoomScaleNormal="100" workbookViewId="0">
      <pane ySplit="3" topLeftCell="A16" activePane="bottomLeft" state="frozen"/>
      <selection pane="bottomLeft" activeCell="B3" sqref="B3"/>
    </sheetView>
  </sheetViews>
  <sheetFormatPr defaultColWidth="8.6640625" defaultRowHeight="14.4"/>
  <cols>
    <col min="1" max="2" width="10" customWidth="1"/>
    <col min="3" max="3" width="13" customWidth="1"/>
    <col min="4" max="4" width="18" customWidth="1"/>
    <col min="5" max="5" width="8" customWidth="1"/>
    <col min="6" max="7" width="13" customWidth="1"/>
    <col min="8" max="8" width="10" customWidth="1"/>
    <col min="9" max="11" width="18" customWidth="1"/>
    <col min="12" max="12" width="13" customWidth="1"/>
    <col min="13" max="13" width="10" customWidth="1"/>
  </cols>
  <sheetData>
    <row r="1" spans="1:13" ht="24.75" customHeight="1">
      <c r="A1" s="22" t="s">
        <v>94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3" spans="1:13" ht="27.6">
      <c r="A3" s="12" t="s">
        <v>95</v>
      </c>
      <c r="B3" s="12" t="s">
        <v>96</v>
      </c>
      <c r="C3" s="12" t="s">
        <v>97</v>
      </c>
      <c r="D3" s="12" t="s">
        <v>98</v>
      </c>
      <c r="E3" s="12" t="s">
        <v>99</v>
      </c>
      <c r="F3" s="12" t="s">
        <v>100</v>
      </c>
      <c r="G3" s="12" t="s">
        <v>101</v>
      </c>
      <c r="H3" s="12" t="s">
        <v>102</v>
      </c>
      <c r="I3" s="12" t="s">
        <v>103</v>
      </c>
      <c r="J3" s="12" t="s">
        <v>104</v>
      </c>
      <c r="K3" s="12" t="s">
        <v>105</v>
      </c>
      <c r="L3" s="12" t="s">
        <v>106</v>
      </c>
      <c r="M3" s="12" t="s">
        <v>107</v>
      </c>
    </row>
    <row r="4" spans="1:13">
      <c r="A4">
        <v>1</v>
      </c>
      <c r="B4">
        <v>1</v>
      </c>
      <c r="C4" s="21">
        <f>EDATE(参数设置!$B$4,A4-1)</f>
        <v>46244</v>
      </c>
      <c r="D4" s="14">
        <f>IF(AND(A4&lt;=参数设置!$B$6,OR(INDEX(月度资金流!$B$7:$B$42,A4)="策略一：消费贷款+买基金",INDEX(月度资金流!$B$7:$B$42,A4)="策略二：新贷偿还旧贷")),参数设置!$B$5,0)</f>
        <v>23400</v>
      </c>
      <c r="E4">
        <v>1</v>
      </c>
      <c r="F4" s="21">
        <f t="shared" ref="F4:F67" si="0">IF(E4=1,C4,G3)</f>
        <v>46244</v>
      </c>
      <c r="G4" s="21">
        <f>IF(E4&lt;参数设置!$B$14,DATE(YEAR(EDATE(C4,E4+1)),MONTH(EDATE(C4,E4+1)),参数设置!$B$15),EDATE(C4,参数设置!$B$14))</f>
        <v>46300</v>
      </c>
      <c r="H4">
        <f t="shared" ref="H4:H67" si="1">G4-F4</f>
        <v>56</v>
      </c>
      <c r="I4" s="14">
        <f>IF(E4=参数设置!$B$14,D4,0)</f>
        <v>0</v>
      </c>
      <c r="J4" s="14">
        <f>IF(M4=1,ROUND(D4*参数设置!$B$12*H4/参数设置!$B$13,参数设置!$B$16),0)</f>
        <v>120.12</v>
      </c>
      <c r="K4" s="14">
        <f t="shared" ref="K4:K67" si="2">I4+J4</f>
        <v>120.12</v>
      </c>
      <c r="L4" s="21">
        <f>EDATE(C4,参数设置!$B$14)</f>
        <v>46609</v>
      </c>
      <c r="M4">
        <f t="shared" ref="M4:M67" si="3">--(D4&gt;0)</f>
        <v>1</v>
      </c>
    </row>
    <row r="5" spans="1:13">
      <c r="A5">
        <v>1</v>
      </c>
      <c r="B5">
        <v>1</v>
      </c>
      <c r="C5" s="21">
        <f>EDATE(参数设置!$B$4,A5-1)</f>
        <v>46244</v>
      </c>
      <c r="D5" s="14">
        <f>IF(AND(A5&lt;=参数设置!$B$6,OR(INDEX(月度资金流!$B$7:$B$42,A5)="策略一：消费贷款+买基金",INDEX(月度资金流!$B$7:$B$42,A5)="策略二：新贷偿还旧贷")),参数设置!$B$5,0)</f>
        <v>23400</v>
      </c>
      <c r="E5">
        <v>2</v>
      </c>
      <c r="F5" s="21">
        <f t="shared" si="0"/>
        <v>46300</v>
      </c>
      <c r="G5" s="21">
        <f>IF(E5&lt;参数设置!$B$14,DATE(YEAR(EDATE(C5,E5+1)),MONTH(EDATE(C5,E5+1)),参数设置!$B$15),EDATE(C5,参数设置!$B$14))</f>
        <v>46331</v>
      </c>
      <c r="H5">
        <f t="shared" si="1"/>
        <v>31</v>
      </c>
      <c r="I5" s="14">
        <f>IF(E5=参数设置!$B$14,D5,0)</f>
        <v>0</v>
      </c>
      <c r="J5" s="14">
        <f>IF(M5=1,ROUND(D5*参数设置!$B$12*H5/参数设置!$B$13,参数设置!$B$16),0)</f>
        <v>66.5</v>
      </c>
      <c r="K5" s="14">
        <f t="shared" si="2"/>
        <v>66.5</v>
      </c>
      <c r="L5" s="21">
        <f>EDATE(C5,参数设置!$B$14)</f>
        <v>46609</v>
      </c>
      <c r="M5">
        <f t="shared" si="3"/>
        <v>1</v>
      </c>
    </row>
    <row r="6" spans="1:13">
      <c r="A6">
        <v>1</v>
      </c>
      <c r="B6">
        <v>1</v>
      </c>
      <c r="C6" s="21">
        <f>EDATE(参数设置!$B$4,A6-1)</f>
        <v>46244</v>
      </c>
      <c r="D6" s="14">
        <f>IF(AND(A6&lt;=参数设置!$B$6,OR(INDEX(月度资金流!$B$7:$B$42,A6)="策略一：消费贷款+买基金",INDEX(月度资金流!$B$7:$B$42,A6)="策略二：新贷偿还旧贷")),参数设置!$B$5,0)</f>
        <v>23400</v>
      </c>
      <c r="E6">
        <v>3</v>
      </c>
      <c r="F6" s="21">
        <f t="shared" si="0"/>
        <v>46331</v>
      </c>
      <c r="G6" s="21">
        <f>IF(E6&lt;参数设置!$B$14,DATE(YEAR(EDATE(C6,E6+1)),MONTH(EDATE(C6,E6+1)),参数设置!$B$15),EDATE(C6,参数设置!$B$14))</f>
        <v>46361</v>
      </c>
      <c r="H6">
        <f t="shared" si="1"/>
        <v>30</v>
      </c>
      <c r="I6" s="14">
        <f>IF(E6=参数设置!$B$14,D6,0)</f>
        <v>0</v>
      </c>
      <c r="J6" s="14">
        <f>IF(M6=1,ROUND(D6*参数设置!$B$12*H6/参数设置!$B$13,参数设置!$B$16),0)</f>
        <v>64.349999999999994</v>
      </c>
      <c r="K6" s="14">
        <f t="shared" si="2"/>
        <v>64.349999999999994</v>
      </c>
      <c r="L6" s="21">
        <f>EDATE(C6,参数设置!$B$14)</f>
        <v>46609</v>
      </c>
      <c r="M6">
        <f t="shared" si="3"/>
        <v>1</v>
      </c>
    </row>
    <row r="7" spans="1:13">
      <c r="A7">
        <v>1</v>
      </c>
      <c r="B7">
        <v>1</v>
      </c>
      <c r="C7" s="21">
        <f>EDATE(参数设置!$B$4,A7-1)</f>
        <v>46244</v>
      </c>
      <c r="D7" s="14">
        <f>IF(AND(A7&lt;=参数设置!$B$6,OR(INDEX(月度资金流!$B$7:$B$42,A7)="策略一：消费贷款+买基金",INDEX(月度资金流!$B$7:$B$42,A7)="策略二：新贷偿还旧贷")),参数设置!$B$5,0)</f>
        <v>23400</v>
      </c>
      <c r="E7">
        <v>4</v>
      </c>
      <c r="F7" s="21">
        <f t="shared" si="0"/>
        <v>46361</v>
      </c>
      <c r="G7" s="21">
        <f>IF(E7&lt;参数设置!$B$14,DATE(YEAR(EDATE(C7,E7+1)),MONTH(EDATE(C7,E7+1)),参数设置!$B$15),EDATE(C7,参数设置!$B$14))</f>
        <v>46392</v>
      </c>
      <c r="H7">
        <f t="shared" si="1"/>
        <v>31</v>
      </c>
      <c r="I7" s="14">
        <f>IF(E7=参数设置!$B$14,D7,0)</f>
        <v>0</v>
      </c>
      <c r="J7" s="14">
        <f>IF(M7=1,ROUND(D7*参数设置!$B$12*H7/参数设置!$B$13,参数设置!$B$16),0)</f>
        <v>66.5</v>
      </c>
      <c r="K7" s="14">
        <f t="shared" si="2"/>
        <v>66.5</v>
      </c>
      <c r="L7" s="21">
        <f>EDATE(C7,参数设置!$B$14)</f>
        <v>46609</v>
      </c>
      <c r="M7">
        <f t="shared" si="3"/>
        <v>1</v>
      </c>
    </row>
    <row r="8" spans="1:13">
      <c r="A8">
        <v>1</v>
      </c>
      <c r="B8">
        <v>1</v>
      </c>
      <c r="C8" s="21">
        <f>EDATE(参数设置!$B$4,A8-1)</f>
        <v>46244</v>
      </c>
      <c r="D8" s="14">
        <f>IF(AND(A8&lt;=参数设置!$B$6,OR(INDEX(月度资金流!$B$7:$B$42,A8)="策略一：消费贷款+买基金",INDEX(月度资金流!$B$7:$B$42,A8)="策略二：新贷偿还旧贷")),参数设置!$B$5,0)</f>
        <v>23400</v>
      </c>
      <c r="E8">
        <v>5</v>
      </c>
      <c r="F8" s="21">
        <f t="shared" si="0"/>
        <v>46392</v>
      </c>
      <c r="G8" s="21">
        <f>IF(E8&lt;参数设置!$B$14,DATE(YEAR(EDATE(C8,E8+1)),MONTH(EDATE(C8,E8+1)),参数设置!$B$15),EDATE(C8,参数设置!$B$14))</f>
        <v>46423</v>
      </c>
      <c r="H8">
        <f t="shared" si="1"/>
        <v>31</v>
      </c>
      <c r="I8" s="14">
        <f>IF(E8=参数设置!$B$14,D8,0)</f>
        <v>0</v>
      </c>
      <c r="J8" s="14">
        <f>IF(M8=1,ROUND(D8*参数设置!$B$12*H8/参数设置!$B$13,参数设置!$B$16),0)</f>
        <v>66.5</v>
      </c>
      <c r="K8" s="14">
        <f t="shared" si="2"/>
        <v>66.5</v>
      </c>
      <c r="L8" s="21">
        <f>EDATE(C8,参数设置!$B$14)</f>
        <v>46609</v>
      </c>
      <c r="M8">
        <f t="shared" si="3"/>
        <v>1</v>
      </c>
    </row>
    <row r="9" spans="1:13">
      <c r="A9">
        <v>1</v>
      </c>
      <c r="B9">
        <v>1</v>
      </c>
      <c r="C9" s="21">
        <f>EDATE(参数设置!$B$4,A9-1)</f>
        <v>46244</v>
      </c>
      <c r="D9" s="14">
        <f>IF(AND(A9&lt;=参数设置!$B$6,OR(INDEX(月度资金流!$B$7:$B$42,A9)="策略一：消费贷款+买基金",INDEX(月度资金流!$B$7:$B$42,A9)="策略二：新贷偿还旧贷")),参数设置!$B$5,0)</f>
        <v>23400</v>
      </c>
      <c r="E9">
        <v>6</v>
      </c>
      <c r="F9" s="21">
        <f t="shared" si="0"/>
        <v>46423</v>
      </c>
      <c r="G9" s="21">
        <f>IF(E9&lt;参数设置!$B$14,DATE(YEAR(EDATE(C9,E9+1)),MONTH(EDATE(C9,E9+1)),参数设置!$B$15),EDATE(C9,参数设置!$B$14))</f>
        <v>46451</v>
      </c>
      <c r="H9">
        <f t="shared" si="1"/>
        <v>28</v>
      </c>
      <c r="I9" s="14">
        <f>IF(E9=参数设置!$B$14,D9,0)</f>
        <v>0</v>
      </c>
      <c r="J9" s="14">
        <f>IF(M9=1,ROUND(D9*参数设置!$B$12*H9/参数设置!$B$13,参数设置!$B$16),0)</f>
        <v>60.06</v>
      </c>
      <c r="K9" s="14">
        <f t="shared" si="2"/>
        <v>60.06</v>
      </c>
      <c r="L9" s="21">
        <f>EDATE(C9,参数设置!$B$14)</f>
        <v>46609</v>
      </c>
      <c r="M9">
        <f t="shared" si="3"/>
        <v>1</v>
      </c>
    </row>
    <row r="10" spans="1:13">
      <c r="A10">
        <v>1</v>
      </c>
      <c r="B10">
        <v>1</v>
      </c>
      <c r="C10" s="21">
        <f>EDATE(参数设置!$B$4,A10-1)</f>
        <v>46244</v>
      </c>
      <c r="D10" s="14">
        <f>IF(AND(A10&lt;=参数设置!$B$6,OR(INDEX(月度资金流!$B$7:$B$42,A10)="策略一：消费贷款+买基金",INDEX(月度资金流!$B$7:$B$42,A10)="策略二：新贷偿还旧贷")),参数设置!$B$5,0)</f>
        <v>23400</v>
      </c>
      <c r="E10">
        <v>7</v>
      </c>
      <c r="F10" s="21">
        <f t="shared" si="0"/>
        <v>46451</v>
      </c>
      <c r="G10" s="21">
        <f>IF(E10&lt;参数设置!$B$14,DATE(YEAR(EDATE(C10,E10+1)),MONTH(EDATE(C10,E10+1)),参数设置!$B$15),EDATE(C10,参数设置!$B$14))</f>
        <v>46482</v>
      </c>
      <c r="H10">
        <f t="shared" si="1"/>
        <v>31</v>
      </c>
      <c r="I10" s="14">
        <f>IF(E10=参数设置!$B$14,D10,0)</f>
        <v>0</v>
      </c>
      <c r="J10" s="14">
        <f>IF(M10=1,ROUND(D10*参数设置!$B$12*H10/参数设置!$B$13,参数设置!$B$16),0)</f>
        <v>66.5</v>
      </c>
      <c r="K10" s="14">
        <f t="shared" si="2"/>
        <v>66.5</v>
      </c>
      <c r="L10" s="21">
        <f>EDATE(C10,参数设置!$B$14)</f>
        <v>46609</v>
      </c>
      <c r="M10">
        <f t="shared" si="3"/>
        <v>1</v>
      </c>
    </row>
    <row r="11" spans="1:13">
      <c r="A11">
        <v>1</v>
      </c>
      <c r="B11">
        <v>1</v>
      </c>
      <c r="C11" s="21">
        <f>EDATE(参数设置!$B$4,A11-1)</f>
        <v>46244</v>
      </c>
      <c r="D11" s="14">
        <f>IF(AND(A11&lt;=参数设置!$B$6,OR(INDEX(月度资金流!$B$7:$B$42,A11)="策略一：消费贷款+买基金",INDEX(月度资金流!$B$7:$B$42,A11)="策略二：新贷偿还旧贷")),参数设置!$B$5,0)</f>
        <v>23400</v>
      </c>
      <c r="E11">
        <v>8</v>
      </c>
      <c r="F11" s="21">
        <f t="shared" si="0"/>
        <v>46482</v>
      </c>
      <c r="G11" s="21">
        <f>IF(E11&lt;参数设置!$B$14,DATE(YEAR(EDATE(C11,E11+1)),MONTH(EDATE(C11,E11+1)),参数设置!$B$15),EDATE(C11,参数设置!$B$14))</f>
        <v>46512</v>
      </c>
      <c r="H11">
        <f t="shared" si="1"/>
        <v>30</v>
      </c>
      <c r="I11" s="14">
        <f>IF(E11=参数设置!$B$14,D11,0)</f>
        <v>0</v>
      </c>
      <c r="J11" s="14">
        <f>IF(M11=1,ROUND(D11*参数设置!$B$12*H11/参数设置!$B$13,参数设置!$B$16),0)</f>
        <v>64.349999999999994</v>
      </c>
      <c r="K11" s="14">
        <f t="shared" si="2"/>
        <v>64.349999999999994</v>
      </c>
      <c r="L11" s="21">
        <f>EDATE(C11,参数设置!$B$14)</f>
        <v>46609</v>
      </c>
      <c r="M11">
        <f t="shared" si="3"/>
        <v>1</v>
      </c>
    </row>
    <row r="12" spans="1:13">
      <c r="A12">
        <v>1</v>
      </c>
      <c r="B12">
        <v>1</v>
      </c>
      <c r="C12" s="21">
        <f>EDATE(参数设置!$B$4,A12-1)</f>
        <v>46244</v>
      </c>
      <c r="D12" s="14">
        <f>IF(AND(A12&lt;=参数设置!$B$6,OR(INDEX(月度资金流!$B$7:$B$42,A12)="策略一：消费贷款+买基金",INDEX(月度资金流!$B$7:$B$42,A12)="策略二：新贷偿还旧贷")),参数设置!$B$5,0)</f>
        <v>23400</v>
      </c>
      <c r="E12">
        <v>9</v>
      </c>
      <c r="F12" s="21">
        <f t="shared" si="0"/>
        <v>46512</v>
      </c>
      <c r="G12" s="21">
        <f>IF(E12&lt;参数设置!$B$14,DATE(YEAR(EDATE(C12,E12+1)),MONTH(EDATE(C12,E12+1)),参数设置!$B$15),EDATE(C12,参数设置!$B$14))</f>
        <v>46543</v>
      </c>
      <c r="H12">
        <f t="shared" si="1"/>
        <v>31</v>
      </c>
      <c r="I12" s="14">
        <f>IF(E12=参数设置!$B$14,D12,0)</f>
        <v>0</v>
      </c>
      <c r="J12" s="14">
        <f>IF(M12=1,ROUND(D12*参数设置!$B$12*H12/参数设置!$B$13,参数设置!$B$16),0)</f>
        <v>66.5</v>
      </c>
      <c r="K12" s="14">
        <f t="shared" si="2"/>
        <v>66.5</v>
      </c>
      <c r="L12" s="21">
        <f>EDATE(C12,参数设置!$B$14)</f>
        <v>46609</v>
      </c>
      <c r="M12">
        <f t="shared" si="3"/>
        <v>1</v>
      </c>
    </row>
    <row r="13" spans="1:13">
      <c r="A13">
        <v>1</v>
      </c>
      <c r="B13">
        <v>1</v>
      </c>
      <c r="C13" s="21">
        <f>EDATE(参数设置!$B$4,A13-1)</f>
        <v>46244</v>
      </c>
      <c r="D13" s="14">
        <f>IF(AND(A13&lt;=参数设置!$B$6,OR(INDEX(月度资金流!$B$7:$B$42,A13)="策略一：消费贷款+买基金",INDEX(月度资金流!$B$7:$B$42,A13)="策略二：新贷偿还旧贷")),参数设置!$B$5,0)</f>
        <v>23400</v>
      </c>
      <c r="E13">
        <v>10</v>
      </c>
      <c r="F13" s="21">
        <f t="shared" si="0"/>
        <v>46543</v>
      </c>
      <c r="G13" s="21">
        <f>IF(E13&lt;参数设置!$B$14,DATE(YEAR(EDATE(C13,E13+1)),MONTH(EDATE(C13,E13+1)),参数设置!$B$15),EDATE(C13,参数设置!$B$14))</f>
        <v>46573</v>
      </c>
      <c r="H13">
        <f t="shared" si="1"/>
        <v>30</v>
      </c>
      <c r="I13" s="14">
        <f>IF(E13=参数设置!$B$14,D13,0)</f>
        <v>0</v>
      </c>
      <c r="J13" s="14">
        <f>IF(M13=1,ROUND(D13*参数设置!$B$12*H13/参数设置!$B$13,参数设置!$B$16),0)</f>
        <v>64.349999999999994</v>
      </c>
      <c r="K13" s="14">
        <f t="shared" si="2"/>
        <v>64.349999999999994</v>
      </c>
      <c r="L13" s="21">
        <f>EDATE(C13,参数设置!$B$14)</f>
        <v>46609</v>
      </c>
      <c r="M13">
        <f t="shared" si="3"/>
        <v>1</v>
      </c>
    </row>
    <row r="14" spans="1:13">
      <c r="A14">
        <v>1</v>
      </c>
      <c r="B14">
        <v>1</v>
      </c>
      <c r="C14" s="21">
        <f>EDATE(参数设置!$B$4,A14-1)</f>
        <v>46244</v>
      </c>
      <c r="D14" s="14">
        <f>IF(AND(A14&lt;=参数设置!$B$6,OR(INDEX(月度资金流!$B$7:$B$42,A14)="策略一：消费贷款+买基金",INDEX(月度资金流!$B$7:$B$42,A14)="策略二：新贷偿还旧贷")),参数设置!$B$5,0)</f>
        <v>23400</v>
      </c>
      <c r="E14">
        <v>11</v>
      </c>
      <c r="F14" s="21">
        <f t="shared" si="0"/>
        <v>46573</v>
      </c>
      <c r="G14" s="21">
        <f>IF(E14&lt;参数设置!$B$14,DATE(YEAR(EDATE(C14,E14+1)),MONTH(EDATE(C14,E14+1)),参数设置!$B$15),EDATE(C14,参数设置!$B$14))</f>
        <v>46604</v>
      </c>
      <c r="H14">
        <f t="shared" si="1"/>
        <v>31</v>
      </c>
      <c r="I14" s="14">
        <f>IF(E14=参数设置!$B$14,D14,0)</f>
        <v>0</v>
      </c>
      <c r="J14" s="14">
        <f>IF(M14=1,ROUND(D14*参数设置!$B$12*H14/参数设置!$B$13,参数设置!$B$16),0)</f>
        <v>66.5</v>
      </c>
      <c r="K14" s="14">
        <f t="shared" si="2"/>
        <v>66.5</v>
      </c>
      <c r="L14" s="21">
        <f>EDATE(C14,参数设置!$B$14)</f>
        <v>46609</v>
      </c>
      <c r="M14">
        <f t="shared" si="3"/>
        <v>1</v>
      </c>
    </row>
    <row r="15" spans="1:13">
      <c r="A15">
        <v>1</v>
      </c>
      <c r="B15">
        <v>1</v>
      </c>
      <c r="C15" s="21">
        <f>EDATE(参数设置!$B$4,A15-1)</f>
        <v>46244</v>
      </c>
      <c r="D15" s="14">
        <f>IF(AND(A15&lt;=参数设置!$B$6,OR(INDEX(月度资金流!$B$7:$B$42,A15)="策略一：消费贷款+买基金",INDEX(月度资金流!$B$7:$B$42,A15)="策略二：新贷偿还旧贷")),参数设置!$B$5,0)</f>
        <v>23400</v>
      </c>
      <c r="E15">
        <v>12</v>
      </c>
      <c r="F15" s="21">
        <f t="shared" si="0"/>
        <v>46604</v>
      </c>
      <c r="G15" s="21">
        <f>IF(E15&lt;参数设置!$B$14,DATE(YEAR(EDATE(C15,E15+1)),MONTH(EDATE(C15,E15+1)),参数设置!$B$15),EDATE(C15,参数设置!$B$14))</f>
        <v>46609</v>
      </c>
      <c r="H15">
        <f t="shared" si="1"/>
        <v>5</v>
      </c>
      <c r="I15" s="14">
        <f>IF(E15=参数设置!$B$14,D15,0)</f>
        <v>23400</v>
      </c>
      <c r="J15" s="14">
        <f>IF(M15=1,ROUND(D15*参数设置!$B$12*H15/参数设置!$B$13,参数设置!$B$16),0)</f>
        <v>10.73</v>
      </c>
      <c r="K15" s="14">
        <f t="shared" si="2"/>
        <v>23410.73</v>
      </c>
      <c r="L15" s="21">
        <f>EDATE(C15,参数设置!$B$14)</f>
        <v>46609</v>
      </c>
      <c r="M15">
        <f t="shared" si="3"/>
        <v>1</v>
      </c>
    </row>
    <row r="16" spans="1:13">
      <c r="A16">
        <v>2</v>
      </c>
      <c r="B16">
        <v>2</v>
      </c>
      <c r="C16" s="21">
        <f>EDATE(参数设置!$B$4,A16-1)</f>
        <v>46275</v>
      </c>
      <c r="D16" s="14">
        <f>IF(AND(A16&lt;=参数设置!$B$6,OR(INDEX(月度资金流!$B$7:$B$42,A16)="策略一：消费贷款+买基金",INDEX(月度资金流!$B$7:$B$42,A16)="策略二：新贷偿还旧贷")),参数设置!$B$5,0)</f>
        <v>23400</v>
      </c>
      <c r="E16">
        <v>1</v>
      </c>
      <c r="F16" s="21">
        <f t="shared" si="0"/>
        <v>46275</v>
      </c>
      <c r="G16" s="21">
        <f>IF(E16&lt;参数设置!$B$14,DATE(YEAR(EDATE(C16,E16+1)),MONTH(EDATE(C16,E16+1)),参数设置!$B$15),EDATE(C16,参数设置!$B$14))</f>
        <v>46331</v>
      </c>
      <c r="H16">
        <f t="shared" si="1"/>
        <v>56</v>
      </c>
      <c r="I16" s="14">
        <f>IF(E16=参数设置!$B$14,D16,0)</f>
        <v>0</v>
      </c>
      <c r="J16" s="14">
        <f>IF(M16=1,ROUND(D16*参数设置!$B$12*H16/参数设置!$B$13,参数设置!$B$16),0)</f>
        <v>120.12</v>
      </c>
      <c r="K16" s="14">
        <f t="shared" si="2"/>
        <v>120.12</v>
      </c>
      <c r="L16" s="21">
        <f>EDATE(C16,参数设置!$B$14)</f>
        <v>46640</v>
      </c>
      <c r="M16">
        <f t="shared" si="3"/>
        <v>1</v>
      </c>
    </row>
    <row r="17" spans="1:13">
      <c r="A17">
        <v>2</v>
      </c>
      <c r="B17">
        <v>2</v>
      </c>
      <c r="C17" s="21">
        <f>EDATE(参数设置!$B$4,A17-1)</f>
        <v>46275</v>
      </c>
      <c r="D17" s="14">
        <f>IF(AND(A17&lt;=参数设置!$B$6,OR(INDEX(月度资金流!$B$7:$B$42,A17)="策略一：消费贷款+买基金",INDEX(月度资金流!$B$7:$B$42,A17)="策略二：新贷偿还旧贷")),参数设置!$B$5,0)</f>
        <v>23400</v>
      </c>
      <c r="E17">
        <v>2</v>
      </c>
      <c r="F17" s="21">
        <f t="shared" si="0"/>
        <v>46331</v>
      </c>
      <c r="G17" s="21">
        <f>IF(E17&lt;参数设置!$B$14,DATE(YEAR(EDATE(C17,E17+1)),MONTH(EDATE(C17,E17+1)),参数设置!$B$15),EDATE(C17,参数设置!$B$14))</f>
        <v>46361</v>
      </c>
      <c r="H17">
        <f t="shared" si="1"/>
        <v>30</v>
      </c>
      <c r="I17" s="14">
        <f>IF(E17=参数设置!$B$14,D17,0)</f>
        <v>0</v>
      </c>
      <c r="J17" s="14">
        <f>IF(M17=1,ROUND(D17*参数设置!$B$12*H17/参数设置!$B$13,参数设置!$B$16),0)</f>
        <v>64.349999999999994</v>
      </c>
      <c r="K17" s="14">
        <f t="shared" si="2"/>
        <v>64.349999999999994</v>
      </c>
      <c r="L17" s="21">
        <f>EDATE(C17,参数设置!$B$14)</f>
        <v>46640</v>
      </c>
      <c r="M17">
        <f t="shared" si="3"/>
        <v>1</v>
      </c>
    </row>
    <row r="18" spans="1:13">
      <c r="A18">
        <v>2</v>
      </c>
      <c r="B18">
        <v>2</v>
      </c>
      <c r="C18" s="21">
        <f>EDATE(参数设置!$B$4,A18-1)</f>
        <v>46275</v>
      </c>
      <c r="D18" s="14">
        <f>IF(AND(A18&lt;=参数设置!$B$6,OR(INDEX(月度资金流!$B$7:$B$42,A18)="策略一：消费贷款+买基金",INDEX(月度资金流!$B$7:$B$42,A18)="策略二：新贷偿还旧贷")),参数设置!$B$5,0)</f>
        <v>23400</v>
      </c>
      <c r="E18">
        <v>3</v>
      </c>
      <c r="F18" s="21">
        <f t="shared" si="0"/>
        <v>46361</v>
      </c>
      <c r="G18" s="21">
        <f>IF(E18&lt;参数设置!$B$14,DATE(YEAR(EDATE(C18,E18+1)),MONTH(EDATE(C18,E18+1)),参数设置!$B$15),EDATE(C18,参数设置!$B$14))</f>
        <v>46392</v>
      </c>
      <c r="H18">
        <f t="shared" si="1"/>
        <v>31</v>
      </c>
      <c r="I18" s="14">
        <f>IF(E18=参数设置!$B$14,D18,0)</f>
        <v>0</v>
      </c>
      <c r="J18" s="14">
        <f>IF(M18=1,ROUND(D18*参数设置!$B$12*H18/参数设置!$B$13,参数设置!$B$16),0)</f>
        <v>66.5</v>
      </c>
      <c r="K18" s="14">
        <f t="shared" si="2"/>
        <v>66.5</v>
      </c>
      <c r="L18" s="21">
        <f>EDATE(C18,参数设置!$B$14)</f>
        <v>46640</v>
      </c>
      <c r="M18">
        <f t="shared" si="3"/>
        <v>1</v>
      </c>
    </row>
    <row r="19" spans="1:13">
      <c r="A19">
        <v>2</v>
      </c>
      <c r="B19">
        <v>2</v>
      </c>
      <c r="C19" s="21">
        <f>EDATE(参数设置!$B$4,A19-1)</f>
        <v>46275</v>
      </c>
      <c r="D19" s="14">
        <f>IF(AND(A19&lt;=参数设置!$B$6,OR(INDEX(月度资金流!$B$7:$B$42,A19)="策略一：消费贷款+买基金",INDEX(月度资金流!$B$7:$B$42,A19)="策略二：新贷偿还旧贷")),参数设置!$B$5,0)</f>
        <v>23400</v>
      </c>
      <c r="E19">
        <v>4</v>
      </c>
      <c r="F19" s="21">
        <f t="shared" si="0"/>
        <v>46392</v>
      </c>
      <c r="G19" s="21">
        <f>IF(E19&lt;参数设置!$B$14,DATE(YEAR(EDATE(C19,E19+1)),MONTH(EDATE(C19,E19+1)),参数设置!$B$15),EDATE(C19,参数设置!$B$14))</f>
        <v>46423</v>
      </c>
      <c r="H19">
        <f t="shared" si="1"/>
        <v>31</v>
      </c>
      <c r="I19" s="14">
        <f>IF(E19=参数设置!$B$14,D19,0)</f>
        <v>0</v>
      </c>
      <c r="J19" s="14">
        <f>IF(M19=1,ROUND(D19*参数设置!$B$12*H19/参数设置!$B$13,参数设置!$B$16),0)</f>
        <v>66.5</v>
      </c>
      <c r="K19" s="14">
        <f t="shared" si="2"/>
        <v>66.5</v>
      </c>
      <c r="L19" s="21">
        <f>EDATE(C19,参数设置!$B$14)</f>
        <v>46640</v>
      </c>
      <c r="M19">
        <f t="shared" si="3"/>
        <v>1</v>
      </c>
    </row>
    <row r="20" spans="1:13">
      <c r="A20">
        <v>2</v>
      </c>
      <c r="B20">
        <v>2</v>
      </c>
      <c r="C20" s="21">
        <f>EDATE(参数设置!$B$4,A20-1)</f>
        <v>46275</v>
      </c>
      <c r="D20" s="14">
        <f>IF(AND(A20&lt;=参数设置!$B$6,OR(INDEX(月度资金流!$B$7:$B$42,A20)="策略一：消费贷款+买基金",INDEX(月度资金流!$B$7:$B$42,A20)="策略二：新贷偿还旧贷")),参数设置!$B$5,0)</f>
        <v>23400</v>
      </c>
      <c r="E20">
        <v>5</v>
      </c>
      <c r="F20" s="21">
        <f t="shared" si="0"/>
        <v>46423</v>
      </c>
      <c r="G20" s="21">
        <f>IF(E20&lt;参数设置!$B$14,DATE(YEAR(EDATE(C20,E20+1)),MONTH(EDATE(C20,E20+1)),参数设置!$B$15),EDATE(C20,参数设置!$B$14))</f>
        <v>46451</v>
      </c>
      <c r="H20">
        <f t="shared" si="1"/>
        <v>28</v>
      </c>
      <c r="I20" s="14">
        <f>IF(E20=参数设置!$B$14,D20,0)</f>
        <v>0</v>
      </c>
      <c r="J20" s="14">
        <f>IF(M20=1,ROUND(D20*参数设置!$B$12*H20/参数设置!$B$13,参数设置!$B$16),0)</f>
        <v>60.06</v>
      </c>
      <c r="K20" s="14">
        <f t="shared" si="2"/>
        <v>60.06</v>
      </c>
      <c r="L20" s="21">
        <f>EDATE(C20,参数设置!$B$14)</f>
        <v>46640</v>
      </c>
      <c r="M20">
        <f t="shared" si="3"/>
        <v>1</v>
      </c>
    </row>
    <row r="21" spans="1:13">
      <c r="A21">
        <v>2</v>
      </c>
      <c r="B21">
        <v>2</v>
      </c>
      <c r="C21" s="21">
        <f>EDATE(参数设置!$B$4,A21-1)</f>
        <v>46275</v>
      </c>
      <c r="D21" s="14">
        <f>IF(AND(A21&lt;=参数设置!$B$6,OR(INDEX(月度资金流!$B$7:$B$42,A21)="策略一：消费贷款+买基金",INDEX(月度资金流!$B$7:$B$42,A21)="策略二：新贷偿还旧贷")),参数设置!$B$5,0)</f>
        <v>23400</v>
      </c>
      <c r="E21">
        <v>6</v>
      </c>
      <c r="F21" s="21">
        <f t="shared" si="0"/>
        <v>46451</v>
      </c>
      <c r="G21" s="21">
        <f>IF(E21&lt;参数设置!$B$14,DATE(YEAR(EDATE(C21,E21+1)),MONTH(EDATE(C21,E21+1)),参数设置!$B$15),EDATE(C21,参数设置!$B$14))</f>
        <v>46482</v>
      </c>
      <c r="H21">
        <f t="shared" si="1"/>
        <v>31</v>
      </c>
      <c r="I21" s="14">
        <f>IF(E21=参数设置!$B$14,D21,0)</f>
        <v>0</v>
      </c>
      <c r="J21" s="14">
        <f>IF(M21=1,ROUND(D21*参数设置!$B$12*H21/参数设置!$B$13,参数设置!$B$16),0)</f>
        <v>66.5</v>
      </c>
      <c r="K21" s="14">
        <f t="shared" si="2"/>
        <v>66.5</v>
      </c>
      <c r="L21" s="21">
        <f>EDATE(C21,参数设置!$B$14)</f>
        <v>46640</v>
      </c>
      <c r="M21">
        <f t="shared" si="3"/>
        <v>1</v>
      </c>
    </row>
    <row r="22" spans="1:13">
      <c r="A22">
        <v>2</v>
      </c>
      <c r="B22">
        <v>2</v>
      </c>
      <c r="C22" s="21">
        <f>EDATE(参数设置!$B$4,A22-1)</f>
        <v>46275</v>
      </c>
      <c r="D22" s="14">
        <f>IF(AND(A22&lt;=参数设置!$B$6,OR(INDEX(月度资金流!$B$7:$B$42,A22)="策略一：消费贷款+买基金",INDEX(月度资金流!$B$7:$B$42,A22)="策略二：新贷偿还旧贷")),参数设置!$B$5,0)</f>
        <v>23400</v>
      </c>
      <c r="E22">
        <v>7</v>
      </c>
      <c r="F22" s="21">
        <f t="shared" si="0"/>
        <v>46482</v>
      </c>
      <c r="G22" s="21">
        <f>IF(E22&lt;参数设置!$B$14,DATE(YEAR(EDATE(C22,E22+1)),MONTH(EDATE(C22,E22+1)),参数设置!$B$15),EDATE(C22,参数设置!$B$14))</f>
        <v>46512</v>
      </c>
      <c r="H22">
        <f t="shared" si="1"/>
        <v>30</v>
      </c>
      <c r="I22" s="14">
        <f>IF(E22=参数设置!$B$14,D22,0)</f>
        <v>0</v>
      </c>
      <c r="J22" s="14">
        <f>IF(M22=1,ROUND(D22*参数设置!$B$12*H22/参数设置!$B$13,参数设置!$B$16),0)</f>
        <v>64.349999999999994</v>
      </c>
      <c r="K22" s="14">
        <f t="shared" si="2"/>
        <v>64.349999999999994</v>
      </c>
      <c r="L22" s="21">
        <f>EDATE(C22,参数设置!$B$14)</f>
        <v>46640</v>
      </c>
      <c r="M22">
        <f t="shared" si="3"/>
        <v>1</v>
      </c>
    </row>
    <row r="23" spans="1:13">
      <c r="A23">
        <v>2</v>
      </c>
      <c r="B23">
        <v>2</v>
      </c>
      <c r="C23" s="21">
        <f>EDATE(参数设置!$B$4,A23-1)</f>
        <v>46275</v>
      </c>
      <c r="D23" s="14">
        <f>IF(AND(A23&lt;=参数设置!$B$6,OR(INDEX(月度资金流!$B$7:$B$42,A23)="策略一：消费贷款+买基金",INDEX(月度资金流!$B$7:$B$42,A23)="策略二：新贷偿还旧贷")),参数设置!$B$5,0)</f>
        <v>23400</v>
      </c>
      <c r="E23">
        <v>8</v>
      </c>
      <c r="F23" s="21">
        <f t="shared" si="0"/>
        <v>46512</v>
      </c>
      <c r="G23" s="21">
        <f>IF(E23&lt;参数设置!$B$14,DATE(YEAR(EDATE(C23,E23+1)),MONTH(EDATE(C23,E23+1)),参数设置!$B$15),EDATE(C23,参数设置!$B$14))</f>
        <v>46543</v>
      </c>
      <c r="H23">
        <f t="shared" si="1"/>
        <v>31</v>
      </c>
      <c r="I23" s="14">
        <f>IF(E23=参数设置!$B$14,D23,0)</f>
        <v>0</v>
      </c>
      <c r="J23" s="14">
        <f>IF(M23=1,ROUND(D23*参数设置!$B$12*H23/参数设置!$B$13,参数设置!$B$16),0)</f>
        <v>66.5</v>
      </c>
      <c r="K23" s="14">
        <f t="shared" si="2"/>
        <v>66.5</v>
      </c>
      <c r="L23" s="21">
        <f>EDATE(C23,参数设置!$B$14)</f>
        <v>46640</v>
      </c>
      <c r="M23">
        <f t="shared" si="3"/>
        <v>1</v>
      </c>
    </row>
    <row r="24" spans="1:13">
      <c r="A24">
        <v>2</v>
      </c>
      <c r="B24">
        <v>2</v>
      </c>
      <c r="C24" s="21">
        <f>EDATE(参数设置!$B$4,A24-1)</f>
        <v>46275</v>
      </c>
      <c r="D24" s="14">
        <f>IF(AND(A24&lt;=参数设置!$B$6,OR(INDEX(月度资金流!$B$7:$B$42,A24)="策略一：消费贷款+买基金",INDEX(月度资金流!$B$7:$B$42,A24)="策略二：新贷偿还旧贷")),参数设置!$B$5,0)</f>
        <v>23400</v>
      </c>
      <c r="E24">
        <v>9</v>
      </c>
      <c r="F24" s="21">
        <f t="shared" si="0"/>
        <v>46543</v>
      </c>
      <c r="G24" s="21">
        <f>IF(E24&lt;参数设置!$B$14,DATE(YEAR(EDATE(C24,E24+1)),MONTH(EDATE(C24,E24+1)),参数设置!$B$15),EDATE(C24,参数设置!$B$14))</f>
        <v>46573</v>
      </c>
      <c r="H24">
        <f t="shared" si="1"/>
        <v>30</v>
      </c>
      <c r="I24" s="14">
        <f>IF(E24=参数设置!$B$14,D24,0)</f>
        <v>0</v>
      </c>
      <c r="J24" s="14">
        <f>IF(M24=1,ROUND(D24*参数设置!$B$12*H24/参数设置!$B$13,参数设置!$B$16),0)</f>
        <v>64.349999999999994</v>
      </c>
      <c r="K24" s="14">
        <f t="shared" si="2"/>
        <v>64.349999999999994</v>
      </c>
      <c r="L24" s="21">
        <f>EDATE(C24,参数设置!$B$14)</f>
        <v>46640</v>
      </c>
      <c r="M24">
        <f t="shared" si="3"/>
        <v>1</v>
      </c>
    </row>
    <row r="25" spans="1:13">
      <c r="A25">
        <v>2</v>
      </c>
      <c r="B25">
        <v>2</v>
      </c>
      <c r="C25" s="21">
        <f>EDATE(参数设置!$B$4,A25-1)</f>
        <v>46275</v>
      </c>
      <c r="D25" s="14">
        <f>IF(AND(A25&lt;=参数设置!$B$6,OR(INDEX(月度资金流!$B$7:$B$42,A25)="策略一：消费贷款+买基金",INDEX(月度资金流!$B$7:$B$42,A25)="策略二：新贷偿还旧贷")),参数设置!$B$5,0)</f>
        <v>23400</v>
      </c>
      <c r="E25">
        <v>10</v>
      </c>
      <c r="F25" s="21">
        <f t="shared" si="0"/>
        <v>46573</v>
      </c>
      <c r="G25" s="21">
        <f>IF(E25&lt;参数设置!$B$14,DATE(YEAR(EDATE(C25,E25+1)),MONTH(EDATE(C25,E25+1)),参数设置!$B$15),EDATE(C25,参数设置!$B$14))</f>
        <v>46604</v>
      </c>
      <c r="H25">
        <f t="shared" si="1"/>
        <v>31</v>
      </c>
      <c r="I25" s="14">
        <f>IF(E25=参数设置!$B$14,D25,0)</f>
        <v>0</v>
      </c>
      <c r="J25" s="14">
        <f>IF(M25=1,ROUND(D25*参数设置!$B$12*H25/参数设置!$B$13,参数设置!$B$16),0)</f>
        <v>66.5</v>
      </c>
      <c r="K25" s="14">
        <f t="shared" si="2"/>
        <v>66.5</v>
      </c>
      <c r="L25" s="21">
        <f>EDATE(C25,参数设置!$B$14)</f>
        <v>46640</v>
      </c>
      <c r="M25">
        <f t="shared" si="3"/>
        <v>1</v>
      </c>
    </row>
    <row r="26" spans="1:13">
      <c r="A26">
        <v>2</v>
      </c>
      <c r="B26">
        <v>2</v>
      </c>
      <c r="C26" s="21">
        <f>EDATE(参数设置!$B$4,A26-1)</f>
        <v>46275</v>
      </c>
      <c r="D26" s="14">
        <f>IF(AND(A26&lt;=参数设置!$B$6,OR(INDEX(月度资金流!$B$7:$B$42,A26)="策略一：消费贷款+买基金",INDEX(月度资金流!$B$7:$B$42,A26)="策略二：新贷偿还旧贷")),参数设置!$B$5,0)</f>
        <v>23400</v>
      </c>
      <c r="E26">
        <v>11</v>
      </c>
      <c r="F26" s="21">
        <f t="shared" si="0"/>
        <v>46604</v>
      </c>
      <c r="G26" s="21">
        <f>IF(E26&lt;参数设置!$B$14,DATE(YEAR(EDATE(C26,E26+1)),MONTH(EDATE(C26,E26+1)),参数设置!$B$15),EDATE(C26,参数设置!$B$14))</f>
        <v>46635</v>
      </c>
      <c r="H26">
        <f t="shared" si="1"/>
        <v>31</v>
      </c>
      <c r="I26" s="14">
        <f>IF(E26=参数设置!$B$14,D26,0)</f>
        <v>0</v>
      </c>
      <c r="J26" s="14">
        <f>IF(M26=1,ROUND(D26*参数设置!$B$12*H26/参数设置!$B$13,参数设置!$B$16),0)</f>
        <v>66.5</v>
      </c>
      <c r="K26" s="14">
        <f t="shared" si="2"/>
        <v>66.5</v>
      </c>
      <c r="L26" s="21">
        <f>EDATE(C26,参数设置!$B$14)</f>
        <v>46640</v>
      </c>
      <c r="M26">
        <f t="shared" si="3"/>
        <v>1</v>
      </c>
    </row>
    <row r="27" spans="1:13">
      <c r="A27">
        <v>2</v>
      </c>
      <c r="B27">
        <v>2</v>
      </c>
      <c r="C27" s="21">
        <f>EDATE(参数设置!$B$4,A27-1)</f>
        <v>46275</v>
      </c>
      <c r="D27" s="14">
        <f>IF(AND(A27&lt;=参数设置!$B$6,OR(INDEX(月度资金流!$B$7:$B$42,A27)="策略一：消费贷款+买基金",INDEX(月度资金流!$B$7:$B$42,A27)="策略二：新贷偿还旧贷")),参数设置!$B$5,0)</f>
        <v>23400</v>
      </c>
      <c r="E27">
        <v>12</v>
      </c>
      <c r="F27" s="21">
        <f t="shared" si="0"/>
        <v>46635</v>
      </c>
      <c r="G27" s="21">
        <f>IF(E27&lt;参数设置!$B$14,DATE(YEAR(EDATE(C27,E27+1)),MONTH(EDATE(C27,E27+1)),参数设置!$B$15),EDATE(C27,参数设置!$B$14))</f>
        <v>46640</v>
      </c>
      <c r="H27">
        <f t="shared" si="1"/>
        <v>5</v>
      </c>
      <c r="I27" s="14">
        <f>IF(E27=参数设置!$B$14,D27,0)</f>
        <v>23400</v>
      </c>
      <c r="J27" s="14">
        <f>IF(M27=1,ROUND(D27*参数设置!$B$12*H27/参数设置!$B$13,参数设置!$B$16),0)</f>
        <v>10.73</v>
      </c>
      <c r="K27" s="14">
        <f t="shared" si="2"/>
        <v>23410.73</v>
      </c>
      <c r="L27" s="21">
        <f>EDATE(C27,参数设置!$B$14)</f>
        <v>46640</v>
      </c>
      <c r="M27">
        <f t="shared" si="3"/>
        <v>1</v>
      </c>
    </row>
    <row r="28" spans="1:13">
      <c r="A28">
        <v>3</v>
      </c>
      <c r="B28">
        <v>3</v>
      </c>
      <c r="C28" s="21">
        <f>EDATE(参数设置!$B$4,A28-1)</f>
        <v>46305</v>
      </c>
      <c r="D28" s="14">
        <f>IF(AND(A28&lt;=参数设置!$B$6,OR(INDEX(月度资金流!$B$7:$B$42,A28)="策略一：消费贷款+买基金",INDEX(月度资金流!$B$7:$B$42,A28)="策略二：新贷偿还旧贷")),参数设置!$B$5,0)</f>
        <v>23400</v>
      </c>
      <c r="E28">
        <v>1</v>
      </c>
      <c r="F28" s="21">
        <f t="shared" si="0"/>
        <v>46305</v>
      </c>
      <c r="G28" s="21">
        <f>IF(E28&lt;参数设置!$B$14,DATE(YEAR(EDATE(C28,E28+1)),MONTH(EDATE(C28,E28+1)),参数设置!$B$15),EDATE(C28,参数设置!$B$14))</f>
        <v>46361</v>
      </c>
      <c r="H28">
        <f t="shared" si="1"/>
        <v>56</v>
      </c>
      <c r="I28" s="14">
        <f>IF(E28=参数设置!$B$14,D28,0)</f>
        <v>0</v>
      </c>
      <c r="J28" s="14">
        <f>IF(M28=1,ROUND(D28*参数设置!$B$12*H28/参数设置!$B$13,参数设置!$B$16),0)</f>
        <v>120.12</v>
      </c>
      <c r="K28" s="14">
        <f t="shared" si="2"/>
        <v>120.12</v>
      </c>
      <c r="L28" s="21">
        <f>EDATE(C28,参数设置!$B$14)</f>
        <v>46670</v>
      </c>
      <c r="M28">
        <f t="shared" si="3"/>
        <v>1</v>
      </c>
    </row>
    <row r="29" spans="1:13">
      <c r="A29">
        <v>3</v>
      </c>
      <c r="B29">
        <v>3</v>
      </c>
      <c r="C29" s="21">
        <f>EDATE(参数设置!$B$4,A29-1)</f>
        <v>46305</v>
      </c>
      <c r="D29" s="14">
        <f>IF(AND(A29&lt;=参数设置!$B$6,OR(INDEX(月度资金流!$B$7:$B$42,A29)="策略一：消费贷款+买基金",INDEX(月度资金流!$B$7:$B$42,A29)="策略二：新贷偿还旧贷")),参数设置!$B$5,0)</f>
        <v>23400</v>
      </c>
      <c r="E29">
        <v>2</v>
      </c>
      <c r="F29" s="21">
        <f t="shared" si="0"/>
        <v>46361</v>
      </c>
      <c r="G29" s="21">
        <f>IF(E29&lt;参数设置!$B$14,DATE(YEAR(EDATE(C29,E29+1)),MONTH(EDATE(C29,E29+1)),参数设置!$B$15),EDATE(C29,参数设置!$B$14))</f>
        <v>46392</v>
      </c>
      <c r="H29">
        <f t="shared" si="1"/>
        <v>31</v>
      </c>
      <c r="I29" s="14">
        <f>IF(E29=参数设置!$B$14,D29,0)</f>
        <v>0</v>
      </c>
      <c r="J29" s="14">
        <f>IF(M29=1,ROUND(D29*参数设置!$B$12*H29/参数设置!$B$13,参数设置!$B$16),0)</f>
        <v>66.5</v>
      </c>
      <c r="K29" s="14">
        <f t="shared" si="2"/>
        <v>66.5</v>
      </c>
      <c r="L29" s="21">
        <f>EDATE(C29,参数设置!$B$14)</f>
        <v>46670</v>
      </c>
      <c r="M29">
        <f t="shared" si="3"/>
        <v>1</v>
      </c>
    </row>
    <row r="30" spans="1:13">
      <c r="A30">
        <v>3</v>
      </c>
      <c r="B30">
        <v>3</v>
      </c>
      <c r="C30" s="21">
        <f>EDATE(参数设置!$B$4,A30-1)</f>
        <v>46305</v>
      </c>
      <c r="D30" s="14">
        <f>IF(AND(A30&lt;=参数设置!$B$6,OR(INDEX(月度资金流!$B$7:$B$42,A30)="策略一：消费贷款+买基金",INDEX(月度资金流!$B$7:$B$42,A30)="策略二：新贷偿还旧贷")),参数设置!$B$5,0)</f>
        <v>23400</v>
      </c>
      <c r="E30">
        <v>3</v>
      </c>
      <c r="F30" s="21">
        <f t="shared" si="0"/>
        <v>46392</v>
      </c>
      <c r="G30" s="21">
        <f>IF(E30&lt;参数设置!$B$14,DATE(YEAR(EDATE(C30,E30+1)),MONTH(EDATE(C30,E30+1)),参数设置!$B$15),EDATE(C30,参数设置!$B$14))</f>
        <v>46423</v>
      </c>
      <c r="H30">
        <f t="shared" si="1"/>
        <v>31</v>
      </c>
      <c r="I30" s="14">
        <f>IF(E30=参数设置!$B$14,D30,0)</f>
        <v>0</v>
      </c>
      <c r="J30" s="14">
        <f>IF(M30=1,ROUND(D30*参数设置!$B$12*H30/参数设置!$B$13,参数设置!$B$16),0)</f>
        <v>66.5</v>
      </c>
      <c r="K30" s="14">
        <f t="shared" si="2"/>
        <v>66.5</v>
      </c>
      <c r="L30" s="21">
        <f>EDATE(C30,参数设置!$B$14)</f>
        <v>46670</v>
      </c>
      <c r="M30">
        <f t="shared" si="3"/>
        <v>1</v>
      </c>
    </row>
    <row r="31" spans="1:13">
      <c r="A31">
        <v>3</v>
      </c>
      <c r="B31">
        <v>3</v>
      </c>
      <c r="C31" s="21">
        <f>EDATE(参数设置!$B$4,A31-1)</f>
        <v>46305</v>
      </c>
      <c r="D31" s="14">
        <f>IF(AND(A31&lt;=参数设置!$B$6,OR(INDEX(月度资金流!$B$7:$B$42,A31)="策略一：消费贷款+买基金",INDEX(月度资金流!$B$7:$B$42,A31)="策略二：新贷偿还旧贷")),参数设置!$B$5,0)</f>
        <v>23400</v>
      </c>
      <c r="E31">
        <v>4</v>
      </c>
      <c r="F31" s="21">
        <f t="shared" si="0"/>
        <v>46423</v>
      </c>
      <c r="G31" s="21">
        <f>IF(E31&lt;参数设置!$B$14,DATE(YEAR(EDATE(C31,E31+1)),MONTH(EDATE(C31,E31+1)),参数设置!$B$15),EDATE(C31,参数设置!$B$14))</f>
        <v>46451</v>
      </c>
      <c r="H31">
        <f t="shared" si="1"/>
        <v>28</v>
      </c>
      <c r="I31" s="14">
        <f>IF(E31=参数设置!$B$14,D31,0)</f>
        <v>0</v>
      </c>
      <c r="J31" s="14">
        <f>IF(M31=1,ROUND(D31*参数设置!$B$12*H31/参数设置!$B$13,参数设置!$B$16),0)</f>
        <v>60.06</v>
      </c>
      <c r="K31" s="14">
        <f t="shared" si="2"/>
        <v>60.06</v>
      </c>
      <c r="L31" s="21">
        <f>EDATE(C31,参数设置!$B$14)</f>
        <v>46670</v>
      </c>
      <c r="M31">
        <f t="shared" si="3"/>
        <v>1</v>
      </c>
    </row>
    <row r="32" spans="1:13">
      <c r="A32">
        <v>3</v>
      </c>
      <c r="B32">
        <v>3</v>
      </c>
      <c r="C32" s="21">
        <f>EDATE(参数设置!$B$4,A32-1)</f>
        <v>46305</v>
      </c>
      <c r="D32" s="14">
        <f>IF(AND(A32&lt;=参数设置!$B$6,OR(INDEX(月度资金流!$B$7:$B$42,A32)="策略一：消费贷款+买基金",INDEX(月度资金流!$B$7:$B$42,A32)="策略二：新贷偿还旧贷")),参数设置!$B$5,0)</f>
        <v>23400</v>
      </c>
      <c r="E32">
        <v>5</v>
      </c>
      <c r="F32" s="21">
        <f t="shared" si="0"/>
        <v>46451</v>
      </c>
      <c r="G32" s="21">
        <f>IF(E32&lt;参数设置!$B$14,DATE(YEAR(EDATE(C32,E32+1)),MONTH(EDATE(C32,E32+1)),参数设置!$B$15),EDATE(C32,参数设置!$B$14))</f>
        <v>46482</v>
      </c>
      <c r="H32">
        <f t="shared" si="1"/>
        <v>31</v>
      </c>
      <c r="I32" s="14">
        <f>IF(E32=参数设置!$B$14,D32,0)</f>
        <v>0</v>
      </c>
      <c r="J32" s="14">
        <f>IF(M32=1,ROUND(D32*参数设置!$B$12*H32/参数设置!$B$13,参数设置!$B$16),0)</f>
        <v>66.5</v>
      </c>
      <c r="K32" s="14">
        <f t="shared" si="2"/>
        <v>66.5</v>
      </c>
      <c r="L32" s="21">
        <f>EDATE(C32,参数设置!$B$14)</f>
        <v>46670</v>
      </c>
      <c r="M32">
        <f t="shared" si="3"/>
        <v>1</v>
      </c>
    </row>
    <row r="33" spans="1:13">
      <c r="A33">
        <v>3</v>
      </c>
      <c r="B33">
        <v>3</v>
      </c>
      <c r="C33" s="21">
        <f>EDATE(参数设置!$B$4,A33-1)</f>
        <v>46305</v>
      </c>
      <c r="D33" s="14">
        <f>IF(AND(A33&lt;=参数设置!$B$6,OR(INDEX(月度资金流!$B$7:$B$42,A33)="策略一：消费贷款+买基金",INDEX(月度资金流!$B$7:$B$42,A33)="策略二：新贷偿还旧贷")),参数设置!$B$5,0)</f>
        <v>23400</v>
      </c>
      <c r="E33">
        <v>6</v>
      </c>
      <c r="F33" s="21">
        <f t="shared" si="0"/>
        <v>46482</v>
      </c>
      <c r="G33" s="21">
        <f>IF(E33&lt;参数设置!$B$14,DATE(YEAR(EDATE(C33,E33+1)),MONTH(EDATE(C33,E33+1)),参数设置!$B$15),EDATE(C33,参数设置!$B$14))</f>
        <v>46512</v>
      </c>
      <c r="H33">
        <f t="shared" si="1"/>
        <v>30</v>
      </c>
      <c r="I33" s="14">
        <f>IF(E33=参数设置!$B$14,D33,0)</f>
        <v>0</v>
      </c>
      <c r="J33" s="14">
        <f>IF(M33=1,ROUND(D33*参数设置!$B$12*H33/参数设置!$B$13,参数设置!$B$16),0)</f>
        <v>64.349999999999994</v>
      </c>
      <c r="K33" s="14">
        <f t="shared" si="2"/>
        <v>64.349999999999994</v>
      </c>
      <c r="L33" s="21">
        <f>EDATE(C33,参数设置!$B$14)</f>
        <v>46670</v>
      </c>
      <c r="M33">
        <f t="shared" si="3"/>
        <v>1</v>
      </c>
    </row>
    <row r="34" spans="1:13">
      <c r="A34">
        <v>3</v>
      </c>
      <c r="B34">
        <v>3</v>
      </c>
      <c r="C34" s="21">
        <f>EDATE(参数设置!$B$4,A34-1)</f>
        <v>46305</v>
      </c>
      <c r="D34" s="14">
        <f>IF(AND(A34&lt;=参数设置!$B$6,OR(INDEX(月度资金流!$B$7:$B$42,A34)="策略一：消费贷款+买基金",INDEX(月度资金流!$B$7:$B$42,A34)="策略二：新贷偿还旧贷")),参数设置!$B$5,0)</f>
        <v>23400</v>
      </c>
      <c r="E34">
        <v>7</v>
      </c>
      <c r="F34" s="21">
        <f t="shared" si="0"/>
        <v>46512</v>
      </c>
      <c r="G34" s="21">
        <f>IF(E34&lt;参数设置!$B$14,DATE(YEAR(EDATE(C34,E34+1)),MONTH(EDATE(C34,E34+1)),参数设置!$B$15),EDATE(C34,参数设置!$B$14))</f>
        <v>46543</v>
      </c>
      <c r="H34">
        <f t="shared" si="1"/>
        <v>31</v>
      </c>
      <c r="I34" s="14">
        <f>IF(E34=参数设置!$B$14,D34,0)</f>
        <v>0</v>
      </c>
      <c r="J34" s="14">
        <f>IF(M34=1,ROUND(D34*参数设置!$B$12*H34/参数设置!$B$13,参数设置!$B$16),0)</f>
        <v>66.5</v>
      </c>
      <c r="K34" s="14">
        <f t="shared" si="2"/>
        <v>66.5</v>
      </c>
      <c r="L34" s="21">
        <f>EDATE(C34,参数设置!$B$14)</f>
        <v>46670</v>
      </c>
      <c r="M34">
        <f t="shared" si="3"/>
        <v>1</v>
      </c>
    </row>
    <row r="35" spans="1:13">
      <c r="A35">
        <v>3</v>
      </c>
      <c r="B35">
        <v>3</v>
      </c>
      <c r="C35" s="21">
        <f>EDATE(参数设置!$B$4,A35-1)</f>
        <v>46305</v>
      </c>
      <c r="D35" s="14">
        <f>IF(AND(A35&lt;=参数设置!$B$6,OR(INDEX(月度资金流!$B$7:$B$42,A35)="策略一：消费贷款+买基金",INDEX(月度资金流!$B$7:$B$42,A35)="策略二：新贷偿还旧贷")),参数设置!$B$5,0)</f>
        <v>23400</v>
      </c>
      <c r="E35">
        <v>8</v>
      </c>
      <c r="F35" s="21">
        <f t="shared" si="0"/>
        <v>46543</v>
      </c>
      <c r="G35" s="21">
        <f>IF(E35&lt;参数设置!$B$14,DATE(YEAR(EDATE(C35,E35+1)),MONTH(EDATE(C35,E35+1)),参数设置!$B$15),EDATE(C35,参数设置!$B$14))</f>
        <v>46573</v>
      </c>
      <c r="H35">
        <f t="shared" si="1"/>
        <v>30</v>
      </c>
      <c r="I35" s="14">
        <f>IF(E35=参数设置!$B$14,D35,0)</f>
        <v>0</v>
      </c>
      <c r="J35" s="14">
        <f>IF(M35=1,ROUND(D35*参数设置!$B$12*H35/参数设置!$B$13,参数设置!$B$16),0)</f>
        <v>64.349999999999994</v>
      </c>
      <c r="K35" s="14">
        <f t="shared" si="2"/>
        <v>64.349999999999994</v>
      </c>
      <c r="L35" s="21">
        <f>EDATE(C35,参数设置!$B$14)</f>
        <v>46670</v>
      </c>
      <c r="M35">
        <f t="shared" si="3"/>
        <v>1</v>
      </c>
    </row>
    <row r="36" spans="1:13">
      <c r="A36">
        <v>3</v>
      </c>
      <c r="B36">
        <v>3</v>
      </c>
      <c r="C36" s="21">
        <f>EDATE(参数设置!$B$4,A36-1)</f>
        <v>46305</v>
      </c>
      <c r="D36" s="14">
        <f>IF(AND(A36&lt;=参数设置!$B$6,OR(INDEX(月度资金流!$B$7:$B$42,A36)="策略一：消费贷款+买基金",INDEX(月度资金流!$B$7:$B$42,A36)="策略二：新贷偿还旧贷")),参数设置!$B$5,0)</f>
        <v>23400</v>
      </c>
      <c r="E36">
        <v>9</v>
      </c>
      <c r="F36" s="21">
        <f t="shared" si="0"/>
        <v>46573</v>
      </c>
      <c r="G36" s="21">
        <f>IF(E36&lt;参数设置!$B$14,DATE(YEAR(EDATE(C36,E36+1)),MONTH(EDATE(C36,E36+1)),参数设置!$B$15),EDATE(C36,参数设置!$B$14))</f>
        <v>46604</v>
      </c>
      <c r="H36">
        <f t="shared" si="1"/>
        <v>31</v>
      </c>
      <c r="I36" s="14">
        <f>IF(E36=参数设置!$B$14,D36,0)</f>
        <v>0</v>
      </c>
      <c r="J36" s="14">
        <f>IF(M36=1,ROUND(D36*参数设置!$B$12*H36/参数设置!$B$13,参数设置!$B$16),0)</f>
        <v>66.5</v>
      </c>
      <c r="K36" s="14">
        <f t="shared" si="2"/>
        <v>66.5</v>
      </c>
      <c r="L36" s="21">
        <f>EDATE(C36,参数设置!$B$14)</f>
        <v>46670</v>
      </c>
      <c r="M36">
        <f t="shared" si="3"/>
        <v>1</v>
      </c>
    </row>
    <row r="37" spans="1:13">
      <c r="A37">
        <v>3</v>
      </c>
      <c r="B37">
        <v>3</v>
      </c>
      <c r="C37" s="21">
        <f>EDATE(参数设置!$B$4,A37-1)</f>
        <v>46305</v>
      </c>
      <c r="D37" s="14">
        <f>IF(AND(A37&lt;=参数设置!$B$6,OR(INDEX(月度资金流!$B$7:$B$42,A37)="策略一：消费贷款+买基金",INDEX(月度资金流!$B$7:$B$42,A37)="策略二：新贷偿还旧贷")),参数设置!$B$5,0)</f>
        <v>23400</v>
      </c>
      <c r="E37">
        <v>10</v>
      </c>
      <c r="F37" s="21">
        <f t="shared" si="0"/>
        <v>46604</v>
      </c>
      <c r="G37" s="21">
        <f>IF(E37&lt;参数设置!$B$14,DATE(YEAR(EDATE(C37,E37+1)),MONTH(EDATE(C37,E37+1)),参数设置!$B$15),EDATE(C37,参数设置!$B$14))</f>
        <v>46635</v>
      </c>
      <c r="H37">
        <f t="shared" si="1"/>
        <v>31</v>
      </c>
      <c r="I37" s="14">
        <f>IF(E37=参数设置!$B$14,D37,0)</f>
        <v>0</v>
      </c>
      <c r="J37" s="14">
        <f>IF(M37=1,ROUND(D37*参数设置!$B$12*H37/参数设置!$B$13,参数设置!$B$16),0)</f>
        <v>66.5</v>
      </c>
      <c r="K37" s="14">
        <f t="shared" si="2"/>
        <v>66.5</v>
      </c>
      <c r="L37" s="21">
        <f>EDATE(C37,参数设置!$B$14)</f>
        <v>46670</v>
      </c>
      <c r="M37">
        <f t="shared" si="3"/>
        <v>1</v>
      </c>
    </row>
    <row r="38" spans="1:13">
      <c r="A38">
        <v>3</v>
      </c>
      <c r="B38">
        <v>3</v>
      </c>
      <c r="C38" s="21">
        <f>EDATE(参数设置!$B$4,A38-1)</f>
        <v>46305</v>
      </c>
      <c r="D38" s="14">
        <f>IF(AND(A38&lt;=参数设置!$B$6,OR(INDEX(月度资金流!$B$7:$B$42,A38)="策略一：消费贷款+买基金",INDEX(月度资金流!$B$7:$B$42,A38)="策略二：新贷偿还旧贷")),参数设置!$B$5,0)</f>
        <v>23400</v>
      </c>
      <c r="E38">
        <v>11</v>
      </c>
      <c r="F38" s="21">
        <f t="shared" si="0"/>
        <v>46635</v>
      </c>
      <c r="G38" s="21">
        <f>IF(E38&lt;参数设置!$B$14,DATE(YEAR(EDATE(C38,E38+1)),MONTH(EDATE(C38,E38+1)),参数设置!$B$15),EDATE(C38,参数设置!$B$14))</f>
        <v>46665</v>
      </c>
      <c r="H38">
        <f t="shared" si="1"/>
        <v>30</v>
      </c>
      <c r="I38" s="14">
        <f>IF(E38=参数设置!$B$14,D38,0)</f>
        <v>0</v>
      </c>
      <c r="J38" s="14">
        <f>IF(M38=1,ROUND(D38*参数设置!$B$12*H38/参数设置!$B$13,参数设置!$B$16),0)</f>
        <v>64.349999999999994</v>
      </c>
      <c r="K38" s="14">
        <f t="shared" si="2"/>
        <v>64.349999999999994</v>
      </c>
      <c r="L38" s="21">
        <f>EDATE(C38,参数设置!$B$14)</f>
        <v>46670</v>
      </c>
      <c r="M38">
        <f t="shared" si="3"/>
        <v>1</v>
      </c>
    </row>
    <row r="39" spans="1:13">
      <c r="A39">
        <v>3</v>
      </c>
      <c r="B39">
        <v>3</v>
      </c>
      <c r="C39" s="21">
        <f>EDATE(参数设置!$B$4,A39-1)</f>
        <v>46305</v>
      </c>
      <c r="D39" s="14">
        <f>IF(AND(A39&lt;=参数设置!$B$6,OR(INDEX(月度资金流!$B$7:$B$42,A39)="策略一：消费贷款+买基金",INDEX(月度资金流!$B$7:$B$42,A39)="策略二：新贷偿还旧贷")),参数设置!$B$5,0)</f>
        <v>23400</v>
      </c>
      <c r="E39">
        <v>12</v>
      </c>
      <c r="F39" s="21">
        <f t="shared" si="0"/>
        <v>46665</v>
      </c>
      <c r="G39" s="21">
        <f>IF(E39&lt;参数设置!$B$14,DATE(YEAR(EDATE(C39,E39+1)),MONTH(EDATE(C39,E39+1)),参数设置!$B$15),EDATE(C39,参数设置!$B$14))</f>
        <v>46670</v>
      </c>
      <c r="H39">
        <f t="shared" si="1"/>
        <v>5</v>
      </c>
      <c r="I39" s="14">
        <f>IF(E39=参数设置!$B$14,D39,0)</f>
        <v>23400</v>
      </c>
      <c r="J39" s="14">
        <f>IF(M39=1,ROUND(D39*参数设置!$B$12*H39/参数设置!$B$13,参数设置!$B$16),0)</f>
        <v>10.73</v>
      </c>
      <c r="K39" s="14">
        <f t="shared" si="2"/>
        <v>23410.73</v>
      </c>
      <c r="L39" s="21">
        <f>EDATE(C39,参数设置!$B$14)</f>
        <v>46670</v>
      </c>
      <c r="M39">
        <f t="shared" si="3"/>
        <v>1</v>
      </c>
    </row>
    <row r="40" spans="1:13">
      <c r="A40">
        <v>4</v>
      </c>
      <c r="B40">
        <v>4</v>
      </c>
      <c r="C40" s="21">
        <f>EDATE(参数设置!$B$4,A40-1)</f>
        <v>46336</v>
      </c>
      <c r="D40" s="14">
        <f>IF(AND(A40&lt;=参数设置!$B$6,OR(INDEX(月度资金流!$B$7:$B$42,A40)="策略一：消费贷款+买基金",INDEX(月度资金流!$B$7:$B$42,A40)="策略二：新贷偿还旧贷")),参数设置!$B$5,0)</f>
        <v>23400</v>
      </c>
      <c r="E40">
        <v>1</v>
      </c>
      <c r="F40" s="21">
        <f t="shared" si="0"/>
        <v>46336</v>
      </c>
      <c r="G40" s="21">
        <f>IF(E40&lt;参数设置!$B$14,DATE(YEAR(EDATE(C40,E40+1)),MONTH(EDATE(C40,E40+1)),参数设置!$B$15),EDATE(C40,参数设置!$B$14))</f>
        <v>46392</v>
      </c>
      <c r="H40">
        <f t="shared" si="1"/>
        <v>56</v>
      </c>
      <c r="I40" s="14">
        <f>IF(E40=参数设置!$B$14,D40,0)</f>
        <v>0</v>
      </c>
      <c r="J40" s="14">
        <f>IF(M40=1,ROUND(D40*参数设置!$B$12*H40/参数设置!$B$13,参数设置!$B$16),0)</f>
        <v>120.12</v>
      </c>
      <c r="K40" s="14">
        <f t="shared" si="2"/>
        <v>120.12</v>
      </c>
      <c r="L40" s="21">
        <f>EDATE(C40,参数设置!$B$14)</f>
        <v>46701</v>
      </c>
      <c r="M40">
        <f t="shared" si="3"/>
        <v>1</v>
      </c>
    </row>
    <row r="41" spans="1:13">
      <c r="A41">
        <v>4</v>
      </c>
      <c r="B41">
        <v>4</v>
      </c>
      <c r="C41" s="21">
        <f>EDATE(参数设置!$B$4,A41-1)</f>
        <v>46336</v>
      </c>
      <c r="D41" s="14">
        <f>IF(AND(A41&lt;=参数设置!$B$6,OR(INDEX(月度资金流!$B$7:$B$42,A41)="策略一：消费贷款+买基金",INDEX(月度资金流!$B$7:$B$42,A41)="策略二：新贷偿还旧贷")),参数设置!$B$5,0)</f>
        <v>23400</v>
      </c>
      <c r="E41">
        <v>2</v>
      </c>
      <c r="F41" s="21">
        <f t="shared" si="0"/>
        <v>46392</v>
      </c>
      <c r="G41" s="21">
        <f>IF(E41&lt;参数设置!$B$14,DATE(YEAR(EDATE(C41,E41+1)),MONTH(EDATE(C41,E41+1)),参数设置!$B$15),EDATE(C41,参数设置!$B$14))</f>
        <v>46423</v>
      </c>
      <c r="H41">
        <f t="shared" si="1"/>
        <v>31</v>
      </c>
      <c r="I41" s="14">
        <f>IF(E41=参数设置!$B$14,D41,0)</f>
        <v>0</v>
      </c>
      <c r="J41" s="14">
        <f>IF(M41=1,ROUND(D41*参数设置!$B$12*H41/参数设置!$B$13,参数设置!$B$16),0)</f>
        <v>66.5</v>
      </c>
      <c r="K41" s="14">
        <f t="shared" si="2"/>
        <v>66.5</v>
      </c>
      <c r="L41" s="21">
        <f>EDATE(C41,参数设置!$B$14)</f>
        <v>46701</v>
      </c>
      <c r="M41">
        <f t="shared" si="3"/>
        <v>1</v>
      </c>
    </row>
    <row r="42" spans="1:13">
      <c r="A42">
        <v>4</v>
      </c>
      <c r="B42">
        <v>4</v>
      </c>
      <c r="C42" s="21">
        <f>EDATE(参数设置!$B$4,A42-1)</f>
        <v>46336</v>
      </c>
      <c r="D42" s="14">
        <f>IF(AND(A42&lt;=参数设置!$B$6,OR(INDEX(月度资金流!$B$7:$B$42,A42)="策略一：消费贷款+买基金",INDEX(月度资金流!$B$7:$B$42,A42)="策略二：新贷偿还旧贷")),参数设置!$B$5,0)</f>
        <v>23400</v>
      </c>
      <c r="E42">
        <v>3</v>
      </c>
      <c r="F42" s="21">
        <f t="shared" si="0"/>
        <v>46423</v>
      </c>
      <c r="G42" s="21">
        <f>IF(E42&lt;参数设置!$B$14,DATE(YEAR(EDATE(C42,E42+1)),MONTH(EDATE(C42,E42+1)),参数设置!$B$15),EDATE(C42,参数设置!$B$14))</f>
        <v>46451</v>
      </c>
      <c r="H42">
        <f t="shared" si="1"/>
        <v>28</v>
      </c>
      <c r="I42" s="14">
        <f>IF(E42=参数设置!$B$14,D42,0)</f>
        <v>0</v>
      </c>
      <c r="J42" s="14">
        <f>IF(M42=1,ROUND(D42*参数设置!$B$12*H42/参数设置!$B$13,参数设置!$B$16),0)</f>
        <v>60.06</v>
      </c>
      <c r="K42" s="14">
        <f t="shared" si="2"/>
        <v>60.06</v>
      </c>
      <c r="L42" s="21">
        <f>EDATE(C42,参数设置!$B$14)</f>
        <v>46701</v>
      </c>
      <c r="M42">
        <f t="shared" si="3"/>
        <v>1</v>
      </c>
    </row>
    <row r="43" spans="1:13">
      <c r="A43">
        <v>4</v>
      </c>
      <c r="B43">
        <v>4</v>
      </c>
      <c r="C43" s="21">
        <f>EDATE(参数设置!$B$4,A43-1)</f>
        <v>46336</v>
      </c>
      <c r="D43" s="14">
        <f>IF(AND(A43&lt;=参数设置!$B$6,OR(INDEX(月度资金流!$B$7:$B$42,A43)="策略一：消费贷款+买基金",INDEX(月度资金流!$B$7:$B$42,A43)="策略二：新贷偿还旧贷")),参数设置!$B$5,0)</f>
        <v>23400</v>
      </c>
      <c r="E43">
        <v>4</v>
      </c>
      <c r="F43" s="21">
        <f t="shared" si="0"/>
        <v>46451</v>
      </c>
      <c r="G43" s="21">
        <f>IF(E43&lt;参数设置!$B$14,DATE(YEAR(EDATE(C43,E43+1)),MONTH(EDATE(C43,E43+1)),参数设置!$B$15),EDATE(C43,参数设置!$B$14))</f>
        <v>46482</v>
      </c>
      <c r="H43">
        <f t="shared" si="1"/>
        <v>31</v>
      </c>
      <c r="I43" s="14">
        <f>IF(E43=参数设置!$B$14,D43,0)</f>
        <v>0</v>
      </c>
      <c r="J43" s="14">
        <f>IF(M43=1,ROUND(D43*参数设置!$B$12*H43/参数设置!$B$13,参数设置!$B$16),0)</f>
        <v>66.5</v>
      </c>
      <c r="K43" s="14">
        <f t="shared" si="2"/>
        <v>66.5</v>
      </c>
      <c r="L43" s="21">
        <f>EDATE(C43,参数设置!$B$14)</f>
        <v>46701</v>
      </c>
      <c r="M43">
        <f t="shared" si="3"/>
        <v>1</v>
      </c>
    </row>
    <row r="44" spans="1:13">
      <c r="A44">
        <v>4</v>
      </c>
      <c r="B44">
        <v>4</v>
      </c>
      <c r="C44" s="21">
        <f>EDATE(参数设置!$B$4,A44-1)</f>
        <v>46336</v>
      </c>
      <c r="D44" s="14">
        <f>IF(AND(A44&lt;=参数设置!$B$6,OR(INDEX(月度资金流!$B$7:$B$42,A44)="策略一：消费贷款+买基金",INDEX(月度资金流!$B$7:$B$42,A44)="策略二：新贷偿还旧贷")),参数设置!$B$5,0)</f>
        <v>23400</v>
      </c>
      <c r="E44">
        <v>5</v>
      </c>
      <c r="F44" s="21">
        <f t="shared" si="0"/>
        <v>46482</v>
      </c>
      <c r="G44" s="21">
        <f>IF(E44&lt;参数设置!$B$14,DATE(YEAR(EDATE(C44,E44+1)),MONTH(EDATE(C44,E44+1)),参数设置!$B$15),EDATE(C44,参数设置!$B$14))</f>
        <v>46512</v>
      </c>
      <c r="H44">
        <f t="shared" si="1"/>
        <v>30</v>
      </c>
      <c r="I44" s="14">
        <f>IF(E44=参数设置!$B$14,D44,0)</f>
        <v>0</v>
      </c>
      <c r="J44" s="14">
        <f>IF(M44=1,ROUND(D44*参数设置!$B$12*H44/参数设置!$B$13,参数设置!$B$16),0)</f>
        <v>64.349999999999994</v>
      </c>
      <c r="K44" s="14">
        <f t="shared" si="2"/>
        <v>64.349999999999994</v>
      </c>
      <c r="L44" s="21">
        <f>EDATE(C44,参数设置!$B$14)</f>
        <v>46701</v>
      </c>
      <c r="M44">
        <f t="shared" si="3"/>
        <v>1</v>
      </c>
    </row>
    <row r="45" spans="1:13">
      <c r="A45">
        <v>4</v>
      </c>
      <c r="B45">
        <v>4</v>
      </c>
      <c r="C45" s="21">
        <f>EDATE(参数设置!$B$4,A45-1)</f>
        <v>46336</v>
      </c>
      <c r="D45" s="14">
        <f>IF(AND(A45&lt;=参数设置!$B$6,OR(INDEX(月度资金流!$B$7:$B$42,A45)="策略一：消费贷款+买基金",INDEX(月度资金流!$B$7:$B$42,A45)="策略二：新贷偿还旧贷")),参数设置!$B$5,0)</f>
        <v>23400</v>
      </c>
      <c r="E45">
        <v>6</v>
      </c>
      <c r="F45" s="21">
        <f t="shared" si="0"/>
        <v>46512</v>
      </c>
      <c r="G45" s="21">
        <f>IF(E45&lt;参数设置!$B$14,DATE(YEAR(EDATE(C45,E45+1)),MONTH(EDATE(C45,E45+1)),参数设置!$B$15),EDATE(C45,参数设置!$B$14))</f>
        <v>46543</v>
      </c>
      <c r="H45">
        <f t="shared" si="1"/>
        <v>31</v>
      </c>
      <c r="I45" s="14">
        <f>IF(E45=参数设置!$B$14,D45,0)</f>
        <v>0</v>
      </c>
      <c r="J45" s="14">
        <f>IF(M45=1,ROUND(D45*参数设置!$B$12*H45/参数设置!$B$13,参数设置!$B$16),0)</f>
        <v>66.5</v>
      </c>
      <c r="K45" s="14">
        <f t="shared" si="2"/>
        <v>66.5</v>
      </c>
      <c r="L45" s="21">
        <f>EDATE(C45,参数设置!$B$14)</f>
        <v>46701</v>
      </c>
      <c r="M45">
        <f t="shared" si="3"/>
        <v>1</v>
      </c>
    </row>
    <row r="46" spans="1:13">
      <c r="A46">
        <v>4</v>
      </c>
      <c r="B46">
        <v>4</v>
      </c>
      <c r="C46" s="21">
        <f>EDATE(参数设置!$B$4,A46-1)</f>
        <v>46336</v>
      </c>
      <c r="D46" s="14">
        <f>IF(AND(A46&lt;=参数设置!$B$6,OR(INDEX(月度资金流!$B$7:$B$42,A46)="策略一：消费贷款+买基金",INDEX(月度资金流!$B$7:$B$42,A46)="策略二：新贷偿还旧贷")),参数设置!$B$5,0)</f>
        <v>23400</v>
      </c>
      <c r="E46">
        <v>7</v>
      </c>
      <c r="F46" s="21">
        <f t="shared" si="0"/>
        <v>46543</v>
      </c>
      <c r="G46" s="21">
        <f>IF(E46&lt;参数设置!$B$14,DATE(YEAR(EDATE(C46,E46+1)),MONTH(EDATE(C46,E46+1)),参数设置!$B$15),EDATE(C46,参数设置!$B$14))</f>
        <v>46573</v>
      </c>
      <c r="H46">
        <f t="shared" si="1"/>
        <v>30</v>
      </c>
      <c r="I46" s="14">
        <f>IF(E46=参数设置!$B$14,D46,0)</f>
        <v>0</v>
      </c>
      <c r="J46" s="14">
        <f>IF(M46=1,ROUND(D46*参数设置!$B$12*H46/参数设置!$B$13,参数设置!$B$16),0)</f>
        <v>64.349999999999994</v>
      </c>
      <c r="K46" s="14">
        <f t="shared" si="2"/>
        <v>64.349999999999994</v>
      </c>
      <c r="L46" s="21">
        <f>EDATE(C46,参数设置!$B$14)</f>
        <v>46701</v>
      </c>
      <c r="M46">
        <f t="shared" si="3"/>
        <v>1</v>
      </c>
    </row>
    <row r="47" spans="1:13">
      <c r="A47">
        <v>4</v>
      </c>
      <c r="B47">
        <v>4</v>
      </c>
      <c r="C47" s="21">
        <f>EDATE(参数设置!$B$4,A47-1)</f>
        <v>46336</v>
      </c>
      <c r="D47" s="14">
        <f>IF(AND(A47&lt;=参数设置!$B$6,OR(INDEX(月度资金流!$B$7:$B$42,A47)="策略一：消费贷款+买基金",INDEX(月度资金流!$B$7:$B$42,A47)="策略二：新贷偿还旧贷")),参数设置!$B$5,0)</f>
        <v>23400</v>
      </c>
      <c r="E47">
        <v>8</v>
      </c>
      <c r="F47" s="21">
        <f t="shared" si="0"/>
        <v>46573</v>
      </c>
      <c r="G47" s="21">
        <f>IF(E47&lt;参数设置!$B$14,DATE(YEAR(EDATE(C47,E47+1)),MONTH(EDATE(C47,E47+1)),参数设置!$B$15),EDATE(C47,参数设置!$B$14))</f>
        <v>46604</v>
      </c>
      <c r="H47">
        <f t="shared" si="1"/>
        <v>31</v>
      </c>
      <c r="I47" s="14">
        <f>IF(E47=参数设置!$B$14,D47,0)</f>
        <v>0</v>
      </c>
      <c r="J47" s="14">
        <f>IF(M47=1,ROUND(D47*参数设置!$B$12*H47/参数设置!$B$13,参数设置!$B$16),0)</f>
        <v>66.5</v>
      </c>
      <c r="K47" s="14">
        <f t="shared" si="2"/>
        <v>66.5</v>
      </c>
      <c r="L47" s="21">
        <f>EDATE(C47,参数设置!$B$14)</f>
        <v>46701</v>
      </c>
      <c r="M47">
        <f t="shared" si="3"/>
        <v>1</v>
      </c>
    </row>
    <row r="48" spans="1:13">
      <c r="A48">
        <v>4</v>
      </c>
      <c r="B48">
        <v>4</v>
      </c>
      <c r="C48" s="21">
        <f>EDATE(参数设置!$B$4,A48-1)</f>
        <v>46336</v>
      </c>
      <c r="D48" s="14">
        <f>IF(AND(A48&lt;=参数设置!$B$6,OR(INDEX(月度资金流!$B$7:$B$42,A48)="策略一：消费贷款+买基金",INDEX(月度资金流!$B$7:$B$42,A48)="策略二：新贷偿还旧贷")),参数设置!$B$5,0)</f>
        <v>23400</v>
      </c>
      <c r="E48">
        <v>9</v>
      </c>
      <c r="F48" s="21">
        <f t="shared" si="0"/>
        <v>46604</v>
      </c>
      <c r="G48" s="21">
        <f>IF(E48&lt;参数设置!$B$14,DATE(YEAR(EDATE(C48,E48+1)),MONTH(EDATE(C48,E48+1)),参数设置!$B$15),EDATE(C48,参数设置!$B$14))</f>
        <v>46635</v>
      </c>
      <c r="H48">
        <f t="shared" si="1"/>
        <v>31</v>
      </c>
      <c r="I48" s="14">
        <f>IF(E48=参数设置!$B$14,D48,0)</f>
        <v>0</v>
      </c>
      <c r="J48" s="14">
        <f>IF(M48=1,ROUND(D48*参数设置!$B$12*H48/参数设置!$B$13,参数设置!$B$16),0)</f>
        <v>66.5</v>
      </c>
      <c r="K48" s="14">
        <f t="shared" si="2"/>
        <v>66.5</v>
      </c>
      <c r="L48" s="21">
        <f>EDATE(C48,参数设置!$B$14)</f>
        <v>46701</v>
      </c>
      <c r="M48">
        <f t="shared" si="3"/>
        <v>1</v>
      </c>
    </row>
    <row r="49" spans="1:13">
      <c r="A49">
        <v>4</v>
      </c>
      <c r="B49">
        <v>4</v>
      </c>
      <c r="C49" s="21">
        <f>EDATE(参数设置!$B$4,A49-1)</f>
        <v>46336</v>
      </c>
      <c r="D49" s="14">
        <f>IF(AND(A49&lt;=参数设置!$B$6,OR(INDEX(月度资金流!$B$7:$B$42,A49)="策略一：消费贷款+买基金",INDEX(月度资金流!$B$7:$B$42,A49)="策略二：新贷偿还旧贷")),参数设置!$B$5,0)</f>
        <v>23400</v>
      </c>
      <c r="E49">
        <v>10</v>
      </c>
      <c r="F49" s="21">
        <f t="shared" si="0"/>
        <v>46635</v>
      </c>
      <c r="G49" s="21">
        <f>IF(E49&lt;参数设置!$B$14,DATE(YEAR(EDATE(C49,E49+1)),MONTH(EDATE(C49,E49+1)),参数设置!$B$15),EDATE(C49,参数设置!$B$14))</f>
        <v>46665</v>
      </c>
      <c r="H49">
        <f t="shared" si="1"/>
        <v>30</v>
      </c>
      <c r="I49" s="14">
        <f>IF(E49=参数设置!$B$14,D49,0)</f>
        <v>0</v>
      </c>
      <c r="J49" s="14">
        <f>IF(M49=1,ROUND(D49*参数设置!$B$12*H49/参数设置!$B$13,参数设置!$B$16),0)</f>
        <v>64.349999999999994</v>
      </c>
      <c r="K49" s="14">
        <f t="shared" si="2"/>
        <v>64.349999999999994</v>
      </c>
      <c r="L49" s="21">
        <f>EDATE(C49,参数设置!$B$14)</f>
        <v>46701</v>
      </c>
      <c r="M49">
        <f t="shared" si="3"/>
        <v>1</v>
      </c>
    </row>
    <row r="50" spans="1:13">
      <c r="A50">
        <v>4</v>
      </c>
      <c r="B50">
        <v>4</v>
      </c>
      <c r="C50" s="21">
        <f>EDATE(参数设置!$B$4,A50-1)</f>
        <v>46336</v>
      </c>
      <c r="D50" s="14">
        <f>IF(AND(A50&lt;=参数设置!$B$6,OR(INDEX(月度资金流!$B$7:$B$42,A50)="策略一：消费贷款+买基金",INDEX(月度资金流!$B$7:$B$42,A50)="策略二：新贷偿还旧贷")),参数设置!$B$5,0)</f>
        <v>23400</v>
      </c>
      <c r="E50">
        <v>11</v>
      </c>
      <c r="F50" s="21">
        <f t="shared" si="0"/>
        <v>46665</v>
      </c>
      <c r="G50" s="21">
        <f>IF(E50&lt;参数设置!$B$14,DATE(YEAR(EDATE(C50,E50+1)),MONTH(EDATE(C50,E50+1)),参数设置!$B$15),EDATE(C50,参数设置!$B$14))</f>
        <v>46696</v>
      </c>
      <c r="H50">
        <f t="shared" si="1"/>
        <v>31</v>
      </c>
      <c r="I50" s="14">
        <f>IF(E50=参数设置!$B$14,D50,0)</f>
        <v>0</v>
      </c>
      <c r="J50" s="14">
        <f>IF(M50=1,ROUND(D50*参数设置!$B$12*H50/参数设置!$B$13,参数设置!$B$16),0)</f>
        <v>66.5</v>
      </c>
      <c r="K50" s="14">
        <f t="shared" si="2"/>
        <v>66.5</v>
      </c>
      <c r="L50" s="21">
        <f>EDATE(C50,参数设置!$B$14)</f>
        <v>46701</v>
      </c>
      <c r="M50">
        <f t="shared" si="3"/>
        <v>1</v>
      </c>
    </row>
    <row r="51" spans="1:13">
      <c r="A51">
        <v>4</v>
      </c>
      <c r="B51">
        <v>4</v>
      </c>
      <c r="C51" s="21">
        <f>EDATE(参数设置!$B$4,A51-1)</f>
        <v>46336</v>
      </c>
      <c r="D51" s="14">
        <f>IF(AND(A51&lt;=参数设置!$B$6,OR(INDEX(月度资金流!$B$7:$B$42,A51)="策略一：消费贷款+买基金",INDEX(月度资金流!$B$7:$B$42,A51)="策略二：新贷偿还旧贷")),参数设置!$B$5,0)</f>
        <v>23400</v>
      </c>
      <c r="E51">
        <v>12</v>
      </c>
      <c r="F51" s="21">
        <f t="shared" si="0"/>
        <v>46696</v>
      </c>
      <c r="G51" s="21">
        <f>IF(E51&lt;参数设置!$B$14,DATE(YEAR(EDATE(C51,E51+1)),MONTH(EDATE(C51,E51+1)),参数设置!$B$15),EDATE(C51,参数设置!$B$14))</f>
        <v>46701</v>
      </c>
      <c r="H51">
        <f t="shared" si="1"/>
        <v>5</v>
      </c>
      <c r="I51" s="14">
        <f>IF(E51=参数设置!$B$14,D51,0)</f>
        <v>23400</v>
      </c>
      <c r="J51" s="14">
        <f>IF(M51=1,ROUND(D51*参数设置!$B$12*H51/参数设置!$B$13,参数设置!$B$16),0)</f>
        <v>10.73</v>
      </c>
      <c r="K51" s="14">
        <f t="shared" si="2"/>
        <v>23410.73</v>
      </c>
      <c r="L51" s="21">
        <f>EDATE(C51,参数设置!$B$14)</f>
        <v>46701</v>
      </c>
      <c r="M51">
        <f t="shared" si="3"/>
        <v>1</v>
      </c>
    </row>
    <row r="52" spans="1:13">
      <c r="A52">
        <v>5</v>
      </c>
      <c r="B52">
        <v>5</v>
      </c>
      <c r="C52" s="21">
        <f>EDATE(参数设置!$B$4,A52-1)</f>
        <v>46366</v>
      </c>
      <c r="D52" s="14">
        <f>IF(AND(A52&lt;=参数设置!$B$6,OR(INDEX(月度资金流!$B$7:$B$42,A52)="策略一：消费贷款+买基金",INDEX(月度资金流!$B$7:$B$42,A52)="策略二：新贷偿还旧贷")),参数设置!$B$5,0)</f>
        <v>23400</v>
      </c>
      <c r="E52">
        <v>1</v>
      </c>
      <c r="F52" s="21">
        <f t="shared" si="0"/>
        <v>46366</v>
      </c>
      <c r="G52" s="21">
        <f>IF(E52&lt;参数设置!$B$14,DATE(YEAR(EDATE(C52,E52+1)),MONTH(EDATE(C52,E52+1)),参数设置!$B$15),EDATE(C52,参数设置!$B$14))</f>
        <v>46423</v>
      </c>
      <c r="H52">
        <f t="shared" si="1"/>
        <v>57</v>
      </c>
      <c r="I52" s="14">
        <f>IF(E52=参数设置!$B$14,D52,0)</f>
        <v>0</v>
      </c>
      <c r="J52" s="14">
        <f>IF(M52=1,ROUND(D52*参数设置!$B$12*H52/参数设置!$B$13,参数设置!$B$16),0)</f>
        <v>122.27</v>
      </c>
      <c r="K52" s="14">
        <f t="shared" si="2"/>
        <v>122.27</v>
      </c>
      <c r="L52" s="21">
        <f>EDATE(C52,参数设置!$B$14)</f>
        <v>46731</v>
      </c>
      <c r="M52">
        <f t="shared" si="3"/>
        <v>1</v>
      </c>
    </row>
    <row r="53" spans="1:13">
      <c r="A53">
        <v>5</v>
      </c>
      <c r="B53">
        <v>5</v>
      </c>
      <c r="C53" s="21">
        <f>EDATE(参数设置!$B$4,A53-1)</f>
        <v>46366</v>
      </c>
      <c r="D53" s="14">
        <f>IF(AND(A53&lt;=参数设置!$B$6,OR(INDEX(月度资金流!$B$7:$B$42,A53)="策略一：消费贷款+买基金",INDEX(月度资金流!$B$7:$B$42,A53)="策略二：新贷偿还旧贷")),参数设置!$B$5,0)</f>
        <v>23400</v>
      </c>
      <c r="E53">
        <v>2</v>
      </c>
      <c r="F53" s="21">
        <f t="shared" si="0"/>
        <v>46423</v>
      </c>
      <c r="G53" s="21">
        <f>IF(E53&lt;参数设置!$B$14,DATE(YEAR(EDATE(C53,E53+1)),MONTH(EDATE(C53,E53+1)),参数设置!$B$15),EDATE(C53,参数设置!$B$14))</f>
        <v>46451</v>
      </c>
      <c r="H53">
        <f t="shared" si="1"/>
        <v>28</v>
      </c>
      <c r="I53" s="14">
        <f>IF(E53=参数设置!$B$14,D53,0)</f>
        <v>0</v>
      </c>
      <c r="J53" s="14">
        <f>IF(M53=1,ROUND(D53*参数设置!$B$12*H53/参数设置!$B$13,参数设置!$B$16),0)</f>
        <v>60.06</v>
      </c>
      <c r="K53" s="14">
        <f t="shared" si="2"/>
        <v>60.06</v>
      </c>
      <c r="L53" s="21">
        <f>EDATE(C53,参数设置!$B$14)</f>
        <v>46731</v>
      </c>
      <c r="M53">
        <f t="shared" si="3"/>
        <v>1</v>
      </c>
    </row>
    <row r="54" spans="1:13">
      <c r="A54">
        <v>5</v>
      </c>
      <c r="B54">
        <v>5</v>
      </c>
      <c r="C54" s="21">
        <f>EDATE(参数设置!$B$4,A54-1)</f>
        <v>46366</v>
      </c>
      <c r="D54" s="14">
        <f>IF(AND(A54&lt;=参数设置!$B$6,OR(INDEX(月度资金流!$B$7:$B$42,A54)="策略一：消费贷款+买基金",INDEX(月度资金流!$B$7:$B$42,A54)="策略二：新贷偿还旧贷")),参数设置!$B$5,0)</f>
        <v>23400</v>
      </c>
      <c r="E54">
        <v>3</v>
      </c>
      <c r="F54" s="21">
        <f t="shared" si="0"/>
        <v>46451</v>
      </c>
      <c r="G54" s="21">
        <f>IF(E54&lt;参数设置!$B$14,DATE(YEAR(EDATE(C54,E54+1)),MONTH(EDATE(C54,E54+1)),参数设置!$B$15),EDATE(C54,参数设置!$B$14))</f>
        <v>46482</v>
      </c>
      <c r="H54">
        <f t="shared" si="1"/>
        <v>31</v>
      </c>
      <c r="I54" s="14">
        <f>IF(E54=参数设置!$B$14,D54,0)</f>
        <v>0</v>
      </c>
      <c r="J54" s="14">
        <f>IF(M54=1,ROUND(D54*参数设置!$B$12*H54/参数设置!$B$13,参数设置!$B$16),0)</f>
        <v>66.5</v>
      </c>
      <c r="K54" s="14">
        <f t="shared" si="2"/>
        <v>66.5</v>
      </c>
      <c r="L54" s="21">
        <f>EDATE(C54,参数设置!$B$14)</f>
        <v>46731</v>
      </c>
      <c r="M54">
        <f t="shared" si="3"/>
        <v>1</v>
      </c>
    </row>
    <row r="55" spans="1:13">
      <c r="A55">
        <v>5</v>
      </c>
      <c r="B55">
        <v>5</v>
      </c>
      <c r="C55" s="21">
        <f>EDATE(参数设置!$B$4,A55-1)</f>
        <v>46366</v>
      </c>
      <c r="D55" s="14">
        <f>IF(AND(A55&lt;=参数设置!$B$6,OR(INDEX(月度资金流!$B$7:$B$42,A55)="策略一：消费贷款+买基金",INDEX(月度资金流!$B$7:$B$42,A55)="策略二：新贷偿还旧贷")),参数设置!$B$5,0)</f>
        <v>23400</v>
      </c>
      <c r="E55">
        <v>4</v>
      </c>
      <c r="F55" s="21">
        <f t="shared" si="0"/>
        <v>46482</v>
      </c>
      <c r="G55" s="21">
        <f>IF(E55&lt;参数设置!$B$14,DATE(YEAR(EDATE(C55,E55+1)),MONTH(EDATE(C55,E55+1)),参数设置!$B$15),EDATE(C55,参数设置!$B$14))</f>
        <v>46512</v>
      </c>
      <c r="H55">
        <f t="shared" si="1"/>
        <v>30</v>
      </c>
      <c r="I55" s="14">
        <f>IF(E55=参数设置!$B$14,D55,0)</f>
        <v>0</v>
      </c>
      <c r="J55" s="14">
        <f>IF(M55=1,ROUND(D55*参数设置!$B$12*H55/参数设置!$B$13,参数设置!$B$16),0)</f>
        <v>64.349999999999994</v>
      </c>
      <c r="K55" s="14">
        <f t="shared" si="2"/>
        <v>64.349999999999994</v>
      </c>
      <c r="L55" s="21">
        <f>EDATE(C55,参数设置!$B$14)</f>
        <v>46731</v>
      </c>
      <c r="M55">
        <f t="shared" si="3"/>
        <v>1</v>
      </c>
    </row>
    <row r="56" spans="1:13">
      <c r="A56">
        <v>5</v>
      </c>
      <c r="B56">
        <v>5</v>
      </c>
      <c r="C56" s="21">
        <f>EDATE(参数设置!$B$4,A56-1)</f>
        <v>46366</v>
      </c>
      <c r="D56" s="14">
        <f>IF(AND(A56&lt;=参数设置!$B$6,OR(INDEX(月度资金流!$B$7:$B$42,A56)="策略一：消费贷款+买基金",INDEX(月度资金流!$B$7:$B$42,A56)="策略二：新贷偿还旧贷")),参数设置!$B$5,0)</f>
        <v>23400</v>
      </c>
      <c r="E56">
        <v>5</v>
      </c>
      <c r="F56" s="21">
        <f t="shared" si="0"/>
        <v>46512</v>
      </c>
      <c r="G56" s="21">
        <f>IF(E56&lt;参数设置!$B$14,DATE(YEAR(EDATE(C56,E56+1)),MONTH(EDATE(C56,E56+1)),参数设置!$B$15),EDATE(C56,参数设置!$B$14))</f>
        <v>46543</v>
      </c>
      <c r="H56">
        <f t="shared" si="1"/>
        <v>31</v>
      </c>
      <c r="I56" s="14">
        <f>IF(E56=参数设置!$B$14,D56,0)</f>
        <v>0</v>
      </c>
      <c r="J56" s="14">
        <f>IF(M56=1,ROUND(D56*参数设置!$B$12*H56/参数设置!$B$13,参数设置!$B$16),0)</f>
        <v>66.5</v>
      </c>
      <c r="K56" s="14">
        <f t="shared" si="2"/>
        <v>66.5</v>
      </c>
      <c r="L56" s="21">
        <f>EDATE(C56,参数设置!$B$14)</f>
        <v>46731</v>
      </c>
      <c r="M56">
        <f t="shared" si="3"/>
        <v>1</v>
      </c>
    </row>
    <row r="57" spans="1:13">
      <c r="A57">
        <v>5</v>
      </c>
      <c r="B57">
        <v>5</v>
      </c>
      <c r="C57" s="21">
        <f>EDATE(参数设置!$B$4,A57-1)</f>
        <v>46366</v>
      </c>
      <c r="D57" s="14">
        <f>IF(AND(A57&lt;=参数设置!$B$6,OR(INDEX(月度资金流!$B$7:$B$42,A57)="策略一：消费贷款+买基金",INDEX(月度资金流!$B$7:$B$42,A57)="策略二：新贷偿还旧贷")),参数设置!$B$5,0)</f>
        <v>23400</v>
      </c>
      <c r="E57">
        <v>6</v>
      </c>
      <c r="F57" s="21">
        <f t="shared" si="0"/>
        <v>46543</v>
      </c>
      <c r="G57" s="21">
        <f>IF(E57&lt;参数设置!$B$14,DATE(YEAR(EDATE(C57,E57+1)),MONTH(EDATE(C57,E57+1)),参数设置!$B$15),EDATE(C57,参数设置!$B$14))</f>
        <v>46573</v>
      </c>
      <c r="H57">
        <f t="shared" si="1"/>
        <v>30</v>
      </c>
      <c r="I57" s="14">
        <f>IF(E57=参数设置!$B$14,D57,0)</f>
        <v>0</v>
      </c>
      <c r="J57" s="14">
        <f>IF(M57=1,ROUND(D57*参数设置!$B$12*H57/参数设置!$B$13,参数设置!$B$16),0)</f>
        <v>64.349999999999994</v>
      </c>
      <c r="K57" s="14">
        <f t="shared" si="2"/>
        <v>64.349999999999994</v>
      </c>
      <c r="L57" s="21">
        <f>EDATE(C57,参数设置!$B$14)</f>
        <v>46731</v>
      </c>
      <c r="M57">
        <f t="shared" si="3"/>
        <v>1</v>
      </c>
    </row>
    <row r="58" spans="1:13">
      <c r="A58">
        <v>5</v>
      </c>
      <c r="B58">
        <v>5</v>
      </c>
      <c r="C58" s="21">
        <f>EDATE(参数设置!$B$4,A58-1)</f>
        <v>46366</v>
      </c>
      <c r="D58" s="14">
        <f>IF(AND(A58&lt;=参数设置!$B$6,OR(INDEX(月度资金流!$B$7:$B$42,A58)="策略一：消费贷款+买基金",INDEX(月度资金流!$B$7:$B$42,A58)="策略二：新贷偿还旧贷")),参数设置!$B$5,0)</f>
        <v>23400</v>
      </c>
      <c r="E58">
        <v>7</v>
      </c>
      <c r="F58" s="21">
        <f t="shared" si="0"/>
        <v>46573</v>
      </c>
      <c r="G58" s="21">
        <f>IF(E58&lt;参数设置!$B$14,DATE(YEAR(EDATE(C58,E58+1)),MONTH(EDATE(C58,E58+1)),参数设置!$B$15),EDATE(C58,参数设置!$B$14))</f>
        <v>46604</v>
      </c>
      <c r="H58">
        <f t="shared" si="1"/>
        <v>31</v>
      </c>
      <c r="I58" s="14">
        <f>IF(E58=参数设置!$B$14,D58,0)</f>
        <v>0</v>
      </c>
      <c r="J58" s="14">
        <f>IF(M58=1,ROUND(D58*参数设置!$B$12*H58/参数设置!$B$13,参数设置!$B$16),0)</f>
        <v>66.5</v>
      </c>
      <c r="K58" s="14">
        <f t="shared" si="2"/>
        <v>66.5</v>
      </c>
      <c r="L58" s="21">
        <f>EDATE(C58,参数设置!$B$14)</f>
        <v>46731</v>
      </c>
      <c r="M58">
        <f t="shared" si="3"/>
        <v>1</v>
      </c>
    </row>
    <row r="59" spans="1:13">
      <c r="A59">
        <v>5</v>
      </c>
      <c r="B59">
        <v>5</v>
      </c>
      <c r="C59" s="21">
        <f>EDATE(参数设置!$B$4,A59-1)</f>
        <v>46366</v>
      </c>
      <c r="D59" s="14">
        <f>IF(AND(A59&lt;=参数设置!$B$6,OR(INDEX(月度资金流!$B$7:$B$42,A59)="策略一：消费贷款+买基金",INDEX(月度资金流!$B$7:$B$42,A59)="策略二：新贷偿还旧贷")),参数设置!$B$5,0)</f>
        <v>23400</v>
      </c>
      <c r="E59">
        <v>8</v>
      </c>
      <c r="F59" s="21">
        <f t="shared" si="0"/>
        <v>46604</v>
      </c>
      <c r="G59" s="21">
        <f>IF(E59&lt;参数设置!$B$14,DATE(YEAR(EDATE(C59,E59+1)),MONTH(EDATE(C59,E59+1)),参数设置!$B$15),EDATE(C59,参数设置!$B$14))</f>
        <v>46635</v>
      </c>
      <c r="H59">
        <f t="shared" si="1"/>
        <v>31</v>
      </c>
      <c r="I59" s="14">
        <f>IF(E59=参数设置!$B$14,D59,0)</f>
        <v>0</v>
      </c>
      <c r="J59" s="14">
        <f>IF(M59=1,ROUND(D59*参数设置!$B$12*H59/参数设置!$B$13,参数设置!$B$16),0)</f>
        <v>66.5</v>
      </c>
      <c r="K59" s="14">
        <f t="shared" si="2"/>
        <v>66.5</v>
      </c>
      <c r="L59" s="21">
        <f>EDATE(C59,参数设置!$B$14)</f>
        <v>46731</v>
      </c>
      <c r="M59">
        <f t="shared" si="3"/>
        <v>1</v>
      </c>
    </row>
    <row r="60" spans="1:13">
      <c r="A60">
        <v>5</v>
      </c>
      <c r="B60">
        <v>5</v>
      </c>
      <c r="C60" s="21">
        <f>EDATE(参数设置!$B$4,A60-1)</f>
        <v>46366</v>
      </c>
      <c r="D60" s="14">
        <f>IF(AND(A60&lt;=参数设置!$B$6,OR(INDEX(月度资金流!$B$7:$B$42,A60)="策略一：消费贷款+买基金",INDEX(月度资金流!$B$7:$B$42,A60)="策略二：新贷偿还旧贷")),参数设置!$B$5,0)</f>
        <v>23400</v>
      </c>
      <c r="E60">
        <v>9</v>
      </c>
      <c r="F60" s="21">
        <f t="shared" si="0"/>
        <v>46635</v>
      </c>
      <c r="G60" s="21">
        <f>IF(E60&lt;参数设置!$B$14,DATE(YEAR(EDATE(C60,E60+1)),MONTH(EDATE(C60,E60+1)),参数设置!$B$15),EDATE(C60,参数设置!$B$14))</f>
        <v>46665</v>
      </c>
      <c r="H60">
        <f t="shared" si="1"/>
        <v>30</v>
      </c>
      <c r="I60" s="14">
        <f>IF(E60=参数设置!$B$14,D60,0)</f>
        <v>0</v>
      </c>
      <c r="J60" s="14">
        <f>IF(M60=1,ROUND(D60*参数设置!$B$12*H60/参数设置!$B$13,参数设置!$B$16),0)</f>
        <v>64.349999999999994</v>
      </c>
      <c r="K60" s="14">
        <f t="shared" si="2"/>
        <v>64.349999999999994</v>
      </c>
      <c r="L60" s="21">
        <f>EDATE(C60,参数设置!$B$14)</f>
        <v>46731</v>
      </c>
      <c r="M60">
        <f t="shared" si="3"/>
        <v>1</v>
      </c>
    </row>
    <row r="61" spans="1:13">
      <c r="A61">
        <v>5</v>
      </c>
      <c r="B61">
        <v>5</v>
      </c>
      <c r="C61" s="21">
        <f>EDATE(参数设置!$B$4,A61-1)</f>
        <v>46366</v>
      </c>
      <c r="D61" s="14">
        <f>IF(AND(A61&lt;=参数设置!$B$6,OR(INDEX(月度资金流!$B$7:$B$42,A61)="策略一：消费贷款+买基金",INDEX(月度资金流!$B$7:$B$42,A61)="策略二：新贷偿还旧贷")),参数设置!$B$5,0)</f>
        <v>23400</v>
      </c>
      <c r="E61">
        <v>10</v>
      </c>
      <c r="F61" s="21">
        <f t="shared" si="0"/>
        <v>46665</v>
      </c>
      <c r="G61" s="21">
        <f>IF(E61&lt;参数设置!$B$14,DATE(YEAR(EDATE(C61,E61+1)),MONTH(EDATE(C61,E61+1)),参数设置!$B$15),EDATE(C61,参数设置!$B$14))</f>
        <v>46696</v>
      </c>
      <c r="H61">
        <f t="shared" si="1"/>
        <v>31</v>
      </c>
      <c r="I61" s="14">
        <f>IF(E61=参数设置!$B$14,D61,0)</f>
        <v>0</v>
      </c>
      <c r="J61" s="14">
        <f>IF(M61=1,ROUND(D61*参数设置!$B$12*H61/参数设置!$B$13,参数设置!$B$16),0)</f>
        <v>66.5</v>
      </c>
      <c r="K61" s="14">
        <f t="shared" si="2"/>
        <v>66.5</v>
      </c>
      <c r="L61" s="21">
        <f>EDATE(C61,参数设置!$B$14)</f>
        <v>46731</v>
      </c>
      <c r="M61">
        <f t="shared" si="3"/>
        <v>1</v>
      </c>
    </row>
    <row r="62" spans="1:13">
      <c r="A62">
        <v>5</v>
      </c>
      <c r="B62">
        <v>5</v>
      </c>
      <c r="C62" s="21">
        <f>EDATE(参数设置!$B$4,A62-1)</f>
        <v>46366</v>
      </c>
      <c r="D62" s="14">
        <f>IF(AND(A62&lt;=参数设置!$B$6,OR(INDEX(月度资金流!$B$7:$B$42,A62)="策略一：消费贷款+买基金",INDEX(月度资金流!$B$7:$B$42,A62)="策略二：新贷偿还旧贷")),参数设置!$B$5,0)</f>
        <v>23400</v>
      </c>
      <c r="E62">
        <v>11</v>
      </c>
      <c r="F62" s="21">
        <f t="shared" si="0"/>
        <v>46696</v>
      </c>
      <c r="G62" s="21">
        <f>IF(E62&lt;参数设置!$B$14,DATE(YEAR(EDATE(C62,E62+1)),MONTH(EDATE(C62,E62+1)),参数设置!$B$15),EDATE(C62,参数设置!$B$14))</f>
        <v>46726</v>
      </c>
      <c r="H62">
        <f t="shared" si="1"/>
        <v>30</v>
      </c>
      <c r="I62" s="14">
        <f>IF(E62=参数设置!$B$14,D62,0)</f>
        <v>0</v>
      </c>
      <c r="J62" s="14">
        <f>IF(M62=1,ROUND(D62*参数设置!$B$12*H62/参数设置!$B$13,参数设置!$B$16),0)</f>
        <v>64.349999999999994</v>
      </c>
      <c r="K62" s="14">
        <f t="shared" si="2"/>
        <v>64.349999999999994</v>
      </c>
      <c r="L62" s="21">
        <f>EDATE(C62,参数设置!$B$14)</f>
        <v>46731</v>
      </c>
      <c r="M62">
        <f t="shared" si="3"/>
        <v>1</v>
      </c>
    </row>
    <row r="63" spans="1:13">
      <c r="A63">
        <v>5</v>
      </c>
      <c r="B63">
        <v>5</v>
      </c>
      <c r="C63" s="21">
        <f>EDATE(参数设置!$B$4,A63-1)</f>
        <v>46366</v>
      </c>
      <c r="D63" s="14">
        <f>IF(AND(A63&lt;=参数设置!$B$6,OR(INDEX(月度资金流!$B$7:$B$42,A63)="策略一：消费贷款+买基金",INDEX(月度资金流!$B$7:$B$42,A63)="策略二：新贷偿还旧贷")),参数设置!$B$5,0)</f>
        <v>23400</v>
      </c>
      <c r="E63">
        <v>12</v>
      </c>
      <c r="F63" s="21">
        <f t="shared" si="0"/>
        <v>46726</v>
      </c>
      <c r="G63" s="21">
        <f>IF(E63&lt;参数设置!$B$14,DATE(YEAR(EDATE(C63,E63+1)),MONTH(EDATE(C63,E63+1)),参数设置!$B$15),EDATE(C63,参数设置!$B$14))</f>
        <v>46731</v>
      </c>
      <c r="H63">
        <f t="shared" si="1"/>
        <v>5</v>
      </c>
      <c r="I63" s="14">
        <f>IF(E63=参数设置!$B$14,D63,0)</f>
        <v>23400</v>
      </c>
      <c r="J63" s="14">
        <f>IF(M63=1,ROUND(D63*参数设置!$B$12*H63/参数设置!$B$13,参数设置!$B$16),0)</f>
        <v>10.73</v>
      </c>
      <c r="K63" s="14">
        <f t="shared" si="2"/>
        <v>23410.73</v>
      </c>
      <c r="L63" s="21">
        <f>EDATE(C63,参数设置!$B$14)</f>
        <v>46731</v>
      </c>
      <c r="M63">
        <f t="shared" si="3"/>
        <v>1</v>
      </c>
    </row>
    <row r="64" spans="1:13">
      <c r="A64">
        <v>6</v>
      </c>
      <c r="B64">
        <v>6</v>
      </c>
      <c r="C64" s="21">
        <f>EDATE(参数设置!$B$4,A64-1)</f>
        <v>46397</v>
      </c>
      <c r="D64" s="14">
        <f>IF(AND(A64&lt;=参数设置!$B$6,OR(INDEX(月度资金流!$B$7:$B$42,A64)="策略一：消费贷款+买基金",INDEX(月度资金流!$B$7:$B$42,A64)="策略二：新贷偿还旧贷")),参数设置!$B$5,0)</f>
        <v>23400</v>
      </c>
      <c r="E64">
        <v>1</v>
      </c>
      <c r="F64" s="21">
        <f t="shared" si="0"/>
        <v>46397</v>
      </c>
      <c r="G64" s="21">
        <f>IF(E64&lt;参数设置!$B$14,DATE(YEAR(EDATE(C64,E64+1)),MONTH(EDATE(C64,E64+1)),参数设置!$B$15),EDATE(C64,参数设置!$B$14))</f>
        <v>46451</v>
      </c>
      <c r="H64">
        <f t="shared" si="1"/>
        <v>54</v>
      </c>
      <c r="I64" s="14">
        <f>IF(E64=参数设置!$B$14,D64,0)</f>
        <v>0</v>
      </c>
      <c r="J64" s="14">
        <f>IF(M64=1,ROUND(D64*参数设置!$B$12*H64/参数设置!$B$13,参数设置!$B$16),0)</f>
        <v>115.83</v>
      </c>
      <c r="K64" s="14">
        <f t="shared" si="2"/>
        <v>115.83</v>
      </c>
      <c r="L64" s="21">
        <f>EDATE(C64,参数设置!$B$14)</f>
        <v>46762</v>
      </c>
      <c r="M64">
        <f t="shared" si="3"/>
        <v>1</v>
      </c>
    </row>
    <row r="65" spans="1:13">
      <c r="A65">
        <v>6</v>
      </c>
      <c r="B65">
        <v>6</v>
      </c>
      <c r="C65" s="21">
        <f>EDATE(参数设置!$B$4,A65-1)</f>
        <v>46397</v>
      </c>
      <c r="D65" s="14">
        <f>IF(AND(A65&lt;=参数设置!$B$6,OR(INDEX(月度资金流!$B$7:$B$42,A65)="策略一：消费贷款+买基金",INDEX(月度资金流!$B$7:$B$42,A65)="策略二：新贷偿还旧贷")),参数设置!$B$5,0)</f>
        <v>23400</v>
      </c>
      <c r="E65">
        <v>2</v>
      </c>
      <c r="F65" s="21">
        <f t="shared" si="0"/>
        <v>46451</v>
      </c>
      <c r="G65" s="21">
        <f>IF(E65&lt;参数设置!$B$14,DATE(YEAR(EDATE(C65,E65+1)),MONTH(EDATE(C65,E65+1)),参数设置!$B$15),EDATE(C65,参数设置!$B$14))</f>
        <v>46482</v>
      </c>
      <c r="H65">
        <f t="shared" si="1"/>
        <v>31</v>
      </c>
      <c r="I65" s="14">
        <f>IF(E65=参数设置!$B$14,D65,0)</f>
        <v>0</v>
      </c>
      <c r="J65" s="14">
        <f>IF(M65=1,ROUND(D65*参数设置!$B$12*H65/参数设置!$B$13,参数设置!$B$16),0)</f>
        <v>66.5</v>
      </c>
      <c r="K65" s="14">
        <f t="shared" si="2"/>
        <v>66.5</v>
      </c>
      <c r="L65" s="21">
        <f>EDATE(C65,参数设置!$B$14)</f>
        <v>46762</v>
      </c>
      <c r="M65">
        <f t="shared" si="3"/>
        <v>1</v>
      </c>
    </row>
    <row r="66" spans="1:13">
      <c r="A66">
        <v>6</v>
      </c>
      <c r="B66">
        <v>6</v>
      </c>
      <c r="C66" s="21">
        <f>EDATE(参数设置!$B$4,A66-1)</f>
        <v>46397</v>
      </c>
      <c r="D66" s="14">
        <f>IF(AND(A66&lt;=参数设置!$B$6,OR(INDEX(月度资金流!$B$7:$B$42,A66)="策略一：消费贷款+买基金",INDEX(月度资金流!$B$7:$B$42,A66)="策略二：新贷偿还旧贷")),参数设置!$B$5,0)</f>
        <v>23400</v>
      </c>
      <c r="E66">
        <v>3</v>
      </c>
      <c r="F66" s="21">
        <f t="shared" si="0"/>
        <v>46482</v>
      </c>
      <c r="G66" s="21">
        <f>IF(E66&lt;参数设置!$B$14,DATE(YEAR(EDATE(C66,E66+1)),MONTH(EDATE(C66,E66+1)),参数设置!$B$15),EDATE(C66,参数设置!$B$14))</f>
        <v>46512</v>
      </c>
      <c r="H66">
        <f t="shared" si="1"/>
        <v>30</v>
      </c>
      <c r="I66" s="14">
        <f>IF(E66=参数设置!$B$14,D66,0)</f>
        <v>0</v>
      </c>
      <c r="J66" s="14">
        <f>IF(M66=1,ROUND(D66*参数设置!$B$12*H66/参数设置!$B$13,参数设置!$B$16),0)</f>
        <v>64.349999999999994</v>
      </c>
      <c r="K66" s="14">
        <f t="shared" si="2"/>
        <v>64.349999999999994</v>
      </c>
      <c r="L66" s="21">
        <f>EDATE(C66,参数设置!$B$14)</f>
        <v>46762</v>
      </c>
      <c r="M66">
        <f t="shared" si="3"/>
        <v>1</v>
      </c>
    </row>
    <row r="67" spans="1:13">
      <c r="A67">
        <v>6</v>
      </c>
      <c r="B67">
        <v>6</v>
      </c>
      <c r="C67" s="21">
        <f>EDATE(参数设置!$B$4,A67-1)</f>
        <v>46397</v>
      </c>
      <c r="D67" s="14">
        <f>IF(AND(A67&lt;=参数设置!$B$6,OR(INDEX(月度资金流!$B$7:$B$42,A67)="策略一：消费贷款+买基金",INDEX(月度资金流!$B$7:$B$42,A67)="策略二：新贷偿还旧贷")),参数设置!$B$5,0)</f>
        <v>23400</v>
      </c>
      <c r="E67">
        <v>4</v>
      </c>
      <c r="F67" s="21">
        <f t="shared" si="0"/>
        <v>46512</v>
      </c>
      <c r="G67" s="21">
        <f>IF(E67&lt;参数设置!$B$14,DATE(YEAR(EDATE(C67,E67+1)),MONTH(EDATE(C67,E67+1)),参数设置!$B$15),EDATE(C67,参数设置!$B$14))</f>
        <v>46543</v>
      </c>
      <c r="H67">
        <f t="shared" si="1"/>
        <v>31</v>
      </c>
      <c r="I67" s="14">
        <f>IF(E67=参数设置!$B$14,D67,0)</f>
        <v>0</v>
      </c>
      <c r="J67" s="14">
        <f>IF(M67=1,ROUND(D67*参数设置!$B$12*H67/参数设置!$B$13,参数设置!$B$16),0)</f>
        <v>66.5</v>
      </c>
      <c r="K67" s="14">
        <f t="shared" si="2"/>
        <v>66.5</v>
      </c>
      <c r="L67" s="21">
        <f>EDATE(C67,参数设置!$B$14)</f>
        <v>46762</v>
      </c>
      <c r="M67">
        <f t="shared" si="3"/>
        <v>1</v>
      </c>
    </row>
    <row r="68" spans="1:13">
      <c r="A68">
        <v>6</v>
      </c>
      <c r="B68">
        <v>6</v>
      </c>
      <c r="C68" s="21">
        <f>EDATE(参数设置!$B$4,A68-1)</f>
        <v>46397</v>
      </c>
      <c r="D68" s="14">
        <f>IF(AND(A68&lt;=参数设置!$B$6,OR(INDEX(月度资金流!$B$7:$B$42,A68)="策略一：消费贷款+买基金",INDEX(月度资金流!$B$7:$B$42,A68)="策略二：新贷偿还旧贷")),参数设置!$B$5,0)</f>
        <v>23400</v>
      </c>
      <c r="E68">
        <v>5</v>
      </c>
      <c r="F68" s="21">
        <f t="shared" ref="F68:F131" si="4">IF(E68=1,C68,G67)</f>
        <v>46543</v>
      </c>
      <c r="G68" s="21">
        <f>IF(E68&lt;参数设置!$B$14,DATE(YEAR(EDATE(C68,E68+1)),MONTH(EDATE(C68,E68+1)),参数设置!$B$15),EDATE(C68,参数设置!$B$14))</f>
        <v>46573</v>
      </c>
      <c r="H68">
        <f t="shared" ref="H68:H131" si="5">G68-F68</f>
        <v>30</v>
      </c>
      <c r="I68" s="14">
        <f>IF(E68=参数设置!$B$14,D68,0)</f>
        <v>0</v>
      </c>
      <c r="J68" s="14">
        <f>IF(M68=1,ROUND(D68*参数设置!$B$12*H68/参数设置!$B$13,参数设置!$B$16),0)</f>
        <v>64.349999999999994</v>
      </c>
      <c r="K68" s="14">
        <f t="shared" ref="K68:K131" si="6">I68+J68</f>
        <v>64.349999999999994</v>
      </c>
      <c r="L68" s="21">
        <f>EDATE(C68,参数设置!$B$14)</f>
        <v>46762</v>
      </c>
      <c r="M68">
        <f t="shared" ref="M68:M131" si="7">--(D68&gt;0)</f>
        <v>1</v>
      </c>
    </row>
    <row r="69" spans="1:13">
      <c r="A69">
        <v>6</v>
      </c>
      <c r="B69">
        <v>6</v>
      </c>
      <c r="C69" s="21">
        <f>EDATE(参数设置!$B$4,A69-1)</f>
        <v>46397</v>
      </c>
      <c r="D69" s="14">
        <f>IF(AND(A69&lt;=参数设置!$B$6,OR(INDEX(月度资金流!$B$7:$B$42,A69)="策略一：消费贷款+买基金",INDEX(月度资金流!$B$7:$B$42,A69)="策略二：新贷偿还旧贷")),参数设置!$B$5,0)</f>
        <v>23400</v>
      </c>
      <c r="E69">
        <v>6</v>
      </c>
      <c r="F69" s="21">
        <f t="shared" si="4"/>
        <v>46573</v>
      </c>
      <c r="G69" s="21">
        <f>IF(E69&lt;参数设置!$B$14,DATE(YEAR(EDATE(C69,E69+1)),MONTH(EDATE(C69,E69+1)),参数设置!$B$15),EDATE(C69,参数设置!$B$14))</f>
        <v>46604</v>
      </c>
      <c r="H69">
        <f t="shared" si="5"/>
        <v>31</v>
      </c>
      <c r="I69" s="14">
        <f>IF(E69=参数设置!$B$14,D69,0)</f>
        <v>0</v>
      </c>
      <c r="J69" s="14">
        <f>IF(M69=1,ROUND(D69*参数设置!$B$12*H69/参数设置!$B$13,参数设置!$B$16),0)</f>
        <v>66.5</v>
      </c>
      <c r="K69" s="14">
        <f t="shared" si="6"/>
        <v>66.5</v>
      </c>
      <c r="L69" s="21">
        <f>EDATE(C69,参数设置!$B$14)</f>
        <v>46762</v>
      </c>
      <c r="M69">
        <f t="shared" si="7"/>
        <v>1</v>
      </c>
    </row>
    <row r="70" spans="1:13">
      <c r="A70">
        <v>6</v>
      </c>
      <c r="B70">
        <v>6</v>
      </c>
      <c r="C70" s="21">
        <f>EDATE(参数设置!$B$4,A70-1)</f>
        <v>46397</v>
      </c>
      <c r="D70" s="14">
        <f>IF(AND(A70&lt;=参数设置!$B$6,OR(INDEX(月度资金流!$B$7:$B$42,A70)="策略一：消费贷款+买基金",INDEX(月度资金流!$B$7:$B$42,A70)="策略二：新贷偿还旧贷")),参数设置!$B$5,0)</f>
        <v>23400</v>
      </c>
      <c r="E70">
        <v>7</v>
      </c>
      <c r="F70" s="21">
        <f t="shared" si="4"/>
        <v>46604</v>
      </c>
      <c r="G70" s="21">
        <f>IF(E70&lt;参数设置!$B$14,DATE(YEAR(EDATE(C70,E70+1)),MONTH(EDATE(C70,E70+1)),参数设置!$B$15),EDATE(C70,参数设置!$B$14))</f>
        <v>46635</v>
      </c>
      <c r="H70">
        <f t="shared" si="5"/>
        <v>31</v>
      </c>
      <c r="I70" s="14">
        <f>IF(E70=参数设置!$B$14,D70,0)</f>
        <v>0</v>
      </c>
      <c r="J70" s="14">
        <f>IF(M70=1,ROUND(D70*参数设置!$B$12*H70/参数设置!$B$13,参数设置!$B$16),0)</f>
        <v>66.5</v>
      </c>
      <c r="K70" s="14">
        <f t="shared" si="6"/>
        <v>66.5</v>
      </c>
      <c r="L70" s="21">
        <f>EDATE(C70,参数设置!$B$14)</f>
        <v>46762</v>
      </c>
      <c r="M70">
        <f t="shared" si="7"/>
        <v>1</v>
      </c>
    </row>
    <row r="71" spans="1:13">
      <c r="A71">
        <v>6</v>
      </c>
      <c r="B71">
        <v>6</v>
      </c>
      <c r="C71" s="21">
        <f>EDATE(参数设置!$B$4,A71-1)</f>
        <v>46397</v>
      </c>
      <c r="D71" s="14">
        <f>IF(AND(A71&lt;=参数设置!$B$6,OR(INDEX(月度资金流!$B$7:$B$42,A71)="策略一：消费贷款+买基金",INDEX(月度资金流!$B$7:$B$42,A71)="策略二：新贷偿还旧贷")),参数设置!$B$5,0)</f>
        <v>23400</v>
      </c>
      <c r="E71">
        <v>8</v>
      </c>
      <c r="F71" s="21">
        <f t="shared" si="4"/>
        <v>46635</v>
      </c>
      <c r="G71" s="21">
        <f>IF(E71&lt;参数设置!$B$14,DATE(YEAR(EDATE(C71,E71+1)),MONTH(EDATE(C71,E71+1)),参数设置!$B$15),EDATE(C71,参数设置!$B$14))</f>
        <v>46665</v>
      </c>
      <c r="H71">
        <f t="shared" si="5"/>
        <v>30</v>
      </c>
      <c r="I71" s="14">
        <f>IF(E71=参数设置!$B$14,D71,0)</f>
        <v>0</v>
      </c>
      <c r="J71" s="14">
        <f>IF(M71=1,ROUND(D71*参数设置!$B$12*H71/参数设置!$B$13,参数设置!$B$16),0)</f>
        <v>64.349999999999994</v>
      </c>
      <c r="K71" s="14">
        <f t="shared" si="6"/>
        <v>64.349999999999994</v>
      </c>
      <c r="L71" s="21">
        <f>EDATE(C71,参数设置!$B$14)</f>
        <v>46762</v>
      </c>
      <c r="M71">
        <f t="shared" si="7"/>
        <v>1</v>
      </c>
    </row>
    <row r="72" spans="1:13">
      <c r="A72">
        <v>6</v>
      </c>
      <c r="B72">
        <v>6</v>
      </c>
      <c r="C72" s="21">
        <f>EDATE(参数设置!$B$4,A72-1)</f>
        <v>46397</v>
      </c>
      <c r="D72" s="14">
        <f>IF(AND(A72&lt;=参数设置!$B$6,OR(INDEX(月度资金流!$B$7:$B$42,A72)="策略一：消费贷款+买基金",INDEX(月度资金流!$B$7:$B$42,A72)="策略二：新贷偿还旧贷")),参数设置!$B$5,0)</f>
        <v>23400</v>
      </c>
      <c r="E72">
        <v>9</v>
      </c>
      <c r="F72" s="21">
        <f t="shared" si="4"/>
        <v>46665</v>
      </c>
      <c r="G72" s="21">
        <f>IF(E72&lt;参数设置!$B$14,DATE(YEAR(EDATE(C72,E72+1)),MONTH(EDATE(C72,E72+1)),参数设置!$B$15),EDATE(C72,参数设置!$B$14))</f>
        <v>46696</v>
      </c>
      <c r="H72">
        <f t="shared" si="5"/>
        <v>31</v>
      </c>
      <c r="I72" s="14">
        <f>IF(E72=参数设置!$B$14,D72,0)</f>
        <v>0</v>
      </c>
      <c r="J72" s="14">
        <f>IF(M72=1,ROUND(D72*参数设置!$B$12*H72/参数设置!$B$13,参数设置!$B$16),0)</f>
        <v>66.5</v>
      </c>
      <c r="K72" s="14">
        <f t="shared" si="6"/>
        <v>66.5</v>
      </c>
      <c r="L72" s="21">
        <f>EDATE(C72,参数设置!$B$14)</f>
        <v>46762</v>
      </c>
      <c r="M72">
        <f t="shared" si="7"/>
        <v>1</v>
      </c>
    </row>
    <row r="73" spans="1:13">
      <c r="A73">
        <v>6</v>
      </c>
      <c r="B73">
        <v>6</v>
      </c>
      <c r="C73" s="21">
        <f>EDATE(参数设置!$B$4,A73-1)</f>
        <v>46397</v>
      </c>
      <c r="D73" s="14">
        <f>IF(AND(A73&lt;=参数设置!$B$6,OR(INDEX(月度资金流!$B$7:$B$42,A73)="策略一：消费贷款+买基金",INDEX(月度资金流!$B$7:$B$42,A73)="策略二：新贷偿还旧贷")),参数设置!$B$5,0)</f>
        <v>23400</v>
      </c>
      <c r="E73">
        <v>10</v>
      </c>
      <c r="F73" s="21">
        <f t="shared" si="4"/>
        <v>46696</v>
      </c>
      <c r="G73" s="21">
        <f>IF(E73&lt;参数设置!$B$14,DATE(YEAR(EDATE(C73,E73+1)),MONTH(EDATE(C73,E73+1)),参数设置!$B$15),EDATE(C73,参数设置!$B$14))</f>
        <v>46726</v>
      </c>
      <c r="H73">
        <f t="shared" si="5"/>
        <v>30</v>
      </c>
      <c r="I73" s="14">
        <f>IF(E73=参数设置!$B$14,D73,0)</f>
        <v>0</v>
      </c>
      <c r="J73" s="14">
        <f>IF(M73=1,ROUND(D73*参数设置!$B$12*H73/参数设置!$B$13,参数设置!$B$16),0)</f>
        <v>64.349999999999994</v>
      </c>
      <c r="K73" s="14">
        <f t="shared" si="6"/>
        <v>64.349999999999994</v>
      </c>
      <c r="L73" s="21">
        <f>EDATE(C73,参数设置!$B$14)</f>
        <v>46762</v>
      </c>
      <c r="M73">
        <f t="shared" si="7"/>
        <v>1</v>
      </c>
    </row>
    <row r="74" spans="1:13">
      <c r="A74">
        <v>6</v>
      </c>
      <c r="B74">
        <v>6</v>
      </c>
      <c r="C74" s="21">
        <f>EDATE(参数设置!$B$4,A74-1)</f>
        <v>46397</v>
      </c>
      <c r="D74" s="14">
        <f>IF(AND(A74&lt;=参数设置!$B$6,OR(INDEX(月度资金流!$B$7:$B$42,A74)="策略一：消费贷款+买基金",INDEX(月度资金流!$B$7:$B$42,A74)="策略二：新贷偿还旧贷")),参数设置!$B$5,0)</f>
        <v>23400</v>
      </c>
      <c r="E74">
        <v>11</v>
      </c>
      <c r="F74" s="21">
        <f t="shared" si="4"/>
        <v>46726</v>
      </c>
      <c r="G74" s="21">
        <f>IF(E74&lt;参数设置!$B$14,DATE(YEAR(EDATE(C74,E74+1)),MONTH(EDATE(C74,E74+1)),参数设置!$B$15),EDATE(C74,参数设置!$B$14))</f>
        <v>46757</v>
      </c>
      <c r="H74">
        <f t="shared" si="5"/>
        <v>31</v>
      </c>
      <c r="I74" s="14">
        <f>IF(E74=参数设置!$B$14,D74,0)</f>
        <v>0</v>
      </c>
      <c r="J74" s="14">
        <f>IF(M74=1,ROUND(D74*参数设置!$B$12*H74/参数设置!$B$13,参数设置!$B$16),0)</f>
        <v>66.5</v>
      </c>
      <c r="K74" s="14">
        <f t="shared" si="6"/>
        <v>66.5</v>
      </c>
      <c r="L74" s="21">
        <f>EDATE(C74,参数设置!$B$14)</f>
        <v>46762</v>
      </c>
      <c r="M74">
        <f t="shared" si="7"/>
        <v>1</v>
      </c>
    </row>
    <row r="75" spans="1:13">
      <c r="A75">
        <v>6</v>
      </c>
      <c r="B75">
        <v>6</v>
      </c>
      <c r="C75" s="21">
        <f>EDATE(参数设置!$B$4,A75-1)</f>
        <v>46397</v>
      </c>
      <c r="D75" s="14">
        <f>IF(AND(A75&lt;=参数设置!$B$6,OR(INDEX(月度资金流!$B$7:$B$42,A75)="策略一：消费贷款+买基金",INDEX(月度资金流!$B$7:$B$42,A75)="策略二：新贷偿还旧贷")),参数设置!$B$5,0)</f>
        <v>23400</v>
      </c>
      <c r="E75">
        <v>12</v>
      </c>
      <c r="F75" s="21">
        <f t="shared" si="4"/>
        <v>46757</v>
      </c>
      <c r="G75" s="21">
        <f>IF(E75&lt;参数设置!$B$14,DATE(YEAR(EDATE(C75,E75+1)),MONTH(EDATE(C75,E75+1)),参数设置!$B$15),EDATE(C75,参数设置!$B$14))</f>
        <v>46762</v>
      </c>
      <c r="H75">
        <f t="shared" si="5"/>
        <v>5</v>
      </c>
      <c r="I75" s="14">
        <f>IF(E75=参数设置!$B$14,D75,0)</f>
        <v>23400</v>
      </c>
      <c r="J75" s="14">
        <f>IF(M75=1,ROUND(D75*参数设置!$B$12*H75/参数设置!$B$13,参数设置!$B$16),0)</f>
        <v>10.73</v>
      </c>
      <c r="K75" s="14">
        <f t="shared" si="6"/>
        <v>23410.73</v>
      </c>
      <c r="L75" s="21">
        <f>EDATE(C75,参数设置!$B$14)</f>
        <v>46762</v>
      </c>
      <c r="M75">
        <f t="shared" si="7"/>
        <v>1</v>
      </c>
    </row>
    <row r="76" spans="1:13">
      <c r="A76">
        <v>7</v>
      </c>
      <c r="B76">
        <v>7</v>
      </c>
      <c r="C76" s="21">
        <f>EDATE(参数设置!$B$4,A76-1)</f>
        <v>46428</v>
      </c>
      <c r="D76" s="14">
        <f>IF(AND(A76&lt;=参数设置!$B$6,OR(INDEX(月度资金流!$B$7:$B$42,A76)="策略一：消费贷款+买基金",INDEX(月度资金流!$B$7:$B$42,A76)="策略二：新贷偿还旧贷")),参数设置!$B$5,0)</f>
        <v>23400</v>
      </c>
      <c r="E76">
        <v>1</v>
      </c>
      <c r="F76" s="21">
        <f t="shared" si="4"/>
        <v>46428</v>
      </c>
      <c r="G76" s="21">
        <f>IF(E76&lt;参数设置!$B$14,DATE(YEAR(EDATE(C76,E76+1)),MONTH(EDATE(C76,E76+1)),参数设置!$B$15),EDATE(C76,参数设置!$B$14))</f>
        <v>46482</v>
      </c>
      <c r="H76">
        <f t="shared" si="5"/>
        <v>54</v>
      </c>
      <c r="I76" s="14">
        <f>IF(E76=参数设置!$B$14,D76,0)</f>
        <v>0</v>
      </c>
      <c r="J76" s="14">
        <f>IF(M76=1,ROUND(D76*参数设置!$B$12*H76/参数设置!$B$13,参数设置!$B$16),0)</f>
        <v>115.83</v>
      </c>
      <c r="K76" s="14">
        <f t="shared" si="6"/>
        <v>115.83</v>
      </c>
      <c r="L76" s="21">
        <f>EDATE(C76,参数设置!$B$14)</f>
        <v>46793</v>
      </c>
      <c r="M76">
        <f t="shared" si="7"/>
        <v>1</v>
      </c>
    </row>
    <row r="77" spans="1:13">
      <c r="A77">
        <v>7</v>
      </c>
      <c r="B77">
        <v>7</v>
      </c>
      <c r="C77" s="21">
        <f>EDATE(参数设置!$B$4,A77-1)</f>
        <v>46428</v>
      </c>
      <c r="D77" s="14">
        <f>IF(AND(A77&lt;=参数设置!$B$6,OR(INDEX(月度资金流!$B$7:$B$42,A77)="策略一：消费贷款+买基金",INDEX(月度资金流!$B$7:$B$42,A77)="策略二：新贷偿还旧贷")),参数设置!$B$5,0)</f>
        <v>23400</v>
      </c>
      <c r="E77">
        <v>2</v>
      </c>
      <c r="F77" s="21">
        <f t="shared" si="4"/>
        <v>46482</v>
      </c>
      <c r="G77" s="21">
        <f>IF(E77&lt;参数设置!$B$14,DATE(YEAR(EDATE(C77,E77+1)),MONTH(EDATE(C77,E77+1)),参数设置!$B$15),EDATE(C77,参数设置!$B$14))</f>
        <v>46512</v>
      </c>
      <c r="H77">
        <f t="shared" si="5"/>
        <v>30</v>
      </c>
      <c r="I77" s="14">
        <f>IF(E77=参数设置!$B$14,D77,0)</f>
        <v>0</v>
      </c>
      <c r="J77" s="14">
        <f>IF(M77=1,ROUND(D77*参数设置!$B$12*H77/参数设置!$B$13,参数设置!$B$16),0)</f>
        <v>64.349999999999994</v>
      </c>
      <c r="K77" s="14">
        <f t="shared" si="6"/>
        <v>64.349999999999994</v>
      </c>
      <c r="L77" s="21">
        <f>EDATE(C77,参数设置!$B$14)</f>
        <v>46793</v>
      </c>
      <c r="M77">
        <f t="shared" si="7"/>
        <v>1</v>
      </c>
    </row>
    <row r="78" spans="1:13">
      <c r="A78">
        <v>7</v>
      </c>
      <c r="B78">
        <v>7</v>
      </c>
      <c r="C78" s="21">
        <f>EDATE(参数设置!$B$4,A78-1)</f>
        <v>46428</v>
      </c>
      <c r="D78" s="14">
        <f>IF(AND(A78&lt;=参数设置!$B$6,OR(INDEX(月度资金流!$B$7:$B$42,A78)="策略一：消费贷款+买基金",INDEX(月度资金流!$B$7:$B$42,A78)="策略二：新贷偿还旧贷")),参数设置!$B$5,0)</f>
        <v>23400</v>
      </c>
      <c r="E78">
        <v>3</v>
      </c>
      <c r="F78" s="21">
        <f t="shared" si="4"/>
        <v>46512</v>
      </c>
      <c r="G78" s="21">
        <f>IF(E78&lt;参数设置!$B$14,DATE(YEAR(EDATE(C78,E78+1)),MONTH(EDATE(C78,E78+1)),参数设置!$B$15),EDATE(C78,参数设置!$B$14))</f>
        <v>46543</v>
      </c>
      <c r="H78">
        <f t="shared" si="5"/>
        <v>31</v>
      </c>
      <c r="I78" s="14">
        <f>IF(E78=参数设置!$B$14,D78,0)</f>
        <v>0</v>
      </c>
      <c r="J78" s="14">
        <f>IF(M78=1,ROUND(D78*参数设置!$B$12*H78/参数设置!$B$13,参数设置!$B$16),0)</f>
        <v>66.5</v>
      </c>
      <c r="K78" s="14">
        <f t="shared" si="6"/>
        <v>66.5</v>
      </c>
      <c r="L78" s="21">
        <f>EDATE(C78,参数设置!$B$14)</f>
        <v>46793</v>
      </c>
      <c r="M78">
        <f t="shared" si="7"/>
        <v>1</v>
      </c>
    </row>
    <row r="79" spans="1:13">
      <c r="A79">
        <v>7</v>
      </c>
      <c r="B79">
        <v>7</v>
      </c>
      <c r="C79" s="21">
        <f>EDATE(参数设置!$B$4,A79-1)</f>
        <v>46428</v>
      </c>
      <c r="D79" s="14">
        <f>IF(AND(A79&lt;=参数设置!$B$6,OR(INDEX(月度资金流!$B$7:$B$42,A79)="策略一：消费贷款+买基金",INDEX(月度资金流!$B$7:$B$42,A79)="策略二：新贷偿还旧贷")),参数设置!$B$5,0)</f>
        <v>23400</v>
      </c>
      <c r="E79">
        <v>4</v>
      </c>
      <c r="F79" s="21">
        <f t="shared" si="4"/>
        <v>46543</v>
      </c>
      <c r="G79" s="21">
        <f>IF(E79&lt;参数设置!$B$14,DATE(YEAR(EDATE(C79,E79+1)),MONTH(EDATE(C79,E79+1)),参数设置!$B$15),EDATE(C79,参数设置!$B$14))</f>
        <v>46573</v>
      </c>
      <c r="H79">
        <f t="shared" si="5"/>
        <v>30</v>
      </c>
      <c r="I79" s="14">
        <f>IF(E79=参数设置!$B$14,D79,0)</f>
        <v>0</v>
      </c>
      <c r="J79" s="14">
        <f>IF(M79=1,ROUND(D79*参数设置!$B$12*H79/参数设置!$B$13,参数设置!$B$16),0)</f>
        <v>64.349999999999994</v>
      </c>
      <c r="K79" s="14">
        <f t="shared" si="6"/>
        <v>64.349999999999994</v>
      </c>
      <c r="L79" s="21">
        <f>EDATE(C79,参数设置!$B$14)</f>
        <v>46793</v>
      </c>
      <c r="M79">
        <f t="shared" si="7"/>
        <v>1</v>
      </c>
    </row>
    <row r="80" spans="1:13">
      <c r="A80">
        <v>7</v>
      </c>
      <c r="B80">
        <v>7</v>
      </c>
      <c r="C80" s="21">
        <f>EDATE(参数设置!$B$4,A80-1)</f>
        <v>46428</v>
      </c>
      <c r="D80" s="14">
        <f>IF(AND(A80&lt;=参数设置!$B$6,OR(INDEX(月度资金流!$B$7:$B$42,A80)="策略一：消费贷款+买基金",INDEX(月度资金流!$B$7:$B$42,A80)="策略二：新贷偿还旧贷")),参数设置!$B$5,0)</f>
        <v>23400</v>
      </c>
      <c r="E80">
        <v>5</v>
      </c>
      <c r="F80" s="21">
        <f t="shared" si="4"/>
        <v>46573</v>
      </c>
      <c r="G80" s="21">
        <f>IF(E80&lt;参数设置!$B$14,DATE(YEAR(EDATE(C80,E80+1)),MONTH(EDATE(C80,E80+1)),参数设置!$B$15),EDATE(C80,参数设置!$B$14))</f>
        <v>46604</v>
      </c>
      <c r="H80">
        <f t="shared" si="5"/>
        <v>31</v>
      </c>
      <c r="I80" s="14">
        <f>IF(E80=参数设置!$B$14,D80,0)</f>
        <v>0</v>
      </c>
      <c r="J80" s="14">
        <f>IF(M80=1,ROUND(D80*参数设置!$B$12*H80/参数设置!$B$13,参数设置!$B$16),0)</f>
        <v>66.5</v>
      </c>
      <c r="K80" s="14">
        <f t="shared" si="6"/>
        <v>66.5</v>
      </c>
      <c r="L80" s="21">
        <f>EDATE(C80,参数设置!$B$14)</f>
        <v>46793</v>
      </c>
      <c r="M80">
        <f t="shared" si="7"/>
        <v>1</v>
      </c>
    </row>
    <row r="81" spans="1:13">
      <c r="A81">
        <v>7</v>
      </c>
      <c r="B81">
        <v>7</v>
      </c>
      <c r="C81" s="21">
        <f>EDATE(参数设置!$B$4,A81-1)</f>
        <v>46428</v>
      </c>
      <c r="D81" s="14">
        <f>IF(AND(A81&lt;=参数设置!$B$6,OR(INDEX(月度资金流!$B$7:$B$42,A81)="策略一：消费贷款+买基金",INDEX(月度资金流!$B$7:$B$42,A81)="策略二：新贷偿还旧贷")),参数设置!$B$5,0)</f>
        <v>23400</v>
      </c>
      <c r="E81">
        <v>6</v>
      </c>
      <c r="F81" s="21">
        <f t="shared" si="4"/>
        <v>46604</v>
      </c>
      <c r="G81" s="21">
        <f>IF(E81&lt;参数设置!$B$14,DATE(YEAR(EDATE(C81,E81+1)),MONTH(EDATE(C81,E81+1)),参数设置!$B$15),EDATE(C81,参数设置!$B$14))</f>
        <v>46635</v>
      </c>
      <c r="H81">
        <f t="shared" si="5"/>
        <v>31</v>
      </c>
      <c r="I81" s="14">
        <f>IF(E81=参数设置!$B$14,D81,0)</f>
        <v>0</v>
      </c>
      <c r="J81" s="14">
        <f>IF(M81=1,ROUND(D81*参数设置!$B$12*H81/参数设置!$B$13,参数设置!$B$16),0)</f>
        <v>66.5</v>
      </c>
      <c r="K81" s="14">
        <f t="shared" si="6"/>
        <v>66.5</v>
      </c>
      <c r="L81" s="21">
        <f>EDATE(C81,参数设置!$B$14)</f>
        <v>46793</v>
      </c>
      <c r="M81">
        <f t="shared" si="7"/>
        <v>1</v>
      </c>
    </row>
    <row r="82" spans="1:13">
      <c r="A82">
        <v>7</v>
      </c>
      <c r="B82">
        <v>7</v>
      </c>
      <c r="C82" s="21">
        <f>EDATE(参数设置!$B$4,A82-1)</f>
        <v>46428</v>
      </c>
      <c r="D82" s="14">
        <f>IF(AND(A82&lt;=参数设置!$B$6,OR(INDEX(月度资金流!$B$7:$B$42,A82)="策略一：消费贷款+买基金",INDEX(月度资金流!$B$7:$B$42,A82)="策略二：新贷偿还旧贷")),参数设置!$B$5,0)</f>
        <v>23400</v>
      </c>
      <c r="E82">
        <v>7</v>
      </c>
      <c r="F82" s="21">
        <f t="shared" si="4"/>
        <v>46635</v>
      </c>
      <c r="G82" s="21">
        <f>IF(E82&lt;参数设置!$B$14,DATE(YEAR(EDATE(C82,E82+1)),MONTH(EDATE(C82,E82+1)),参数设置!$B$15),EDATE(C82,参数设置!$B$14))</f>
        <v>46665</v>
      </c>
      <c r="H82">
        <f t="shared" si="5"/>
        <v>30</v>
      </c>
      <c r="I82" s="14">
        <f>IF(E82=参数设置!$B$14,D82,0)</f>
        <v>0</v>
      </c>
      <c r="J82" s="14">
        <f>IF(M82=1,ROUND(D82*参数设置!$B$12*H82/参数设置!$B$13,参数设置!$B$16),0)</f>
        <v>64.349999999999994</v>
      </c>
      <c r="K82" s="14">
        <f t="shared" si="6"/>
        <v>64.349999999999994</v>
      </c>
      <c r="L82" s="21">
        <f>EDATE(C82,参数设置!$B$14)</f>
        <v>46793</v>
      </c>
      <c r="M82">
        <f t="shared" si="7"/>
        <v>1</v>
      </c>
    </row>
    <row r="83" spans="1:13">
      <c r="A83">
        <v>7</v>
      </c>
      <c r="B83">
        <v>7</v>
      </c>
      <c r="C83" s="21">
        <f>EDATE(参数设置!$B$4,A83-1)</f>
        <v>46428</v>
      </c>
      <c r="D83" s="14">
        <f>IF(AND(A83&lt;=参数设置!$B$6,OR(INDEX(月度资金流!$B$7:$B$42,A83)="策略一：消费贷款+买基金",INDEX(月度资金流!$B$7:$B$42,A83)="策略二：新贷偿还旧贷")),参数设置!$B$5,0)</f>
        <v>23400</v>
      </c>
      <c r="E83">
        <v>8</v>
      </c>
      <c r="F83" s="21">
        <f t="shared" si="4"/>
        <v>46665</v>
      </c>
      <c r="G83" s="21">
        <f>IF(E83&lt;参数设置!$B$14,DATE(YEAR(EDATE(C83,E83+1)),MONTH(EDATE(C83,E83+1)),参数设置!$B$15),EDATE(C83,参数设置!$B$14))</f>
        <v>46696</v>
      </c>
      <c r="H83">
        <f t="shared" si="5"/>
        <v>31</v>
      </c>
      <c r="I83" s="14">
        <f>IF(E83=参数设置!$B$14,D83,0)</f>
        <v>0</v>
      </c>
      <c r="J83" s="14">
        <f>IF(M83=1,ROUND(D83*参数设置!$B$12*H83/参数设置!$B$13,参数设置!$B$16),0)</f>
        <v>66.5</v>
      </c>
      <c r="K83" s="14">
        <f t="shared" si="6"/>
        <v>66.5</v>
      </c>
      <c r="L83" s="21">
        <f>EDATE(C83,参数设置!$B$14)</f>
        <v>46793</v>
      </c>
      <c r="M83">
        <f t="shared" si="7"/>
        <v>1</v>
      </c>
    </row>
    <row r="84" spans="1:13">
      <c r="A84">
        <v>7</v>
      </c>
      <c r="B84">
        <v>7</v>
      </c>
      <c r="C84" s="21">
        <f>EDATE(参数设置!$B$4,A84-1)</f>
        <v>46428</v>
      </c>
      <c r="D84" s="14">
        <f>IF(AND(A84&lt;=参数设置!$B$6,OR(INDEX(月度资金流!$B$7:$B$42,A84)="策略一：消费贷款+买基金",INDEX(月度资金流!$B$7:$B$42,A84)="策略二：新贷偿还旧贷")),参数设置!$B$5,0)</f>
        <v>23400</v>
      </c>
      <c r="E84">
        <v>9</v>
      </c>
      <c r="F84" s="21">
        <f t="shared" si="4"/>
        <v>46696</v>
      </c>
      <c r="G84" s="21">
        <f>IF(E84&lt;参数设置!$B$14,DATE(YEAR(EDATE(C84,E84+1)),MONTH(EDATE(C84,E84+1)),参数设置!$B$15),EDATE(C84,参数设置!$B$14))</f>
        <v>46726</v>
      </c>
      <c r="H84">
        <f t="shared" si="5"/>
        <v>30</v>
      </c>
      <c r="I84" s="14">
        <f>IF(E84=参数设置!$B$14,D84,0)</f>
        <v>0</v>
      </c>
      <c r="J84" s="14">
        <f>IF(M84=1,ROUND(D84*参数设置!$B$12*H84/参数设置!$B$13,参数设置!$B$16),0)</f>
        <v>64.349999999999994</v>
      </c>
      <c r="K84" s="14">
        <f t="shared" si="6"/>
        <v>64.349999999999994</v>
      </c>
      <c r="L84" s="21">
        <f>EDATE(C84,参数设置!$B$14)</f>
        <v>46793</v>
      </c>
      <c r="M84">
        <f t="shared" si="7"/>
        <v>1</v>
      </c>
    </row>
    <row r="85" spans="1:13">
      <c r="A85">
        <v>7</v>
      </c>
      <c r="B85">
        <v>7</v>
      </c>
      <c r="C85" s="21">
        <f>EDATE(参数设置!$B$4,A85-1)</f>
        <v>46428</v>
      </c>
      <c r="D85" s="14">
        <f>IF(AND(A85&lt;=参数设置!$B$6,OR(INDEX(月度资金流!$B$7:$B$42,A85)="策略一：消费贷款+买基金",INDEX(月度资金流!$B$7:$B$42,A85)="策略二：新贷偿还旧贷")),参数设置!$B$5,0)</f>
        <v>23400</v>
      </c>
      <c r="E85">
        <v>10</v>
      </c>
      <c r="F85" s="21">
        <f t="shared" si="4"/>
        <v>46726</v>
      </c>
      <c r="G85" s="21">
        <f>IF(E85&lt;参数设置!$B$14,DATE(YEAR(EDATE(C85,E85+1)),MONTH(EDATE(C85,E85+1)),参数设置!$B$15),EDATE(C85,参数设置!$B$14))</f>
        <v>46757</v>
      </c>
      <c r="H85">
        <f t="shared" si="5"/>
        <v>31</v>
      </c>
      <c r="I85" s="14">
        <f>IF(E85=参数设置!$B$14,D85,0)</f>
        <v>0</v>
      </c>
      <c r="J85" s="14">
        <f>IF(M85=1,ROUND(D85*参数设置!$B$12*H85/参数设置!$B$13,参数设置!$B$16),0)</f>
        <v>66.5</v>
      </c>
      <c r="K85" s="14">
        <f t="shared" si="6"/>
        <v>66.5</v>
      </c>
      <c r="L85" s="21">
        <f>EDATE(C85,参数设置!$B$14)</f>
        <v>46793</v>
      </c>
      <c r="M85">
        <f t="shared" si="7"/>
        <v>1</v>
      </c>
    </row>
    <row r="86" spans="1:13">
      <c r="A86">
        <v>7</v>
      </c>
      <c r="B86">
        <v>7</v>
      </c>
      <c r="C86" s="21">
        <f>EDATE(参数设置!$B$4,A86-1)</f>
        <v>46428</v>
      </c>
      <c r="D86" s="14">
        <f>IF(AND(A86&lt;=参数设置!$B$6,OR(INDEX(月度资金流!$B$7:$B$42,A86)="策略一：消费贷款+买基金",INDEX(月度资金流!$B$7:$B$42,A86)="策略二：新贷偿还旧贷")),参数设置!$B$5,0)</f>
        <v>23400</v>
      </c>
      <c r="E86">
        <v>11</v>
      </c>
      <c r="F86" s="21">
        <f t="shared" si="4"/>
        <v>46757</v>
      </c>
      <c r="G86" s="21">
        <f>IF(E86&lt;参数设置!$B$14,DATE(YEAR(EDATE(C86,E86+1)),MONTH(EDATE(C86,E86+1)),参数设置!$B$15),EDATE(C86,参数设置!$B$14))</f>
        <v>46788</v>
      </c>
      <c r="H86">
        <f t="shared" si="5"/>
        <v>31</v>
      </c>
      <c r="I86" s="14">
        <f>IF(E86=参数设置!$B$14,D86,0)</f>
        <v>0</v>
      </c>
      <c r="J86" s="14">
        <f>IF(M86=1,ROUND(D86*参数设置!$B$12*H86/参数设置!$B$13,参数设置!$B$16),0)</f>
        <v>66.5</v>
      </c>
      <c r="K86" s="14">
        <f t="shared" si="6"/>
        <v>66.5</v>
      </c>
      <c r="L86" s="21">
        <f>EDATE(C86,参数设置!$B$14)</f>
        <v>46793</v>
      </c>
      <c r="M86">
        <f t="shared" si="7"/>
        <v>1</v>
      </c>
    </row>
    <row r="87" spans="1:13">
      <c r="A87">
        <v>7</v>
      </c>
      <c r="B87">
        <v>7</v>
      </c>
      <c r="C87" s="21">
        <f>EDATE(参数设置!$B$4,A87-1)</f>
        <v>46428</v>
      </c>
      <c r="D87" s="14">
        <f>IF(AND(A87&lt;=参数设置!$B$6,OR(INDEX(月度资金流!$B$7:$B$42,A87)="策略一：消费贷款+买基金",INDEX(月度资金流!$B$7:$B$42,A87)="策略二：新贷偿还旧贷")),参数设置!$B$5,0)</f>
        <v>23400</v>
      </c>
      <c r="E87">
        <v>12</v>
      </c>
      <c r="F87" s="21">
        <f t="shared" si="4"/>
        <v>46788</v>
      </c>
      <c r="G87" s="21">
        <f>IF(E87&lt;参数设置!$B$14,DATE(YEAR(EDATE(C87,E87+1)),MONTH(EDATE(C87,E87+1)),参数设置!$B$15),EDATE(C87,参数设置!$B$14))</f>
        <v>46793</v>
      </c>
      <c r="H87">
        <f t="shared" si="5"/>
        <v>5</v>
      </c>
      <c r="I87" s="14">
        <f>IF(E87=参数设置!$B$14,D87,0)</f>
        <v>23400</v>
      </c>
      <c r="J87" s="14">
        <f>IF(M87=1,ROUND(D87*参数设置!$B$12*H87/参数设置!$B$13,参数设置!$B$16),0)</f>
        <v>10.73</v>
      </c>
      <c r="K87" s="14">
        <f t="shared" si="6"/>
        <v>23410.73</v>
      </c>
      <c r="L87" s="21">
        <f>EDATE(C87,参数设置!$B$14)</f>
        <v>46793</v>
      </c>
      <c r="M87">
        <f t="shared" si="7"/>
        <v>1</v>
      </c>
    </row>
    <row r="88" spans="1:13">
      <c r="A88">
        <v>8</v>
      </c>
      <c r="B88">
        <v>8</v>
      </c>
      <c r="C88" s="21">
        <f>EDATE(参数设置!$B$4,A88-1)</f>
        <v>46456</v>
      </c>
      <c r="D88" s="14">
        <f>IF(AND(A88&lt;=参数设置!$B$6,OR(INDEX(月度资金流!$B$7:$B$42,A88)="策略一：消费贷款+买基金",INDEX(月度资金流!$B$7:$B$42,A88)="策略二：新贷偿还旧贷")),参数设置!$B$5,0)</f>
        <v>23400</v>
      </c>
      <c r="E88">
        <v>1</v>
      </c>
      <c r="F88" s="21">
        <f t="shared" si="4"/>
        <v>46456</v>
      </c>
      <c r="G88" s="21">
        <f>IF(E88&lt;参数设置!$B$14,DATE(YEAR(EDATE(C88,E88+1)),MONTH(EDATE(C88,E88+1)),参数设置!$B$15),EDATE(C88,参数设置!$B$14))</f>
        <v>46512</v>
      </c>
      <c r="H88">
        <f t="shared" si="5"/>
        <v>56</v>
      </c>
      <c r="I88" s="14">
        <f>IF(E88=参数设置!$B$14,D88,0)</f>
        <v>0</v>
      </c>
      <c r="J88" s="14">
        <f>IF(M88=1,ROUND(D88*参数设置!$B$12*H88/参数设置!$B$13,参数设置!$B$16),0)</f>
        <v>120.12</v>
      </c>
      <c r="K88" s="14">
        <f t="shared" si="6"/>
        <v>120.12</v>
      </c>
      <c r="L88" s="21">
        <f>EDATE(C88,参数设置!$B$14)</f>
        <v>46822</v>
      </c>
      <c r="M88">
        <f t="shared" si="7"/>
        <v>1</v>
      </c>
    </row>
    <row r="89" spans="1:13">
      <c r="A89">
        <v>8</v>
      </c>
      <c r="B89">
        <v>8</v>
      </c>
      <c r="C89" s="21">
        <f>EDATE(参数设置!$B$4,A89-1)</f>
        <v>46456</v>
      </c>
      <c r="D89" s="14">
        <f>IF(AND(A89&lt;=参数设置!$B$6,OR(INDEX(月度资金流!$B$7:$B$42,A89)="策略一：消费贷款+买基金",INDEX(月度资金流!$B$7:$B$42,A89)="策略二：新贷偿还旧贷")),参数设置!$B$5,0)</f>
        <v>23400</v>
      </c>
      <c r="E89">
        <v>2</v>
      </c>
      <c r="F89" s="21">
        <f t="shared" si="4"/>
        <v>46512</v>
      </c>
      <c r="G89" s="21">
        <f>IF(E89&lt;参数设置!$B$14,DATE(YEAR(EDATE(C89,E89+1)),MONTH(EDATE(C89,E89+1)),参数设置!$B$15),EDATE(C89,参数设置!$B$14))</f>
        <v>46543</v>
      </c>
      <c r="H89">
        <f t="shared" si="5"/>
        <v>31</v>
      </c>
      <c r="I89" s="14">
        <f>IF(E89=参数设置!$B$14,D89,0)</f>
        <v>0</v>
      </c>
      <c r="J89" s="14">
        <f>IF(M89=1,ROUND(D89*参数设置!$B$12*H89/参数设置!$B$13,参数设置!$B$16),0)</f>
        <v>66.5</v>
      </c>
      <c r="K89" s="14">
        <f t="shared" si="6"/>
        <v>66.5</v>
      </c>
      <c r="L89" s="21">
        <f>EDATE(C89,参数设置!$B$14)</f>
        <v>46822</v>
      </c>
      <c r="M89">
        <f t="shared" si="7"/>
        <v>1</v>
      </c>
    </row>
    <row r="90" spans="1:13">
      <c r="A90">
        <v>8</v>
      </c>
      <c r="B90">
        <v>8</v>
      </c>
      <c r="C90" s="21">
        <f>EDATE(参数设置!$B$4,A90-1)</f>
        <v>46456</v>
      </c>
      <c r="D90" s="14">
        <f>IF(AND(A90&lt;=参数设置!$B$6,OR(INDEX(月度资金流!$B$7:$B$42,A90)="策略一：消费贷款+买基金",INDEX(月度资金流!$B$7:$B$42,A90)="策略二：新贷偿还旧贷")),参数设置!$B$5,0)</f>
        <v>23400</v>
      </c>
      <c r="E90">
        <v>3</v>
      </c>
      <c r="F90" s="21">
        <f t="shared" si="4"/>
        <v>46543</v>
      </c>
      <c r="G90" s="21">
        <f>IF(E90&lt;参数设置!$B$14,DATE(YEAR(EDATE(C90,E90+1)),MONTH(EDATE(C90,E90+1)),参数设置!$B$15),EDATE(C90,参数设置!$B$14))</f>
        <v>46573</v>
      </c>
      <c r="H90">
        <f t="shared" si="5"/>
        <v>30</v>
      </c>
      <c r="I90" s="14">
        <f>IF(E90=参数设置!$B$14,D90,0)</f>
        <v>0</v>
      </c>
      <c r="J90" s="14">
        <f>IF(M90=1,ROUND(D90*参数设置!$B$12*H90/参数设置!$B$13,参数设置!$B$16),0)</f>
        <v>64.349999999999994</v>
      </c>
      <c r="K90" s="14">
        <f t="shared" si="6"/>
        <v>64.349999999999994</v>
      </c>
      <c r="L90" s="21">
        <f>EDATE(C90,参数设置!$B$14)</f>
        <v>46822</v>
      </c>
      <c r="M90">
        <f t="shared" si="7"/>
        <v>1</v>
      </c>
    </row>
    <row r="91" spans="1:13">
      <c r="A91">
        <v>8</v>
      </c>
      <c r="B91">
        <v>8</v>
      </c>
      <c r="C91" s="21">
        <f>EDATE(参数设置!$B$4,A91-1)</f>
        <v>46456</v>
      </c>
      <c r="D91" s="14">
        <f>IF(AND(A91&lt;=参数设置!$B$6,OR(INDEX(月度资金流!$B$7:$B$42,A91)="策略一：消费贷款+买基金",INDEX(月度资金流!$B$7:$B$42,A91)="策略二：新贷偿还旧贷")),参数设置!$B$5,0)</f>
        <v>23400</v>
      </c>
      <c r="E91">
        <v>4</v>
      </c>
      <c r="F91" s="21">
        <f t="shared" si="4"/>
        <v>46573</v>
      </c>
      <c r="G91" s="21">
        <f>IF(E91&lt;参数设置!$B$14,DATE(YEAR(EDATE(C91,E91+1)),MONTH(EDATE(C91,E91+1)),参数设置!$B$15),EDATE(C91,参数设置!$B$14))</f>
        <v>46604</v>
      </c>
      <c r="H91">
        <f t="shared" si="5"/>
        <v>31</v>
      </c>
      <c r="I91" s="14">
        <f>IF(E91=参数设置!$B$14,D91,0)</f>
        <v>0</v>
      </c>
      <c r="J91" s="14">
        <f>IF(M91=1,ROUND(D91*参数设置!$B$12*H91/参数设置!$B$13,参数设置!$B$16),0)</f>
        <v>66.5</v>
      </c>
      <c r="K91" s="14">
        <f t="shared" si="6"/>
        <v>66.5</v>
      </c>
      <c r="L91" s="21">
        <f>EDATE(C91,参数设置!$B$14)</f>
        <v>46822</v>
      </c>
      <c r="M91">
        <f t="shared" si="7"/>
        <v>1</v>
      </c>
    </row>
    <row r="92" spans="1:13">
      <c r="A92">
        <v>8</v>
      </c>
      <c r="B92">
        <v>8</v>
      </c>
      <c r="C92" s="21">
        <f>EDATE(参数设置!$B$4,A92-1)</f>
        <v>46456</v>
      </c>
      <c r="D92" s="14">
        <f>IF(AND(A92&lt;=参数设置!$B$6,OR(INDEX(月度资金流!$B$7:$B$42,A92)="策略一：消费贷款+买基金",INDEX(月度资金流!$B$7:$B$42,A92)="策略二：新贷偿还旧贷")),参数设置!$B$5,0)</f>
        <v>23400</v>
      </c>
      <c r="E92">
        <v>5</v>
      </c>
      <c r="F92" s="21">
        <f t="shared" si="4"/>
        <v>46604</v>
      </c>
      <c r="G92" s="21">
        <f>IF(E92&lt;参数设置!$B$14,DATE(YEAR(EDATE(C92,E92+1)),MONTH(EDATE(C92,E92+1)),参数设置!$B$15),EDATE(C92,参数设置!$B$14))</f>
        <v>46635</v>
      </c>
      <c r="H92">
        <f t="shared" si="5"/>
        <v>31</v>
      </c>
      <c r="I92" s="14">
        <f>IF(E92=参数设置!$B$14,D92,0)</f>
        <v>0</v>
      </c>
      <c r="J92" s="14">
        <f>IF(M92=1,ROUND(D92*参数设置!$B$12*H92/参数设置!$B$13,参数设置!$B$16),0)</f>
        <v>66.5</v>
      </c>
      <c r="K92" s="14">
        <f t="shared" si="6"/>
        <v>66.5</v>
      </c>
      <c r="L92" s="21">
        <f>EDATE(C92,参数设置!$B$14)</f>
        <v>46822</v>
      </c>
      <c r="M92">
        <f t="shared" si="7"/>
        <v>1</v>
      </c>
    </row>
    <row r="93" spans="1:13">
      <c r="A93">
        <v>8</v>
      </c>
      <c r="B93">
        <v>8</v>
      </c>
      <c r="C93" s="21">
        <f>EDATE(参数设置!$B$4,A93-1)</f>
        <v>46456</v>
      </c>
      <c r="D93" s="14">
        <f>IF(AND(A93&lt;=参数设置!$B$6,OR(INDEX(月度资金流!$B$7:$B$42,A93)="策略一：消费贷款+买基金",INDEX(月度资金流!$B$7:$B$42,A93)="策略二：新贷偿还旧贷")),参数设置!$B$5,0)</f>
        <v>23400</v>
      </c>
      <c r="E93">
        <v>6</v>
      </c>
      <c r="F93" s="21">
        <f t="shared" si="4"/>
        <v>46635</v>
      </c>
      <c r="G93" s="21">
        <f>IF(E93&lt;参数设置!$B$14,DATE(YEAR(EDATE(C93,E93+1)),MONTH(EDATE(C93,E93+1)),参数设置!$B$15),EDATE(C93,参数设置!$B$14))</f>
        <v>46665</v>
      </c>
      <c r="H93">
        <f t="shared" si="5"/>
        <v>30</v>
      </c>
      <c r="I93" s="14">
        <f>IF(E93=参数设置!$B$14,D93,0)</f>
        <v>0</v>
      </c>
      <c r="J93" s="14">
        <f>IF(M93=1,ROUND(D93*参数设置!$B$12*H93/参数设置!$B$13,参数设置!$B$16),0)</f>
        <v>64.349999999999994</v>
      </c>
      <c r="K93" s="14">
        <f t="shared" si="6"/>
        <v>64.349999999999994</v>
      </c>
      <c r="L93" s="21">
        <f>EDATE(C93,参数设置!$B$14)</f>
        <v>46822</v>
      </c>
      <c r="M93">
        <f t="shared" si="7"/>
        <v>1</v>
      </c>
    </row>
    <row r="94" spans="1:13">
      <c r="A94">
        <v>8</v>
      </c>
      <c r="B94">
        <v>8</v>
      </c>
      <c r="C94" s="21">
        <f>EDATE(参数设置!$B$4,A94-1)</f>
        <v>46456</v>
      </c>
      <c r="D94" s="14">
        <f>IF(AND(A94&lt;=参数设置!$B$6,OR(INDEX(月度资金流!$B$7:$B$42,A94)="策略一：消费贷款+买基金",INDEX(月度资金流!$B$7:$B$42,A94)="策略二：新贷偿还旧贷")),参数设置!$B$5,0)</f>
        <v>23400</v>
      </c>
      <c r="E94">
        <v>7</v>
      </c>
      <c r="F94" s="21">
        <f t="shared" si="4"/>
        <v>46665</v>
      </c>
      <c r="G94" s="21">
        <f>IF(E94&lt;参数设置!$B$14,DATE(YEAR(EDATE(C94,E94+1)),MONTH(EDATE(C94,E94+1)),参数设置!$B$15),EDATE(C94,参数设置!$B$14))</f>
        <v>46696</v>
      </c>
      <c r="H94">
        <f t="shared" si="5"/>
        <v>31</v>
      </c>
      <c r="I94" s="14">
        <f>IF(E94=参数设置!$B$14,D94,0)</f>
        <v>0</v>
      </c>
      <c r="J94" s="14">
        <f>IF(M94=1,ROUND(D94*参数设置!$B$12*H94/参数设置!$B$13,参数设置!$B$16),0)</f>
        <v>66.5</v>
      </c>
      <c r="K94" s="14">
        <f t="shared" si="6"/>
        <v>66.5</v>
      </c>
      <c r="L94" s="21">
        <f>EDATE(C94,参数设置!$B$14)</f>
        <v>46822</v>
      </c>
      <c r="M94">
        <f t="shared" si="7"/>
        <v>1</v>
      </c>
    </row>
    <row r="95" spans="1:13">
      <c r="A95">
        <v>8</v>
      </c>
      <c r="B95">
        <v>8</v>
      </c>
      <c r="C95" s="21">
        <f>EDATE(参数设置!$B$4,A95-1)</f>
        <v>46456</v>
      </c>
      <c r="D95" s="14">
        <f>IF(AND(A95&lt;=参数设置!$B$6,OR(INDEX(月度资金流!$B$7:$B$42,A95)="策略一：消费贷款+买基金",INDEX(月度资金流!$B$7:$B$42,A95)="策略二：新贷偿还旧贷")),参数设置!$B$5,0)</f>
        <v>23400</v>
      </c>
      <c r="E95">
        <v>8</v>
      </c>
      <c r="F95" s="21">
        <f t="shared" si="4"/>
        <v>46696</v>
      </c>
      <c r="G95" s="21">
        <f>IF(E95&lt;参数设置!$B$14,DATE(YEAR(EDATE(C95,E95+1)),MONTH(EDATE(C95,E95+1)),参数设置!$B$15),EDATE(C95,参数设置!$B$14))</f>
        <v>46726</v>
      </c>
      <c r="H95">
        <f t="shared" si="5"/>
        <v>30</v>
      </c>
      <c r="I95" s="14">
        <f>IF(E95=参数设置!$B$14,D95,0)</f>
        <v>0</v>
      </c>
      <c r="J95" s="14">
        <f>IF(M95=1,ROUND(D95*参数设置!$B$12*H95/参数设置!$B$13,参数设置!$B$16),0)</f>
        <v>64.349999999999994</v>
      </c>
      <c r="K95" s="14">
        <f t="shared" si="6"/>
        <v>64.349999999999994</v>
      </c>
      <c r="L95" s="21">
        <f>EDATE(C95,参数设置!$B$14)</f>
        <v>46822</v>
      </c>
      <c r="M95">
        <f t="shared" si="7"/>
        <v>1</v>
      </c>
    </row>
    <row r="96" spans="1:13">
      <c r="A96">
        <v>8</v>
      </c>
      <c r="B96">
        <v>8</v>
      </c>
      <c r="C96" s="21">
        <f>EDATE(参数设置!$B$4,A96-1)</f>
        <v>46456</v>
      </c>
      <c r="D96" s="14">
        <f>IF(AND(A96&lt;=参数设置!$B$6,OR(INDEX(月度资金流!$B$7:$B$42,A96)="策略一：消费贷款+买基金",INDEX(月度资金流!$B$7:$B$42,A96)="策略二：新贷偿还旧贷")),参数设置!$B$5,0)</f>
        <v>23400</v>
      </c>
      <c r="E96">
        <v>9</v>
      </c>
      <c r="F96" s="21">
        <f t="shared" si="4"/>
        <v>46726</v>
      </c>
      <c r="G96" s="21">
        <f>IF(E96&lt;参数设置!$B$14,DATE(YEAR(EDATE(C96,E96+1)),MONTH(EDATE(C96,E96+1)),参数设置!$B$15),EDATE(C96,参数设置!$B$14))</f>
        <v>46757</v>
      </c>
      <c r="H96">
        <f t="shared" si="5"/>
        <v>31</v>
      </c>
      <c r="I96" s="14">
        <f>IF(E96=参数设置!$B$14,D96,0)</f>
        <v>0</v>
      </c>
      <c r="J96" s="14">
        <f>IF(M96=1,ROUND(D96*参数设置!$B$12*H96/参数设置!$B$13,参数设置!$B$16),0)</f>
        <v>66.5</v>
      </c>
      <c r="K96" s="14">
        <f t="shared" si="6"/>
        <v>66.5</v>
      </c>
      <c r="L96" s="21">
        <f>EDATE(C96,参数设置!$B$14)</f>
        <v>46822</v>
      </c>
      <c r="M96">
        <f t="shared" si="7"/>
        <v>1</v>
      </c>
    </row>
    <row r="97" spans="1:13">
      <c r="A97">
        <v>8</v>
      </c>
      <c r="B97">
        <v>8</v>
      </c>
      <c r="C97" s="21">
        <f>EDATE(参数设置!$B$4,A97-1)</f>
        <v>46456</v>
      </c>
      <c r="D97" s="14">
        <f>IF(AND(A97&lt;=参数设置!$B$6,OR(INDEX(月度资金流!$B$7:$B$42,A97)="策略一：消费贷款+买基金",INDEX(月度资金流!$B$7:$B$42,A97)="策略二：新贷偿还旧贷")),参数设置!$B$5,0)</f>
        <v>23400</v>
      </c>
      <c r="E97">
        <v>10</v>
      </c>
      <c r="F97" s="21">
        <f t="shared" si="4"/>
        <v>46757</v>
      </c>
      <c r="G97" s="21">
        <f>IF(E97&lt;参数设置!$B$14,DATE(YEAR(EDATE(C97,E97+1)),MONTH(EDATE(C97,E97+1)),参数设置!$B$15),EDATE(C97,参数设置!$B$14))</f>
        <v>46788</v>
      </c>
      <c r="H97">
        <f t="shared" si="5"/>
        <v>31</v>
      </c>
      <c r="I97" s="14">
        <f>IF(E97=参数设置!$B$14,D97,0)</f>
        <v>0</v>
      </c>
      <c r="J97" s="14">
        <f>IF(M97=1,ROUND(D97*参数设置!$B$12*H97/参数设置!$B$13,参数设置!$B$16),0)</f>
        <v>66.5</v>
      </c>
      <c r="K97" s="14">
        <f t="shared" si="6"/>
        <v>66.5</v>
      </c>
      <c r="L97" s="21">
        <f>EDATE(C97,参数设置!$B$14)</f>
        <v>46822</v>
      </c>
      <c r="M97">
        <f t="shared" si="7"/>
        <v>1</v>
      </c>
    </row>
    <row r="98" spans="1:13">
      <c r="A98">
        <v>8</v>
      </c>
      <c r="B98">
        <v>8</v>
      </c>
      <c r="C98" s="21">
        <f>EDATE(参数设置!$B$4,A98-1)</f>
        <v>46456</v>
      </c>
      <c r="D98" s="14">
        <f>IF(AND(A98&lt;=参数设置!$B$6,OR(INDEX(月度资金流!$B$7:$B$42,A98)="策略一：消费贷款+买基金",INDEX(月度资金流!$B$7:$B$42,A98)="策略二：新贷偿还旧贷")),参数设置!$B$5,0)</f>
        <v>23400</v>
      </c>
      <c r="E98">
        <v>11</v>
      </c>
      <c r="F98" s="21">
        <f t="shared" si="4"/>
        <v>46788</v>
      </c>
      <c r="G98" s="21">
        <f>IF(E98&lt;参数设置!$B$14,DATE(YEAR(EDATE(C98,E98+1)),MONTH(EDATE(C98,E98+1)),参数设置!$B$15),EDATE(C98,参数设置!$B$14))</f>
        <v>46817</v>
      </c>
      <c r="H98">
        <f t="shared" si="5"/>
        <v>29</v>
      </c>
      <c r="I98" s="14">
        <f>IF(E98=参数设置!$B$14,D98,0)</f>
        <v>0</v>
      </c>
      <c r="J98" s="14">
        <f>IF(M98=1,ROUND(D98*参数设置!$B$12*H98/参数设置!$B$13,参数设置!$B$16),0)</f>
        <v>62.21</v>
      </c>
      <c r="K98" s="14">
        <f t="shared" si="6"/>
        <v>62.21</v>
      </c>
      <c r="L98" s="21">
        <f>EDATE(C98,参数设置!$B$14)</f>
        <v>46822</v>
      </c>
      <c r="M98">
        <f t="shared" si="7"/>
        <v>1</v>
      </c>
    </row>
    <row r="99" spans="1:13">
      <c r="A99">
        <v>8</v>
      </c>
      <c r="B99">
        <v>8</v>
      </c>
      <c r="C99" s="21">
        <f>EDATE(参数设置!$B$4,A99-1)</f>
        <v>46456</v>
      </c>
      <c r="D99" s="14">
        <f>IF(AND(A99&lt;=参数设置!$B$6,OR(INDEX(月度资金流!$B$7:$B$42,A99)="策略一：消费贷款+买基金",INDEX(月度资金流!$B$7:$B$42,A99)="策略二：新贷偿还旧贷")),参数设置!$B$5,0)</f>
        <v>23400</v>
      </c>
      <c r="E99">
        <v>12</v>
      </c>
      <c r="F99" s="21">
        <f t="shared" si="4"/>
        <v>46817</v>
      </c>
      <c r="G99" s="21">
        <f>IF(E99&lt;参数设置!$B$14,DATE(YEAR(EDATE(C99,E99+1)),MONTH(EDATE(C99,E99+1)),参数设置!$B$15),EDATE(C99,参数设置!$B$14))</f>
        <v>46822</v>
      </c>
      <c r="H99">
        <f t="shared" si="5"/>
        <v>5</v>
      </c>
      <c r="I99" s="14">
        <f>IF(E99=参数设置!$B$14,D99,0)</f>
        <v>23400</v>
      </c>
      <c r="J99" s="14">
        <f>IF(M99=1,ROUND(D99*参数设置!$B$12*H99/参数设置!$B$13,参数设置!$B$16),0)</f>
        <v>10.73</v>
      </c>
      <c r="K99" s="14">
        <f t="shared" si="6"/>
        <v>23410.73</v>
      </c>
      <c r="L99" s="21">
        <f>EDATE(C99,参数设置!$B$14)</f>
        <v>46822</v>
      </c>
      <c r="M99">
        <f t="shared" si="7"/>
        <v>1</v>
      </c>
    </row>
    <row r="100" spans="1:13">
      <c r="A100">
        <v>9</v>
      </c>
      <c r="B100">
        <v>9</v>
      </c>
      <c r="C100" s="21">
        <f>EDATE(参数设置!$B$4,A100-1)</f>
        <v>46487</v>
      </c>
      <c r="D100" s="14">
        <f>IF(AND(A100&lt;=参数设置!$B$6,OR(INDEX(月度资金流!$B$7:$B$42,A100)="策略一：消费贷款+买基金",INDEX(月度资金流!$B$7:$B$42,A100)="策略二：新贷偿还旧贷")),参数设置!$B$5,0)</f>
        <v>23400</v>
      </c>
      <c r="E100">
        <v>1</v>
      </c>
      <c r="F100" s="21">
        <f t="shared" si="4"/>
        <v>46487</v>
      </c>
      <c r="G100" s="21">
        <f>IF(E100&lt;参数设置!$B$14,DATE(YEAR(EDATE(C100,E100+1)),MONTH(EDATE(C100,E100+1)),参数设置!$B$15),EDATE(C100,参数设置!$B$14))</f>
        <v>46543</v>
      </c>
      <c r="H100">
        <f t="shared" si="5"/>
        <v>56</v>
      </c>
      <c r="I100" s="14">
        <f>IF(E100=参数设置!$B$14,D100,0)</f>
        <v>0</v>
      </c>
      <c r="J100" s="14">
        <f>IF(M100=1,ROUND(D100*参数设置!$B$12*H100/参数设置!$B$13,参数设置!$B$16),0)</f>
        <v>120.12</v>
      </c>
      <c r="K100" s="14">
        <f t="shared" si="6"/>
        <v>120.12</v>
      </c>
      <c r="L100" s="21">
        <f>EDATE(C100,参数设置!$B$14)</f>
        <v>46853</v>
      </c>
      <c r="M100">
        <f t="shared" si="7"/>
        <v>1</v>
      </c>
    </row>
    <row r="101" spans="1:13">
      <c r="A101">
        <v>9</v>
      </c>
      <c r="B101">
        <v>9</v>
      </c>
      <c r="C101" s="21">
        <f>EDATE(参数设置!$B$4,A101-1)</f>
        <v>46487</v>
      </c>
      <c r="D101" s="14">
        <f>IF(AND(A101&lt;=参数设置!$B$6,OR(INDEX(月度资金流!$B$7:$B$42,A101)="策略一：消费贷款+买基金",INDEX(月度资金流!$B$7:$B$42,A101)="策略二：新贷偿还旧贷")),参数设置!$B$5,0)</f>
        <v>23400</v>
      </c>
      <c r="E101">
        <v>2</v>
      </c>
      <c r="F101" s="21">
        <f t="shared" si="4"/>
        <v>46543</v>
      </c>
      <c r="G101" s="21">
        <f>IF(E101&lt;参数设置!$B$14,DATE(YEAR(EDATE(C101,E101+1)),MONTH(EDATE(C101,E101+1)),参数设置!$B$15),EDATE(C101,参数设置!$B$14))</f>
        <v>46573</v>
      </c>
      <c r="H101">
        <f t="shared" si="5"/>
        <v>30</v>
      </c>
      <c r="I101" s="14">
        <f>IF(E101=参数设置!$B$14,D101,0)</f>
        <v>0</v>
      </c>
      <c r="J101" s="14">
        <f>IF(M101=1,ROUND(D101*参数设置!$B$12*H101/参数设置!$B$13,参数设置!$B$16),0)</f>
        <v>64.349999999999994</v>
      </c>
      <c r="K101" s="14">
        <f t="shared" si="6"/>
        <v>64.349999999999994</v>
      </c>
      <c r="L101" s="21">
        <f>EDATE(C101,参数设置!$B$14)</f>
        <v>46853</v>
      </c>
      <c r="M101">
        <f t="shared" si="7"/>
        <v>1</v>
      </c>
    </row>
    <row r="102" spans="1:13">
      <c r="A102">
        <v>9</v>
      </c>
      <c r="B102">
        <v>9</v>
      </c>
      <c r="C102" s="21">
        <f>EDATE(参数设置!$B$4,A102-1)</f>
        <v>46487</v>
      </c>
      <c r="D102" s="14">
        <f>IF(AND(A102&lt;=参数设置!$B$6,OR(INDEX(月度资金流!$B$7:$B$42,A102)="策略一：消费贷款+买基金",INDEX(月度资金流!$B$7:$B$42,A102)="策略二：新贷偿还旧贷")),参数设置!$B$5,0)</f>
        <v>23400</v>
      </c>
      <c r="E102">
        <v>3</v>
      </c>
      <c r="F102" s="21">
        <f t="shared" si="4"/>
        <v>46573</v>
      </c>
      <c r="G102" s="21">
        <f>IF(E102&lt;参数设置!$B$14,DATE(YEAR(EDATE(C102,E102+1)),MONTH(EDATE(C102,E102+1)),参数设置!$B$15),EDATE(C102,参数设置!$B$14))</f>
        <v>46604</v>
      </c>
      <c r="H102">
        <f t="shared" si="5"/>
        <v>31</v>
      </c>
      <c r="I102" s="14">
        <f>IF(E102=参数设置!$B$14,D102,0)</f>
        <v>0</v>
      </c>
      <c r="J102" s="14">
        <f>IF(M102=1,ROUND(D102*参数设置!$B$12*H102/参数设置!$B$13,参数设置!$B$16),0)</f>
        <v>66.5</v>
      </c>
      <c r="K102" s="14">
        <f t="shared" si="6"/>
        <v>66.5</v>
      </c>
      <c r="L102" s="21">
        <f>EDATE(C102,参数设置!$B$14)</f>
        <v>46853</v>
      </c>
      <c r="M102">
        <f t="shared" si="7"/>
        <v>1</v>
      </c>
    </row>
    <row r="103" spans="1:13">
      <c r="A103">
        <v>9</v>
      </c>
      <c r="B103">
        <v>9</v>
      </c>
      <c r="C103" s="21">
        <f>EDATE(参数设置!$B$4,A103-1)</f>
        <v>46487</v>
      </c>
      <c r="D103" s="14">
        <f>IF(AND(A103&lt;=参数设置!$B$6,OR(INDEX(月度资金流!$B$7:$B$42,A103)="策略一：消费贷款+买基金",INDEX(月度资金流!$B$7:$B$42,A103)="策略二：新贷偿还旧贷")),参数设置!$B$5,0)</f>
        <v>23400</v>
      </c>
      <c r="E103">
        <v>4</v>
      </c>
      <c r="F103" s="21">
        <f t="shared" si="4"/>
        <v>46604</v>
      </c>
      <c r="G103" s="21">
        <f>IF(E103&lt;参数设置!$B$14,DATE(YEAR(EDATE(C103,E103+1)),MONTH(EDATE(C103,E103+1)),参数设置!$B$15),EDATE(C103,参数设置!$B$14))</f>
        <v>46635</v>
      </c>
      <c r="H103">
        <f t="shared" si="5"/>
        <v>31</v>
      </c>
      <c r="I103" s="14">
        <f>IF(E103=参数设置!$B$14,D103,0)</f>
        <v>0</v>
      </c>
      <c r="J103" s="14">
        <f>IF(M103=1,ROUND(D103*参数设置!$B$12*H103/参数设置!$B$13,参数设置!$B$16),0)</f>
        <v>66.5</v>
      </c>
      <c r="K103" s="14">
        <f t="shared" si="6"/>
        <v>66.5</v>
      </c>
      <c r="L103" s="21">
        <f>EDATE(C103,参数设置!$B$14)</f>
        <v>46853</v>
      </c>
      <c r="M103">
        <f t="shared" si="7"/>
        <v>1</v>
      </c>
    </row>
    <row r="104" spans="1:13">
      <c r="A104">
        <v>9</v>
      </c>
      <c r="B104">
        <v>9</v>
      </c>
      <c r="C104" s="21">
        <f>EDATE(参数设置!$B$4,A104-1)</f>
        <v>46487</v>
      </c>
      <c r="D104" s="14">
        <f>IF(AND(A104&lt;=参数设置!$B$6,OR(INDEX(月度资金流!$B$7:$B$42,A104)="策略一：消费贷款+买基金",INDEX(月度资金流!$B$7:$B$42,A104)="策略二：新贷偿还旧贷")),参数设置!$B$5,0)</f>
        <v>23400</v>
      </c>
      <c r="E104">
        <v>5</v>
      </c>
      <c r="F104" s="21">
        <f t="shared" si="4"/>
        <v>46635</v>
      </c>
      <c r="G104" s="21">
        <f>IF(E104&lt;参数设置!$B$14,DATE(YEAR(EDATE(C104,E104+1)),MONTH(EDATE(C104,E104+1)),参数设置!$B$15),EDATE(C104,参数设置!$B$14))</f>
        <v>46665</v>
      </c>
      <c r="H104">
        <f t="shared" si="5"/>
        <v>30</v>
      </c>
      <c r="I104" s="14">
        <f>IF(E104=参数设置!$B$14,D104,0)</f>
        <v>0</v>
      </c>
      <c r="J104" s="14">
        <f>IF(M104=1,ROUND(D104*参数设置!$B$12*H104/参数设置!$B$13,参数设置!$B$16),0)</f>
        <v>64.349999999999994</v>
      </c>
      <c r="K104" s="14">
        <f t="shared" si="6"/>
        <v>64.349999999999994</v>
      </c>
      <c r="L104" s="21">
        <f>EDATE(C104,参数设置!$B$14)</f>
        <v>46853</v>
      </c>
      <c r="M104">
        <f t="shared" si="7"/>
        <v>1</v>
      </c>
    </row>
    <row r="105" spans="1:13">
      <c r="A105">
        <v>9</v>
      </c>
      <c r="B105">
        <v>9</v>
      </c>
      <c r="C105" s="21">
        <f>EDATE(参数设置!$B$4,A105-1)</f>
        <v>46487</v>
      </c>
      <c r="D105" s="14">
        <f>IF(AND(A105&lt;=参数设置!$B$6,OR(INDEX(月度资金流!$B$7:$B$42,A105)="策略一：消费贷款+买基金",INDEX(月度资金流!$B$7:$B$42,A105)="策略二：新贷偿还旧贷")),参数设置!$B$5,0)</f>
        <v>23400</v>
      </c>
      <c r="E105">
        <v>6</v>
      </c>
      <c r="F105" s="21">
        <f t="shared" si="4"/>
        <v>46665</v>
      </c>
      <c r="G105" s="21">
        <f>IF(E105&lt;参数设置!$B$14,DATE(YEAR(EDATE(C105,E105+1)),MONTH(EDATE(C105,E105+1)),参数设置!$B$15),EDATE(C105,参数设置!$B$14))</f>
        <v>46696</v>
      </c>
      <c r="H105">
        <f t="shared" si="5"/>
        <v>31</v>
      </c>
      <c r="I105" s="14">
        <f>IF(E105=参数设置!$B$14,D105,0)</f>
        <v>0</v>
      </c>
      <c r="J105" s="14">
        <f>IF(M105=1,ROUND(D105*参数设置!$B$12*H105/参数设置!$B$13,参数设置!$B$16),0)</f>
        <v>66.5</v>
      </c>
      <c r="K105" s="14">
        <f t="shared" si="6"/>
        <v>66.5</v>
      </c>
      <c r="L105" s="21">
        <f>EDATE(C105,参数设置!$B$14)</f>
        <v>46853</v>
      </c>
      <c r="M105">
        <f t="shared" si="7"/>
        <v>1</v>
      </c>
    </row>
    <row r="106" spans="1:13">
      <c r="A106">
        <v>9</v>
      </c>
      <c r="B106">
        <v>9</v>
      </c>
      <c r="C106" s="21">
        <f>EDATE(参数设置!$B$4,A106-1)</f>
        <v>46487</v>
      </c>
      <c r="D106" s="14">
        <f>IF(AND(A106&lt;=参数设置!$B$6,OR(INDEX(月度资金流!$B$7:$B$42,A106)="策略一：消费贷款+买基金",INDEX(月度资金流!$B$7:$B$42,A106)="策略二：新贷偿还旧贷")),参数设置!$B$5,0)</f>
        <v>23400</v>
      </c>
      <c r="E106">
        <v>7</v>
      </c>
      <c r="F106" s="21">
        <f t="shared" si="4"/>
        <v>46696</v>
      </c>
      <c r="G106" s="21">
        <f>IF(E106&lt;参数设置!$B$14,DATE(YEAR(EDATE(C106,E106+1)),MONTH(EDATE(C106,E106+1)),参数设置!$B$15),EDATE(C106,参数设置!$B$14))</f>
        <v>46726</v>
      </c>
      <c r="H106">
        <f t="shared" si="5"/>
        <v>30</v>
      </c>
      <c r="I106" s="14">
        <f>IF(E106=参数设置!$B$14,D106,0)</f>
        <v>0</v>
      </c>
      <c r="J106" s="14">
        <f>IF(M106=1,ROUND(D106*参数设置!$B$12*H106/参数设置!$B$13,参数设置!$B$16),0)</f>
        <v>64.349999999999994</v>
      </c>
      <c r="K106" s="14">
        <f t="shared" si="6"/>
        <v>64.349999999999994</v>
      </c>
      <c r="L106" s="21">
        <f>EDATE(C106,参数设置!$B$14)</f>
        <v>46853</v>
      </c>
      <c r="M106">
        <f t="shared" si="7"/>
        <v>1</v>
      </c>
    </row>
    <row r="107" spans="1:13">
      <c r="A107">
        <v>9</v>
      </c>
      <c r="B107">
        <v>9</v>
      </c>
      <c r="C107" s="21">
        <f>EDATE(参数设置!$B$4,A107-1)</f>
        <v>46487</v>
      </c>
      <c r="D107" s="14">
        <f>IF(AND(A107&lt;=参数设置!$B$6,OR(INDEX(月度资金流!$B$7:$B$42,A107)="策略一：消费贷款+买基金",INDEX(月度资金流!$B$7:$B$42,A107)="策略二：新贷偿还旧贷")),参数设置!$B$5,0)</f>
        <v>23400</v>
      </c>
      <c r="E107">
        <v>8</v>
      </c>
      <c r="F107" s="21">
        <f t="shared" si="4"/>
        <v>46726</v>
      </c>
      <c r="G107" s="21">
        <f>IF(E107&lt;参数设置!$B$14,DATE(YEAR(EDATE(C107,E107+1)),MONTH(EDATE(C107,E107+1)),参数设置!$B$15),EDATE(C107,参数设置!$B$14))</f>
        <v>46757</v>
      </c>
      <c r="H107">
        <f t="shared" si="5"/>
        <v>31</v>
      </c>
      <c r="I107" s="14">
        <f>IF(E107=参数设置!$B$14,D107,0)</f>
        <v>0</v>
      </c>
      <c r="J107" s="14">
        <f>IF(M107=1,ROUND(D107*参数设置!$B$12*H107/参数设置!$B$13,参数设置!$B$16),0)</f>
        <v>66.5</v>
      </c>
      <c r="K107" s="14">
        <f t="shared" si="6"/>
        <v>66.5</v>
      </c>
      <c r="L107" s="21">
        <f>EDATE(C107,参数设置!$B$14)</f>
        <v>46853</v>
      </c>
      <c r="M107">
        <f t="shared" si="7"/>
        <v>1</v>
      </c>
    </row>
    <row r="108" spans="1:13">
      <c r="A108">
        <v>9</v>
      </c>
      <c r="B108">
        <v>9</v>
      </c>
      <c r="C108" s="21">
        <f>EDATE(参数设置!$B$4,A108-1)</f>
        <v>46487</v>
      </c>
      <c r="D108" s="14">
        <f>IF(AND(A108&lt;=参数设置!$B$6,OR(INDEX(月度资金流!$B$7:$B$42,A108)="策略一：消费贷款+买基金",INDEX(月度资金流!$B$7:$B$42,A108)="策略二：新贷偿还旧贷")),参数设置!$B$5,0)</f>
        <v>23400</v>
      </c>
      <c r="E108">
        <v>9</v>
      </c>
      <c r="F108" s="21">
        <f t="shared" si="4"/>
        <v>46757</v>
      </c>
      <c r="G108" s="21">
        <f>IF(E108&lt;参数设置!$B$14,DATE(YEAR(EDATE(C108,E108+1)),MONTH(EDATE(C108,E108+1)),参数设置!$B$15),EDATE(C108,参数设置!$B$14))</f>
        <v>46788</v>
      </c>
      <c r="H108">
        <f t="shared" si="5"/>
        <v>31</v>
      </c>
      <c r="I108" s="14">
        <f>IF(E108=参数设置!$B$14,D108,0)</f>
        <v>0</v>
      </c>
      <c r="J108" s="14">
        <f>IF(M108=1,ROUND(D108*参数设置!$B$12*H108/参数设置!$B$13,参数设置!$B$16),0)</f>
        <v>66.5</v>
      </c>
      <c r="K108" s="14">
        <f t="shared" si="6"/>
        <v>66.5</v>
      </c>
      <c r="L108" s="21">
        <f>EDATE(C108,参数设置!$B$14)</f>
        <v>46853</v>
      </c>
      <c r="M108">
        <f t="shared" si="7"/>
        <v>1</v>
      </c>
    </row>
    <row r="109" spans="1:13">
      <c r="A109">
        <v>9</v>
      </c>
      <c r="B109">
        <v>9</v>
      </c>
      <c r="C109" s="21">
        <f>EDATE(参数设置!$B$4,A109-1)</f>
        <v>46487</v>
      </c>
      <c r="D109" s="14">
        <f>IF(AND(A109&lt;=参数设置!$B$6,OR(INDEX(月度资金流!$B$7:$B$42,A109)="策略一：消费贷款+买基金",INDEX(月度资金流!$B$7:$B$42,A109)="策略二：新贷偿还旧贷")),参数设置!$B$5,0)</f>
        <v>23400</v>
      </c>
      <c r="E109">
        <v>10</v>
      </c>
      <c r="F109" s="21">
        <f t="shared" si="4"/>
        <v>46788</v>
      </c>
      <c r="G109" s="21">
        <f>IF(E109&lt;参数设置!$B$14,DATE(YEAR(EDATE(C109,E109+1)),MONTH(EDATE(C109,E109+1)),参数设置!$B$15),EDATE(C109,参数设置!$B$14))</f>
        <v>46817</v>
      </c>
      <c r="H109">
        <f t="shared" si="5"/>
        <v>29</v>
      </c>
      <c r="I109" s="14">
        <f>IF(E109=参数设置!$B$14,D109,0)</f>
        <v>0</v>
      </c>
      <c r="J109" s="14">
        <f>IF(M109=1,ROUND(D109*参数设置!$B$12*H109/参数设置!$B$13,参数设置!$B$16),0)</f>
        <v>62.21</v>
      </c>
      <c r="K109" s="14">
        <f t="shared" si="6"/>
        <v>62.21</v>
      </c>
      <c r="L109" s="21">
        <f>EDATE(C109,参数设置!$B$14)</f>
        <v>46853</v>
      </c>
      <c r="M109">
        <f t="shared" si="7"/>
        <v>1</v>
      </c>
    </row>
    <row r="110" spans="1:13">
      <c r="A110">
        <v>9</v>
      </c>
      <c r="B110">
        <v>9</v>
      </c>
      <c r="C110" s="21">
        <f>EDATE(参数设置!$B$4,A110-1)</f>
        <v>46487</v>
      </c>
      <c r="D110" s="14">
        <f>IF(AND(A110&lt;=参数设置!$B$6,OR(INDEX(月度资金流!$B$7:$B$42,A110)="策略一：消费贷款+买基金",INDEX(月度资金流!$B$7:$B$42,A110)="策略二：新贷偿还旧贷")),参数设置!$B$5,0)</f>
        <v>23400</v>
      </c>
      <c r="E110">
        <v>11</v>
      </c>
      <c r="F110" s="21">
        <f t="shared" si="4"/>
        <v>46817</v>
      </c>
      <c r="G110" s="21">
        <f>IF(E110&lt;参数设置!$B$14,DATE(YEAR(EDATE(C110,E110+1)),MONTH(EDATE(C110,E110+1)),参数设置!$B$15),EDATE(C110,参数设置!$B$14))</f>
        <v>46848</v>
      </c>
      <c r="H110">
        <f t="shared" si="5"/>
        <v>31</v>
      </c>
      <c r="I110" s="14">
        <f>IF(E110=参数设置!$B$14,D110,0)</f>
        <v>0</v>
      </c>
      <c r="J110" s="14">
        <f>IF(M110=1,ROUND(D110*参数设置!$B$12*H110/参数设置!$B$13,参数设置!$B$16),0)</f>
        <v>66.5</v>
      </c>
      <c r="K110" s="14">
        <f t="shared" si="6"/>
        <v>66.5</v>
      </c>
      <c r="L110" s="21">
        <f>EDATE(C110,参数设置!$B$14)</f>
        <v>46853</v>
      </c>
      <c r="M110">
        <f t="shared" si="7"/>
        <v>1</v>
      </c>
    </row>
    <row r="111" spans="1:13">
      <c r="A111">
        <v>9</v>
      </c>
      <c r="B111">
        <v>9</v>
      </c>
      <c r="C111" s="21">
        <f>EDATE(参数设置!$B$4,A111-1)</f>
        <v>46487</v>
      </c>
      <c r="D111" s="14">
        <f>IF(AND(A111&lt;=参数设置!$B$6,OR(INDEX(月度资金流!$B$7:$B$42,A111)="策略一：消费贷款+买基金",INDEX(月度资金流!$B$7:$B$42,A111)="策略二：新贷偿还旧贷")),参数设置!$B$5,0)</f>
        <v>23400</v>
      </c>
      <c r="E111">
        <v>12</v>
      </c>
      <c r="F111" s="21">
        <f t="shared" si="4"/>
        <v>46848</v>
      </c>
      <c r="G111" s="21">
        <f>IF(E111&lt;参数设置!$B$14,DATE(YEAR(EDATE(C111,E111+1)),MONTH(EDATE(C111,E111+1)),参数设置!$B$15),EDATE(C111,参数设置!$B$14))</f>
        <v>46853</v>
      </c>
      <c r="H111">
        <f t="shared" si="5"/>
        <v>5</v>
      </c>
      <c r="I111" s="14">
        <f>IF(E111=参数设置!$B$14,D111,0)</f>
        <v>23400</v>
      </c>
      <c r="J111" s="14">
        <f>IF(M111=1,ROUND(D111*参数设置!$B$12*H111/参数设置!$B$13,参数设置!$B$16),0)</f>
        <v>10.73</v>
      </c>
      <c r="K111" s="14">
        <f t="shared" si="6"/>
        <v>23410.73</v>
      </c>
      <c r="L111" s="21">
        <f>EDATE(C111,参数设置!$B$14)</f>
        <v>46853</v>
      </c>
      <c r="M111">
        <f t="shared" si="7"/>
        <v>1</v>
      </c>
    </row>
    <row r="112" spans="1:13">
      <c r="A112">
        <v>10</v>
      </c>
      <c r="B112">
        <v>10</v>
      </c>
      <c r="C112" s="21">
        <f>EDATE(参数设置!$B$4,A112-1)</f>
        <v>46517</v>
      </c>
      <c r="D112" s="14">
        <f>IF(AND(A112&lt;=参数设置!$B$6,OR(INDEX(月度资金流!$B$7:$B$42,A112)="策略一：消费贷款+买基金",INDEX(月度资金流!$B$7:$B$42,A112)="策略二：新贷偿还旧贷")),参数设置!$B$5,0)</f>
        <v>23400</v>
      </c>
      <c r="E112">
        <v>1</v>
      </c>
      <c r="F112" s="21">
        <f t="shared" si="4"/>
        <v>46517</v>
      </c>
      <c r="G112" s="21">
        <f>IF(E112&lt;参数设置!$B$14,DATE(YEAR(EDATE(C112,E112+1)),MONTH(EDATE(C112,E112+1)),参数设置!$B$15),EDATE(C112,参数设置!$B$14))</f>
        <v>46573</v>
      </c>
      <c r="H112">
        <f t="shared" si="5"/>
        <v>56</v>
      </c>
      <c r="I112" s="14">
        <f>IF(E112=参数设置!$B$14,D112,0)</f>
        <v>0</v>
      </c>
      <c r="J112" s="14">
        <f>IF(M112=1,ROUND(D112*参数设置!$B$12*H112/参数设置!$B$13,参数设置!$B$16),0)</f>
        <v>120.12</v>
      </c>
      <c r="K112" s="14">
        <f t="shared" si="6"/>
        <v>120.12</v>
      </c>
      <c r="L112" s="21">
        <f>EDATE(C112,参数设置!$B$14)</f>
        <v>46883</v>
      </c>
      <c r="M112">
        <f t="shared" si="7"/>
        <v>1</v>
      </c>
    </row>
    <row r="113" spans="1:13">
      <c r="A113">
        <v>10</v>
      </c>
      <c r="B113">
        <v>10</v>
      </c>
      <c r="C113" s="21">
        <f>EDATE(参数设置!$B$4,A113-1)</f>
        <v>46517</v>
      </c>
      <c r="D113" s="14">
        <f>IF(AND(A113&lt;=参数设置!$B$6,OR(INDEX(月度资金流!$B$7:$B$42,A113)="策略一：消费贷款+买基金",INDEX(月度资金流!$B$7:$B$42,A113)="策略二：新贷偿还旧贷")),参数设置!$B$5,0)</f>
        <v>23400</v>
      </c>
      <c r="E113">
        <v>2</v>
      </c>
      <c r="F113" s="21">
        <f t="shared" si="4"/>
        <v>46573</v>
      </c>
      <c r="G113" s="21">
        <f>IF(E113&lt;参数设置!$B$14,DATE(YEAR(EDATE(C113,E113+1)),MONTH(EDATE(C113,E113+1)),参数设置!$B$15),EDATE(C113,参数设置!$B$14))</f>
        <v>46604</v>
      </c>
      <c r="H113">
        <f t="shared" si="5"/>
        <v>31</v>
      </c>
      <c r="I113" s="14">
        <f>IF(E113=参数设置!$B$14,D113,0)</f>
        <v>0</v>
      </c>
      <c r="J113" s="14">
        <f>IF(M113=1,ROUND(D113*参数设置!$B$12*H113/参数设置!$B$13,参数设置!$B$16),0)</f>
        <v>66.5</v>
      </c>
      <c r="K113" s="14">
        <f t="shared" si="6"/>
        <v>66.5</v>
      </c>
      <c r="L113" s="21">
        <f>EDATE(C113,参数设置!$B$14)</f>
        <v>46883</v>
      </c>
      <c r="M113">
        <f t="shared" si="7"/>
        <v>1</v>
      </c>
    </row>
    <row r="114" spans="1:13">
      <c r="A114">
        <v>10</v>
      </c>
      <c r="B114">
        <v>10</v>
      </c>
      <c r="C114" s="21">
        <f>EDATE(参数设置!$B$4,A114-1)</f>
        <v>46517</v>
      </c>
      <c r="D114" s="14">
        <f>IF(AND(A114&lt;=参数设置!$B$6,OR(INDEX(月度资金流!$B$7:$B$42,A114)="策略一：消费贷款+买基金",INDEX(月度资金流!$B$7:$B$42,A114)="策略二：新贷偿还旧贷")),参数设置!$B$5,0)</f>
        <v>23400</v>
      </c>
      <c r="E114">
        <v>3</v>
      </c>
      <c r="F114" s="21">
        <f t="shared" si="4"/>
        <v>46604</v>
      </c>
      <c r="G114" s="21">
        <f>IF(E114&lt;参数设置!$B$14,DATE(YEAR(EDATE(C114,E114+1)),MONTH(EDATE(C114,E114+1)),参数设置!$B$15),EDATE(C114,参数设置!$B$14))</f>
        <v>46635</v>
      </c>
      <c r="H114">
        <f t="shared" si="5"/>
        <v>31</v>
      </c>
      <c r="I114" s="14">
        <f>IF(E114=参数设置!$B$14,D114,0)</f>
        <v>0</v>
      </c>
      <c r="J114" s="14">
        <f>IF(M114=1,ROUND(D114*参数设置!$B$12*H114/参数设置!$B$13,参数设置!$B$16),0)</f>
        <v>66.5</v>
      </c>
      <c r="K114" s="14">
        <f t="shared" si="6"/>
        <v>66.5</v>
      </c>
      <c r="L114" s="21">
        <f>EDATE(C114,参数设置!$B$14)</f>
        <v>46883</v>
      </c>
      <c r="M114">
        <f t="shared" si="7"/>
        <v>1</v>
      </c>
    </row>
    <row r="115" spans="1:13">
      <c r="A115">
        <v>10</v>
      </c>
      <c r="B115">
        <v>10</v>
      </c>
      <c r="C115" s="21">
        <f>EDATE(参数设置!$B$4,A115-1)</f>
        <v>46517</v>
      </c>
      <c r="D115" s="14">
        <f>IF(AND(A115&lt;=参数设置!$B$6,OR(INDEX(月度资金流!$B$7:$B$42,A115)="策略一：消费贷款+买基金",INDEX(月度资金流!$B$7:$B$42,A115)="策略二：新贷偿还旧贷")),参数设置!$B$5,0)</f>
        <v>23400</v>
      </c>
      <c r="E115">
        <v>4</v>
      </c>
      <c r="F115" s="21">
        <f t="shared" si="4"/>
        <v>46635</v>
      </c>
      <c r="G115" s="21">
        <f>IF(E115&lt;参数设置!$B$14,DATE(YEAR(EDATE(C115,E115+1)),MONTH(EDATE(C115,E115+1)),参数设置!$B$15),EDATE(C115,参数设置!$B$14))</f>
        <v>46665</v>
      </c>
      <c r="H115">
        <f t="shared" si="5"/>
        <v>30</v>
      </c>
      <c r="I115" s="14">
        <f>IF(E115=参数设置!$B$14,D115,0)</f>
        <v>0</v>
      </c>
      <c r="J115" s="14">
        <f>IF(M115=1,ROUND(D115*参数设置!$B$12*H115/参数设置!$B$13,参数设置!$B$16),0)</f>
        <v>64.349999999999994</v>
      </c>
      <c r="K115" s="14">
        <f t="shared" si="6"/>
        <v>64.349999999999994</v>
      </c>
      <c r="L115" s="21">
        <f>EDATE(C115,参数设置!$B$14)</f>
        <v>46883</v>
      </c>
      <c r="M115">
        <f t="shared" si="7"/>
        <v>1</v>
      </c>
    </row>
    <row r="116" spans="1:13">
      <c r="A116">
        <v>10</v>
      </c>
      <c r="B116">
        <v>10</v>
      </c>
      <c r="C116" s="21">
        <f>EDATE(参数设置!$B$4,A116-1)</f>
        <v>46517</v>
      </c>
      <c r="D116" s="14">
        <f>IF(AND(A116&lt;=参数设置!$B$6,OR(INDEX(月度资金流!$B$7:$B$42,A116)="策略一：消费贷款+买基金",INDEX(月度资金流!$B$7:$B$42,A116)="策略二：新贷偿还旧贷")),参数设置!$B$5,0)</f>
        <v>23400</v>
      </c>
      <c r="E116">
        <v>5</v>
      </c>
      <c r="F116" s="21">
        <f t="shared" si="4"/>
        <v>46665</v>
      </c>
      <c r="G116" s="21">
        <f>IF(E116&lt;参数设置!$B$14,DATE(YEAR(EDATE(C116,E116+1)),MONTH(EDATE(C116,E116+1)),参数设置!$B$15),EDATE(C116,参数设置!$B$14))</f>
        <v>46696</v>
      </c>
      <c r="H116">
        <f t="shared" si="5"/>
        <v>31</v>
      </c>
      <c r="I116" s="14">
        <f>IF(E116=参数设置!$B$14,D116,0)</f>
        <v>0</v>
      </c>
      <c r="J116" s="14">
        <f>IF(M116=1,ROUND(D116*参数设置!$B$12*H116/参数设置!$B$13,参数设置!$B$16),0)</f>
        <v>66.5</v>
      </c>
      <c r="K116" s="14">
        <f t="shared" si="6"/>
        <v>66.5</v>
      </c>
      <c r="L116" s="21">
        <f>EDATE(C116,参数设置!$B$14)</f>
        <v>46883</v>
      </c>
      <c r="M116">
        <f t="shared" si="7"/>
        <v>1</v>
      </c>
    </row>
    <row r="117" spans="1:13">
      <c r="A117">
        <v>10</v>
      </c>
      <c r="B117">
        <v>10</v>
      </c>
      <c r="C117" s="21">
        <f>EDATE(参数设置!$B$4,A117-1)</f>
        <v>46517</v>
      </c>
      <c r="D117" s="14">
        <f>IF(AND(A117&lt;=参数设置!$B$6,OR(INDEX(月度资金流!$B$7:$B$42,A117)="策略一：消费贷款+买基金",INDEX(月度资金流!$B$7:$B$42,A117)="策略二：新贷偿还旧贷")),参数设置!$B$5,0)</f>
        <v>23400</v>
      </c>
      <c r="E117">
        <v>6</v>
      </c>
      <c r="F117" s="21">
        <f t="shared" si="4"/>
        <v>46696</v>
      </c>
      <c r="G117" s="21">
        <f>IF(E117&lt;参数设置!$B$14,DATE(YEAR(EDATE(C117,E117+1)),MONTH(EDATE(C117,E117+1)),参数设置!$B$15),EDATE(C117,参数设置!$B$14))</f>
        <v>46726</v>
      </c>
      <c r="H117">
        <f t="shared" si="5"/>
        <v>30</v>
      </c>
      <c r="I117" s="14">
        <f>IF(E117=参数设置!$B$14,D117,0)</f>
        <v>0</v>
      </c>
      <c r="J117" s="14">
        <f>IF(M117=1,ROUND(D117*参数设置!$B$12*H117/参数设置!$B$13,参数设置!$B$16),0)</f>
        <v>64.349999999999994</v>
      </c>
      <c r="K117" s="14">
        <f t="shared" si="6"/>
        <v>64.349999999999994</v>
      </c>
      <c r="L117" s="21">
        <f>EDATE(C117,参数设置!$B$14)</f>
        <v>46883</v>
      </c>
      <c r="M117">
        <f t="shared" si="7"/>
        <v>1</v>
      </c>
    </row>
    <row r="118" spans="1:13">
      <c r="A118">
        <v>10</v>
      </c>
      <c r="B118">
        <v>10</v>
      </c>
      <c r="C118" s="21">
        <f>EDATE(参数设置!$B$4,A118-1)</f>
        <v>46517</v>
      </c>
      <c r="D118" s="14">
        <f>IF(AND(A118&lt;=参数设置!$B$6,OR(INDEX(月度资金流!$B$7:$B$42,A118)="策略一：消费贷款+买基金",INDEX(月度资金流!$B$7:$B$42,A118)="策略二：新贷偿还旧贷")),参数设置!$B$5,0)</f>
        <v>23400</v>
      </c>
      <c r="E118">
        <v>7</v>
      </c>
      <c r="F118" s="21">
        <f t="shared" si="4"/>
        <v>46726</v>
      </c>
      <c r="G118" s="21">
        <f>IF(E118&lt;参数设置!$B$14,DATE(YEAR(EDATE(C118,E118+1)),MONTH(EDATE(C118,E118+1)),参数设置!$B$15),EDATE(C118,参数设置!$B$14))</f>
        <v>46757</v>
      </c>
      <c r="H118">
        <f t="shared" si="5"/>
        <v>31</v>
      </c>
      <c r="I118" s="14">
        <f>IF(E118=参数设置!$B$14,D118,0)</f>
        <v>0</v>
      </c>
      <c r="J118" s="14">
        <f>IF(M118=1,ROUND(D118*参数设置!$B$12*H118/参数设置!$B$13,参数设置!$B$16),0)</f>
        <v>66.5</v>
      </c>
      <c r="K118" s="14">
        <f t="shared" si="6"/>
        <v>66.5</v>
      </c>
      <c r="L118" s="21">
        <f>EDATE(C118,参数设置!$B$14)</f>
        <v>46883</v>
      </c>
      <c r="M118">
        <f t="shared" si="7"/>
        <v>1</v>
      </c>
    </row>
    <row r="119" spans="1:13">
      <c r="A119">
        <v>10</v>
      </c>
      <c r="B119">
        <v>10</v>
      </c>
      <c r="C119" s="21">
        <f>EDATE(参数设置!$B$4,A119-1)</f>
        <v>46517</v>
      </c>
      <c r="D119" s="14">
        <f>IF(AND(A119&lt;=参数设置!$B$6,OR(INDEX(月度资金流!$B$7:$B$42,A119)="策略一：消费贷款+买基金",INDEX(月度资金流!$B$7:$B$42,A119)="策略二：新贷偿还旧贷")),参数设置!$B$5,0)</f>
        <v>23400</v>
      </c>
      <c r="E119">
        <v>8</v>
      </c>
      <c r="F119" s="21">
        <f t="shared" si="4"/>
        <v>46757</v>
      </c>
      <c r="G119" s="21">
        <f>IF(E119&lt;参数设置!$B$14,DATE(YEAR(EDATE(C119,E119+1)),MONTH(EDATE(C119,E119+1)),参数设置!$B$15),EDATE(C119,参数设置!$B$14))</f>
        <v>46788</v>
      </c>
      <c r="H119">
        <f t="shared" si="5"/>
        <v>31</v>
      </c>
      <c r="I119" s="14">
        <f>IF(E119=参数设置!$B$14,D119,0)</f>
        <v>0</v>
      </c>
      <c r="J119" s="14">
        <f>IF(M119=1,ROUND(D119*参数设置!$B$12*H119/参数设置!$B$13,参数设置!$B$16),0)</f>
        <v>66.5</v>
      </c>
      <c r="K119" s="14">
        <f t="shared" si="6"/>
        <v>66.5</v>
      </c>
      <c r="L119" s="21">
        <f>EDATE(C119,参数设置!$B$14)</f>
        <v>46883</v>
      </c>
      <c r="M119">
        <f t="shared" si="7"/>
        <v>1</v>
      </c>
    </row>
    <row r="120" spans="1:13">
      <c r="A120">
        <v>10</v>
      </c>
      <c r="B120">
        <v>10</v>
      </c>
      <c r="C120" s="21">
        <f>EDATE(参数设置!$B$4,A120-1)</f>
        <v>46517</v>
      </c>
      <c r="D120" s="14">
        <f>IF(AND(A120&lt;=参数设置!$B$6,OR(INDEX(月度资金流!$B$7:$B$42,A120)="策略一：消费贷款+买基金",INDEX(月度资金流!$B$7:$B$42,A120)="策略二：新贷偿还旧贷")),参数设置!$B$5,0)</f>
        <v>23400</v>
      </c>
      <c r="E120">
        <v>9</v>
      </c>
      <c r="F120" s="21">
        <f t="shared" si="4"/>
        <v>46788</v>
      </c>
      <c r="G120" s="21">
        <f>IF(E120&lt;参数设置!$B$14,DATE(YEAR(EDATE(C120,E120+1)),MONTH(EDATE(C120,E120+1)),参数设置!$B$15),EDATE(C120,参数设置!$B$14))</f>
        <v>46817</v>
      </c>
      <c r="H120">
        <f t="shared" si="5"/>
        <v>29</v>
      </c>
      <c r="I120" s="14">
        <f>IF(E120=参数设置!$B$14,D120,0)</f>
        <v>0</v>
      </c>
      <c r="J120" s="14">
        <f>IF(M120=1,ROUND(D120*参数设置!$B$12*H120/参数设置!$B$13,参数设置!$B$16),0)</f>
        <v>62.21</v>
      </c>
      <c r="K120" s="14">
        <f t="shared" si="6"/>
        <v>62.21</v>
      </c>
      <c r="L120" s="21">
        <f>EDATE(C120,参数设置!$B$14)</f>
        <v>46883</v>
      </c>
      <c r="M120">
        <f t="shared" si="7"/>
        <v>1</v>
      </c>
    </row>
    <row r="121" spans="1:13">
      <c r="A121">
        <v>10</v>
      </c>
      <c r="B121">
        <v>10</v>
      </c>
      <c r="C121" s="21">
        <f>EDATE(参数设置!$B$4,A121-1)</f>
        <v>46517</v>
      </c>
      <c r="D121" s="14">
        <f>IF(AND(A121&lt;=参数设置!$B$6,OR(INDEX(月度资金流!$B$7:$B$42,A121)="策略一：消费贷款+买基金",INDEX(月度资金流!$B$7:$B$42,A121)="策略二：新贷偿还旧贷")),参数设置!$B$5,0)</f>
        <v>23400</v>
      </c>
      <c r="E121">
        <v>10</v>
      </c>
      <c r="F121" s="21">
        <f t="shared" si="4"/>
        <v>46817</v>
      </c>
      <c r="G121" s="21">
        <f>IF(E121&lt;参数设置!$B$14,DATE(YEAR(EDATE(C121,E121+1)),MONTH(EDATE(C121,E121+1)),参数设置!$B$15),EDATE(C121,参数设置!$B$14))</f>
        <v>46848</v>
      </c>
      <c r="H121">
        <f t="shared" si="5"/>
        <v>31</v>
      </c>
      <c r="I121" s="14">
        <f>IF(E121=参数设置!$B$14,D121,0)</f>
        <v>0</v>
      </c>
      <c r="J121" s="14">
        <f>IF(M121=1,ROUND(D121*参数设置!$B$12*H121/参数设置!$B$13,参数设置!$B$16),0)</f>
        <v>66.5</v>
      </c>
      <c r="K121" s="14">
        <f t="shared" si="6"/>
        <v>66.5</v>
      </c>
      <c r="L121" s="21">
        <f>EDATE(C121,参数设置!$B$14)</f>
        <v>46883</v>
      </c>
      <c r="M121">
        <f t="shared" si="7"/>
        <v>1</v>
      </c>
    </row>
    <row r="122" spans="1:13">
      <c r="A122">
        <v>10</v>
      </c>
      <c r="B122">
        <v>10</v>
      </c>
      <c r="C122" s="21">
        <f>EDATE(参数设置!$B$4,A122-1)</f>
        <v>46517</v>
      </c>
      <c r="D122" s="14">
        <f>IF(AND(A122&lt;=参数设置!$B$6,OR(INDEX(月度资金流!$B$7:$B$42,A122)="策略一：消费贷款+买基金",INDEX(月度资金流!$B$7:$B$42,A122)="策略二：新贷偿还旧贷")),参数设置!$B$5,0)</f>
        <v>23400</v>
      </c>
      <c r="E122">
        <v>11</v>
      </c>
      <c r="F122" s="21">
        <f t="shared" si="4"/>
        <v>46848</v>
      </c>
      <c r="G122" s="21">
        <f>IF(E122&lt;参数设置!$B$14,DATE(YEAR(EDATE(C122,E122+1)),MONTH(EDATE(C122,E122+1)),参数设置!$B$15),EDATE(C122,参数设置!$B$14))</f>
        <v>46878</v>
      </c>
      <c r="H122">
        <f t="shared" si="5"/>
        <v>30</v>
      </c>
      <c r="I122" s="14">
        <f>IF(E122=参数设置!$B$14,D122,0)</f>
        <v>0</v>
      </c>
      <c r="J122" s="14">
        <f>IF(M122=1,ROUND(D122*参数设置!$B$12*H122/参数设置!$B$13,参数设置!$B$16),0)</f>
        <v>64.349999999999994</v>
      </c>
      <c r="K122" s="14">
        <f t="shared" si="6"/>
        <v>64.349999999999994</v>
      </c>
      <c r="L122" s="21">
        <f>EDATE(C122,参数设置!$B$14)</f>
        <v>46883</v>
      </c>
      <c r="M122">
        <f t="shared" si="7"/>
        <v>1</v>
      </c>
    </row>
    <row r="123" spans="1:13">
      <c r="A123">
        <v>10</v>
      </c>
      <c r="B123">
        <v>10</v>
      </c>
      <c r="C123" s="21">
        <f>EDATE(参数设置!$B$4,A123-1)</f>
        <v>46517</v>
      </c>
      <c r="D123" s="14">
        <f>IF(AND(A123&lt;=参数设置!$B$6,OR(INDEX(月度资金流!$B$7:$B$42,A123)="策略一：消费贷款+买基金",INDEX(月度资金流!$B$7:$B$42,A123)="策略二：新贷偿还旧贷")),参数设置!$B$5,0)</f>
        <v>23400</v>
      </c>
      <c r="E123">
        <v>12</v>
      </c>
      <c r="F123" s="21">
        <f t="shared" si="4"/>
        <v>46878</v>
      </c>
      <c r="G123" s="21">
        <f>IF(E123&lt;参数设置!$B$14,DATE(YEAR(EDATE(C123,E123+1)),MONTH(EDATE(C123,E123+1)),参数设置!$B$15),EDATE(C123,参数设置!$B$14))</f>
        <v>46883</v>
      </c>
      <c r="H123">
        <f t="shared" si="5"/>
        <v>5</v>
      </c>
      <c r="I123" s="14">
        <f>IF(E123=参数设置!$B$14,D123,0)</f>
        <v>23400</v>
      </c>
      <c r="J123" s="14">
        <f>IF(M123=1,ROUND(D123*参数设置!$B$12*H123/参数设置!$B$13,参数设置!$B$16),0)</f>
        <v>10.73</v>
      </c>
      <c r="K123" s="14">
        <f t="shared" si="6"/>
        <v>23410.73</v>
      </c>
      <c r="L123" s="21">
        <f>EDATE(C123,参数设置!$B$14)</f>
        <v>46883</v>
      </c>
      <c r="M123">
        <f t="shared" si="7"/>
        <v>1</v>
      </c>
    </row>
    <row r="124" spans="1:13">
      <c r="A124">
        <v>11</v>
      </c>
      <c r="B124">
        <v>11</v>
      </c>
      <c r="C124" s="21">
        <f>EDATE(参数设置!$B$4,A124-1)</f>
        <v>46548</v>
      </c>
      <c r="D124" s="14">
        <f>IF(AND(A124&lt;=参数设置!$B$6,OR(INDEX(月度资金流!$B$7:$B$42,A124)="策略一：消费贷款+买基金",INDEX(月度资金流!$B$7:$B$42,A124)="策略二：新贷偿还旧贷")),参数设置!$B$5,0)</f>
        <v>23400</v>
      </c>
      <c r="E124">
        <v>1</v>
      </c>
      <c r="F124" s="21">
        <f t="shared" si="4"/>
        <v>46548</v>
      </c>
      <c r="G124" s="21">
        <f>IF(E124&lt;参数设置!$B$14,DATE(YEAR(EDATE(C124,E124+1)),MONTH(EDATE(C124,E124+1)),参数设置!$B$15),EDATE(C124,参数设置!$B$14))</f>
        <v>46604</v>
      </c>
      <c r="H124">
        <f t="shared" si="5"/>
        <v>56</v>
      </c>
      <c r="I124" s="14">
        <f>IF(E124=参数设置!$B$14,D124,0)</f>
        <v>0</v>
      </c>
      <c r="J124" s="14">
        <f>IF(M124=1,ROUND(D124*参数设置!$B$12*H124/参数设置!$B$13,参数设置!$B$16),0)</f>
        <v>120.12</v>
      </c>
      <c r="K124" s="14">
        <f t="shared" si="6"/>
        <v>120.12</v>
      </c>
      <c r="L124" s="21">
        <f>EDATE(C124,参数设置!$B$14)</f>
        <v>46914</v>
      </c>
      <c r="M124">
        <f t="shared" si="7"/>
        <v>1</v>
      </c>
    </row>
    <row r="125" spans="1:13">
      <c r="A125">
        <v>11</v>
      </c>
      <c r="B125">
        <v>11</v>
      </c>
      <c r="C125" s="21">
        <f>EDATE(参数设置!$B$4,A125-1)</f>
        <v>46548</v>
      </c>
      <c r="D125" s="14">
        <f>IF(AND(A125&lt;=参数设置!$B$6,OR(INDEX(月度资金流!$B$7:$B$42,A125)="策略一：消费贷款+买基金",INDEX(月度资金流!$B$7:$B$42,A125)="策略二：新贷偿还旧贷")),参数设置!$B$5,0)</f>
        <v>23400</v>
      </c>
      <c r="E125">
        <v>2</v>
      </c>
      <c r="F125" s="21">
        <f t="shared" si="4"/>
        <v>46604</v>
      </c>
      <c r="G125" s="21">
        <f>IF(E125&lt;参数设置!$B$14,DATE(YEAR(EDATE(C125,E125+1)),MONTH(EDATE(C125,E125+1)),参数设置!$B$15),EDATE(C125,参数设置!$B$14))</f>
        <v>46635</v>
      </c>
      <c r="H125">
        <f t="shared" si="5"/>
        <v>31</v>
      </c>
      <c r="I125" s="14">
        <f>IF(E125=参数设置!$B$14,D125,0)</f>
        <v>0</v>
      </c>
      <c r="J125" s="14">
        <f>IF(M125=1,ROUND(D125*参数设置!$B$12*H125/参数设置!$B$13,参数设置!$B$16),0)</f>
        <v>66.5</v>
      </c>
      <c r="K125" s="14">
        <f t="shared" si="6"/>
        <v>66.5</v>
      </c>
      <c r="L125" s="21">
        <f>EDATE(C125,参数设置!$B$14)</f>
        <v>46914</v>
      </c>
      <c r="M125">
        <f t="shared" si="7"/>
        <v>1</v>
      </c>
    </row>
    <row r="126" spans="1:13">
      <c r="A126">
        <v>11</v>
      </c>
      <c r="B126">
        <v>11</v>
      </c>
      <c r="C126" s="21">
        <f>EDATE(参数设置!$B$4,A126-1)</f>
        <v>46548</v>
      </c>
      <c r="D126" s="14">
        <f>IF(AND(A126&lt;=参数设置!$B$6,OR(INDEX(月度资金流!$B$7:$B$42,A126)="策略一：消费贷款+买基金",INDEX(月度资金流!$B$7:$B$42,A126)="策略二：新贷偿还旧贷")),参数设置!$B$5,0)</f>
        <v>23400</v>
      </c>
      <c r="E126">
        <v>3</v>
      </c>
      <c r="F126" s="21">
        <f t="shared" si="4"/>
        <v>46635</v>
      </c>
      <c r="G126" s="21">
        <f>IF(E126&lt;参数设置!$B$14,DATE(YEAR(EDATE(C126,E126+1)),MONTH(EDATE(C126,E126+1)),参数设置!$B$15),EDATE(C126,参数设置!$B$14))</f>
        <v>46665</v>
      </c>
      <c r="H126">
        <f t="shared" si="5"/>
        <v>30</v>
      </c>
      <c r="I126" s="14">
        <f>IF(E126=参数设置!$B$14,D126,0)</f>
        <v>0</v>
      </c>
      <c r="J126" s="14">
        <f>IF(M126=1,ROUND(D126*参数设置!$B$12*H126/参数设置!$B$13,参数设置!$B$16),0)</f>
        <v>64.349999999999994</v>
      </c>
      <c r="K126" s="14">
        <f t="shared" si="6"/>
        <v>64.349999999999994</v>
      </c>
      <c r="L126" s="21">
        <f>EDATE(C126,参数设置!$B$14)</f>
        <v>46914</v>
      </c>
      <c r="M126">
        <f t="shared" si="7"/>
        <v>1</v>
      </c>
    </row>
    <row r="127" spans="1:13">
      <c r="A127">
        <v>11</v>
      </c>
      <c r="B127">
        <v>11</v>
      </c>
      <c r="C127" s="21">
        <f>EDATE(参数设置!$B$4,A127-1)</f>
        <v>46548</v>
      </c>
      <c r="D127" s="14">
        <f>IF(AND(A127&lt;=参数设置!$B$6,OR(INDEX(月度资金流!$B$7:$B$42,A127)="策略一：消费贷款+买基金",INDEX(月度资金流!$B$7:$B$42,A127)="策略二：新贷偿还旧贷")),参数设置!$B$5,0)</f>
        <v>23400</v>
      </c>
      <c r="E127">
        <v>4</v>
      </c>
      <c r="F127" s="21">
        <f t="shared" si="4"/>
        <v>46665</v>
      </c>
      <c r="G127" s="21">
        <f>IF(E127&lt;参数设置!$B$14,DATE(YEAR(EDATE(C127,E127+1)),MONTH(EDATE(C127,E127+1)),参数设置!$B$15),EDATE(C127,参数设置!$B$14))</f>
        <v>46696</v>
      </c>
      <c r="H127">
        <f t="shared" si="5"/>
        <v>31</v>
      </c>
      <c r="I127" s="14">
        <f>IF(E127=参数设置!$B$14,D127,0)</f>
        <v>0</v>
      </c>
      <c r="J127" s="14">
        <f>IF(M127=1,ROUND(D127*参数设置!$B$12*H127/参数设置!$B$13,参数设置!$B$16),0)</f>
        <v>66.5</v>
      </c>
      <c r="K127" s="14">
        <f t="shared" si="6"/>
        <v>66.5</v>
      </c>
      <c r="L127" s="21">
        <f>EDATE(C127,参数设置!$B$14)</f>
        <v>46914</v>
      </c>
      <c r="M127">
        <f t="shared" si="7"/>
        <v>1</v>
      </c>
    </row>
    <row r="128" spans="1:13">
      <c r="A128">
        <v>11</v>
      </c>
      <c r="B128">
        <v>11</v>
      </c>
      <c r="C128" s="21">
        <f>EDATE(参数设置!$B$4,A128-1)</f>
        <v>46548</v>
      </c>
      <c r="D128" s="14">
        <f>IF(AND(A128&lt;=参数设置!$B$6,OR(INDEX(月度资金流!$B$7:$B$42,A128)="策略一：消费贷款+买基金",INDEX(月度资金流!$B$7:$B$42,A128)="策略二：新贷偿还旧贷")),参数设置!$B$5,0)</f>
        <v>23400</v>
      </c>
      <c r="E128">
        <v>5</v>
      </c>
      <c r="F128" s="21">
        <f t="shared" si="4"/>
        <v>46696</v>
      </c>
      <c r="G128" s="21">
        <f>IF(E128&lt;参数设置!$B$14,DATE(YEAR(EDATE(C128,E128+1)),MONTH(EDATE(C128,E128+1)),参数设置!$B$15),EDATE(C128,参数设置!$B$14))</f>
        <v>46726</v>
      </c>
      <c r="H128">
        <f t="shared" si="5"/>
        <v>30</v>
      </c>
      <c r="I128" s="14">
        <f>IF(E128=参数设置!$B$14,D128,0)</f>
        <v>0</v>
      </c>
      <c r="J128" s="14">
        <f>IF(M128=1,ROUND(D128*参数设置!$B$12*H128/参数设置!$B$13,参数设置!$B$16),0)</f>
        <v>64.349999999999994</v>
      </c>
      <c r="K128" s="14">
        <f t="shared" si="6"/>
        <v>64.349999999999994</v>
      </c>
      <c r="L128" s="21">
        <f>EDATE(C128,参数设置!$B$14)</f>
        <v>46914</v>
      </c>
      <c r="M128">
        <f t="shared" si="7"/>
        <v>1</v>
      </c>
    </row>
    <row r="129" spans="1:13">
      <c r="A129">
        <v>11</v>
      </c>
      <c r="B129">
        <v>11</v>
      </c>
      <c r="C129" s="21">
        <f>EDATE(参数设置!$B$4,A129-1)</f>
        <v>46548</v>
      </c>
      <c r="D129" s="14">
        <f>IF(AND(A129&lt;=参数设置!$B$6,OR(INDEX(月度资金流!$B$7:$B$42,A129)="策略一：消费贷款+买基金",INDEX(月度资金流!$B$7:$B$42,A129)="策略二：新贷偿还旧贷")),参数设置!$B$5,0)</f>
        <v>23400</v>
      </c>
      <c r="E129">
        <v>6</v>
      </c>
      <c r="F129" s="21">
        <f t="shared" si="4"/>
        <v>46726</v>
      </c>
      <c r="G129" s="21">
        <f>IF(E129&lt;参数设置!$B$14,DATE(YEAR(EDATE(C129,E129+1)),MONTH(EDATE(C129,E129+1)),参数设置!$B$15),EDATE(C129,参数设置!$B$14))</f>
        <v>46757</v>
      </c>
      <c r="H129">
        <f t="shared" si="5"/>
        <v>31</v>
      </c>
      <c r="I129" s="14">
        <f>IF(E129=参数设置!$B$14,D129,0)</f>
        <v>0</v>
      </c>
      <c r="J129" s="14">
        <f>IF(M129=1,ROUND(D129*参数设置!$B$12*H129/参数设置!$B$13,参数设置!$B$16),0)</f>
        <v>66.5</v>
      </c>
      <c r="K129" s="14">
        <f t="shared" si="6"/>
        <v>66.5</v>
      </c>
      <c r="L129" s="21">
        <f>EDATE(C129,参数设置!$B$14)</f>
        <v>46914</v>
      </c>
      <c r="M129">
        <f t="shared" si="7"/>
        <v>1</v>
      </c>
    </row>
    <row r="130" spans="1:13">
      <c r="A130">
        <v>11</v>
      </c>
      <c r="B130">
        <v>11</v>
      </c>
      <c r="C130" s="21">
        <f>EDATE(参数设置!$B$4,A130-1)</f>
        <v>46548</v>
      </c>
      <c r="D130" s="14">
        <f>IF(AND(A130&lt;=参数设置!$B$6,OR(INDEX(月度资金流!$B$7:$B$42,A130)="策略一：消费贷款+买基金",INDEX(月度资金流!$B$7:$B$42,A130)="策略二：新贷偿还旧贷")),参数设置!$B$5,0)</f>
        <v>23400</v>
      </c>
      <c r="E130">
        <v>7</v>
      </c>
      <c r="F130" s="21">
        <f t="shared" si="4"/>
        <v>46757</v>
      </c>
      <c r="G130" s="21">
        <f>IF(E130&lt;参数设置!$B$14,DATE(YEAR(EDATE(C130,E130+1)),MONTH(EDATE(C130,E130+1)),参数设置!$B$15),EDATE(C130,参数设置!$B$14))</f>
        <v>46788</v>
      </c>
      <c r="H130">
        <f t="shared" si="5"/>
        <v>31</v>
      </c>
      <c r="I130" s="14">
        <f>IF(E130=参数设置!$B$14,D130,0)</f>
        <v>0</v>
      </c>
      <c r="J130" s="14">
        <f>IF(M130=1,ROUND(D130*参数设置!$B$12*H130/参数设置!$B$13,参数设置!$B$16),0)</f>
        <v>66.5</v>
      </c>
      <c r="K130" s="14">
        <f t="shared" si="6"/>
        <v>66.5</v>
      </c>
      <c r="L130" s="21">
        <f>EDATE(C130,参数设置!$B$14)</f>
        <v>46914</v>
      </c>
      <c r="M130">
        <f t="shared" si="7"/>
        <v>1</v>
      </c>
    </row>
    <row r="131" spans="1:13">
      <c r="A131">
        <v>11</v>
      </c>
      <c r="B131">
        <v>11</v>
      </c>
      <c r="C131" s="21">
        <f>EDATE(参数设置!$B$4,A131-1)</f>
        <v>46548</v>
      </c>
      <c r="D131" s="14">
        <f>IF(AND(A131&lt;=参数设置!$B$6,OR(INDEX(月度资金流!$B$7:$B$42,A131)="策略一：消费贷款+买基金",INDEX(月度资金流!$B$7:$B$42,A131)="策略二：新贷偿还旧贷")),参数设置!$B$5,0)</f>
        <v>23400</v>
      </c>
      <c r="E131">
        <v>8</v>
      </c>
      <c r="F131" s="21">
        <f t="shared" si="4"/>
        <v>46788</v>
      </c>
      <c r="G131" s="21">
        <f>IF(E131&lt;参数设置!$B$14,DATE(YEAR(EDATE(C131,E131+1)),MONTH(EDATE(C131,E131+1)),参数设置!$B$15),EDATE(C131,参数设置!$B$14))</f>
        <v>46817</v>
      </c>
      <c r="H131">
        <f t="shared" si="5"/>
        <v>29</v>
      </c>
      <c r="I131" s="14">
        <f>IF(E131=参数设置!$B$14,D131,0)</f>
        <v>0</v>
      </c>
      <c r="J131" s="14">
        <f>IF(M131=1,ROUND(D131*参数设置!$B$12*H131/参数设置!$B$13,参数设置!$B$16),0)</f>
        <v>62.21</v>
      </c>
      <c r="K131" s="14">
        <f t="shared" si="6"/>
        <v>62.21</v>
      </c>
      <c r="L131" s="21">
        <f>EDATE(C131,参数设置!$B$14)</f>
        <v>46914</v>
      </c>
      <c r="M131">
        <f t="shared" si="7"/>
        <v>1</v>
      </c>
    </row>
    <row r="132" spans="1:13">
      <c r="A132">
        <v>11</v>
      </c>
      <c r="B132">
        <v>11</v>
      </c>
      <c r="C132" s="21">
        <f>EDATE(参数设置!$B$4,A132-1)</f>
        <v>46548</v>
      </c>
      <c r="D132" s="14">
        <f>IF(AND(A132&lt;=参数设置!$B$6,OR(INDEX(月度资金流!$B$7:$B$42,A132)="策略一：消费贷款+买基金",INDEX(月度资金流!$B$7:$B$42,A132)="策略二：新贷偿还旧贷")),参数设置!$B$5,0)</f>
        <v>23400</v>
      </c>
      <c r="E132">
        <v>9</v>
      </c>
      <c r="F132" s="21">
        <f t="shared" ref="F132:F195" si="8">IF(E132=1,C132,G131)</f>
        <v>46817</v>
      </c>
      <c r="G132" s="21">
        <f>IF(E132&lt;参数设置!$B$14,DATE(YEAR(EDATE(C132,E132+1)),MONTH(EDATE(C132,E132+1)),参数设置!$B$15),EDATE(C132,参数设置!$B$14))</f>
        <v>46848</v>
      </c>
      <c r="H132">
        <f t="shared" ref="H132:H195" si="9">G132-F132</f>
        <v>31</v>
      </c>
      <c r="I132" s="14">
        <f>IF(E132=参数设置!$B$14,D132,0)</f>
        <v>0</v>
      </c>
      <c r="J132" s="14">
        <f>IF(M132=1,ROUND(D132*参数设置!$B$12*H132/参数设置!$B$13,参数设置!$B$16),0)</f>
        <v>66.5</v>
      </c>
      <c r="K132" s="14">
        <f t="shared" ref="K132:K195" si="10">I132+J132</f>
        <v>66.5</v>
      </c>
      <c r="L132" s="21">
        <f>EDATE(C132,参数设置!$B$14)</f>
        <v>46914</v>
      </c>
      <c r="M132">
        <f t="shared" ref="M132:M195" si="11">--(D132&gt;0)</f>
        <v>1</v>
      </c>
    </row>
    <row r="133" spans="1:13">
      <c r="A133">
        <v>11</v>
      </c>
      <c r="B133">
        <v>11</v>
      </c>
      <c r="C133" s="21">
        <f>EDATE(参数设置!$B$4,A133-1)</f>
        <v>46548</v>
      </c>
      <c r="D133" s="14">
        <f>IF(AND(A133&lt;=参数设置!$B$6,OR(INDEX(月度资金流!$B$7:$B$42,A133)="策略一：消费贷款+买基金",INDEX(月度资金流!$B$7:$B$42,A133)="策略二：新贷偿还旧贷")),参数设置!$B$5,0)</f>
        <v>23400</v>
      </c>
      <c r="E133">
        <v>10</v>
      </c>
      <c r="F133" s="21">
        <f t="shared" si="8"/>
        <v>46848</v>
      </c>
      <c r="G133" s="21">
        <f>IF(E133&lt;参数设置!$B$14,DATE(YEAR(EDATE(C133,E133+1)),MONTH(EDATE(C133,E133+1)),参数设置!$B$15),EDATE(C133,参数设置!$B$14))</f>
        <v>46878</v>
      </c>
      <c r="H133">
        <f t="shared" si="9"/>
        <v>30</v>
      </c>
      <c r="I133" s="14">
        <f>IF(E133=参数设置!$B$14,D133,0)</f>
        <v>0</v>
      </c>
      <c r="J133" s="14">
        <f>IF(M133=1,ROUND(D133*参数设置!$B$12*H133/参数设置!$B$13,参数设置!$B$16),0)</f>
        <v>64.349999999999994</v>
      </c>
      <c r="K133" s="14">
        <f t="shared" si="10"/>
        <v>64.349999999999994</v>
      </c>
      <c r="L133" s="21">
        <f>EDATE(C133,参数设置!$B$14)</f>
        <v>46914</v>
      </c>
      <c r="M133">
        <f t="shared" si="11"/>
        <v>1</v>
      </c>
    </row>
    <row r="134" spans="1:13">
      <c r="A134">
        <v>11</v>
      </c>
      <c r="B134">
        <v>11</v>
      </c>
      <c r="C134" s="21">
        <f>EDATE(参数设置!$B$4,A134-1)</f>
        <v>46548</v>
      </c>
      <c r="D134" s="14">
        <f>IF(AND(A134&lt;=参数设置!$B$6,OR(INDEX(月度资金流!$B$7:$B$42,A134)="策略一：消费贷款+买基金",INDEX(月度资金流!$B$7:$B$42,A134)="策略二：新贷偿还旧贷")),参数设置!$B$5,0)</f>
        <v>23400</v>
      </c>
      <c r="E134">
        <v>11</v>
      </c>
      <c r="F134" s="21">
        <f t="shared" si="8"/>
        <v>46878</v>
      </c>
      <c r="G134" s="21">
        <f>IF(E134&lt;参数设置!$B$14,DATE(YEAR(EDATE(C134,E134+1)),MONTH(EDATE(C134,E134+1)),参数设置!$B$15),EDATE(C134,参数设置!$B$14))</f>
        <v>46909</v>
      </c>
      <c r="H134">
        <f t="shared" si="9"/>
        <v>31</v>
      </c>
      <c r="I134" s="14">
        <f>IF(E134=参数设置!$B$14,D134,0)</f>
        <v>0</v>
      </c>
      <c r="J134" s="14">
        <f>IF(M134=1,ROUND(D134*参数设置!$B$12*H134/参数设置!$B$13,参数设置!$B$16),0)</f>
        <v>66.5</v>
      </c>
      <c r="K134" s="14">
        <f t="shared" si="10"/>
        <v>66.5</v>
      </c>
      <c r="L134" s="21">
        <f>EDATE(C134,参数设置!$B$14)</f>
        <v>46914</v>
      </c>
      <c r="M134">
        <f t="shared" si="11"/>
        <v>1</v>
      </c>
    </row>
    <row r="135" spans="1:13">
      <c r="A135">
        <v>11</v>
      </c>
      <c r="B135">
        <v>11</v>
      </c>
      <c r="C135" s="21">
        <f>EDATE(参数设置!$B$4,A135-1)</f>
        <v>46548</v>
      </c>
      <c r="D135" s="14">
        <f>IF(AND(A135&lt;=参数设置!$B$6,OR(INDEX(月度资金流!$B$7:$B$42,A135)="策略一：消费贷款+买基金",INDEX(月度资金流!$B$7:$B$42,A135)="策略二：新贷偿还旧贷")),参数设置!$B$5,0)</f>
        <v>23400</v>
      </c>
      <c r="E135">
        <v>12</v>
      </c>
      <c r="F135" s="21">
        <f t="shared" si="8"/>
        <v>46909</v>
      </c>
      <c r="G135" s="21">
        <f>IF(E135&lt;参数设置!$B$14,DATE(YEAR(EDATE(C135,E135+1)),MONTH(EDATE(C135,E135+1)),参数设置!$B$15),EDATE(C135,参数设置!$B$14))</f>
        <v>46914</v>
      </c>
      <c r="H135">
        <f t="shared" si="9"/>
        <v>5</v>
      </c>
      <c r="I135" s="14">
        <f>IF(E135=参数设置!$B$14,D135,0)</f>
        <v>23400</v>
      </c>
      <c r="J135" s="14">
        <f>IF(M135=1,ROUND(D135*参数设置!$B$12*H135/参数设置!$B$13,参数设置!$B$16),0)</f>
        <v>10.73</v>
      </c>
      <c r="K135" s="14">
        <f t="shared" si="10"/>
        <v>23410.73</v>
      </c>
      <c r="L135" s="21">
        <f>EDATE(C135,参数设置!$B$14)</f>
        <v>46914</v>
      </c>
      <c r="M135">
        <f t="shared" si="11"/>
        <v>1</v>
      </c>
    </row>
    <row r="136" spans="1:13">
      <c r="A136">
        <v>12</v>
      </c>
      <c r="B136">
        <v>12</v>
      </c>
      <c r="C136" s="21">
        <f>EDATE(参数设置!$B$4,A136-1)</f>
        <v>46578</v>
      </c>
      <c r="D136" s="14">
        <f>IF(AND(A136&lt;=参数设置!$B$6,OR(INDEX(月度资金流!$B$7:$B$42,A136)="策略一：消费贷款+买基金",INDEX(月度资金流!$B$7:$B$42,A136)="策略二：新贷偿还旧贷")),参数设置!$B$5,0)</f>
        <v>23400</v>
      </c>
      <c r="E136">
        <v>1</v>
      </c>
      <c r="F136" s="21">
        <f t="shared" si="8"/>
        <v>46578</v>
      </c>
      <c r="G136" s="21">
        <f>IF(E136&lt;参数设置!$B$14,DATE(YEAR(EDATE(C136,E136+1)),MONTH(EDATE(C136,E136+1)),参数设置!$B$15),EDATE(C136,参数设置!$B$14))</f>
        <v>46635</v>
      </c>
      <c r="H136">
        <f t="shared" si="9"/>
        <v>57</v>
      </c>
      <c r="I136" s="14">
        <f>IF(E136=参数设置!$B$14,D136,0)</f>
        <v>0</v>
      </c>
      <c r="J136" s="14">
        <f>IF(M136=1,ROUND(D136*参数设置!$B$12*H136/参数设置!$B$13,参数设置!$B$16),0)</f>
        <v>122.27</v>
      </c>
      <c r="K136" s="14">
        <f t="shared" si="10"/>
        <v>122.27</v>
      </c>
      <c r="L136" s="21">
        <f>EDATE(C136,参数设置!$B$14)</f>
        <v>46944</v>
      </c>
      <c r="M136">
        <f t="shared" si="11"/>
        <v>1</v>
      </c>
    </row>
    <row r="137" spans="1:13">
      <c r="A137">
        <v>12</v>
      </c>
      <c r="B137">
        <v>12</v>
      </c>
      <c r="C137" s="21">
        <f>EDATE(参数设置!$B$4,A137-1)</f>
        <v>46578</v>
      </c>
      <c r="D137" s="14">
        <f>IF(AND(A137&lt;=参数设置!$B$6,OR(INDEX(月度资金流!$B$7:$B$42,A137)="策略一：消费贷款+买基金",INDEX(月度资金流!$B$7:$B$42,A137)="策略二：新贷偿还旧贷")),参数设置!$B$5,0)</f>
        <v>23400</v>
      </c>
      <c r="E137">
        <v>2</v>
      </c>
      <c r="F137" s="21">
        <f t="shared" si="8"/>
        <v>46635</v>
      </c>
      <c r="G137" s="21">
        <f>IF(E137&lt;参数设置!$B$14,DATE(YEAR(EDATE(C137,E137+1)),MONTH(EDATE(C137,E137+1)),参数设置!$B$15),EDATE(C137,参数设置!$B$14))</f>
        <v>46665</v>
      </c>
      <c r="H137">
        <f t="shared" si="9"/>
        <v>30</v>
      </c>
      <c r="I137" s="14">
        <f>IF(E137=参数设置!$B$14,D137,0)</f>
        <v>0</v>
      </c>
      <c r="J137" s="14">
        <f>IF(M137=1,ROUND(D137*参数设置!$B$12*H137/参数设置!$B$13,参数设置!$B$16),0)</f>
        <v>64.349999999999994</v>
      </c>
      <c r="K137" s="14">
        <f t="shared" si="10"/>
        <v>64.349999999999994</v>
      </c>
      <c r="L137" s="21">
        <f>EDATE(C137,参数设置!$B$14)</f>
        <v>46944</v>
      </c>
      <c r="M137">
        <f t="shared" si="11"/>
        <v>1</v>
      </c>
    </row>
    <row r="138" spans="1:13">
      <c r="A138">
        <v>12</v>
      </c>
      <c r="B138">
        <v>12</v>
      </c>
      <c r="C138" s="21">
        <f>EDATE(参数设置!$B$4,A138-1)</f>
        <v>46578</v>
      </c>
      <c r="D138" s="14">
        <f>IF(AND(A138&lt;=参数设置!$B$6,OR(INDEX(月度资金流!$B$7:$B$42,A138)="策略一：消费贷款+买基金",INDEX(月度资金流!$B$7:$B$42,A138)="策略二：新贷偿还旧贷")),参数设置!$B$5,0)</f>
        <v>23400</v>
      </c>
      <c r="E138">
        <v>3</v>
      </c>
      <c r="F138" s="21">
        <f t="shared" si="8"/>
        <v>46665</v>
      </c>
      <c r="G138" s="21">
        <f>IF(E138&lt;参数设置!$B$14,DATE(YEAR(EDATE(C138,E138+1)),MONTH(EDATE(C138,E138+1)),参数设置!$B$15),EDATE(C138,参数设置!$B$14))</f>
        <v>46696</v>
      </c>
      <c r="H138">
        <f t="shared" si="9"/>
        <v>31</v>
      </c>
      <c r="I138" s="14">
        <f>IF(E138=参数设置!$B$14,D138,0)</f>
        <v>0</v>
      </c>
      <c r="J138" s="14">
        <f>IF(M138=1,ROUND(D138*参数设置!$B$12*H138/参数设置!$B$13,参数设置!$B$16),0)</f>
        <v>66.5</v>
      </c>
      <c r="K138" s="14">
        <f t="shared" si="10"/>
        <v>66.5</v>
      </c>
      <c r="L138" s="21">
        <f>EDATE(C138,参数设置!$B$14)</f>
        <v>46944</v>
      </c>
      <c r="M138">
        <f t="shared" si="11"/>
        <v>1</v>
      </c>
    </row>
    <row r="139" spans="1:13">
      <c r="A139">
        <v>12</v>
      </c>
      <c r="B139">
        <v>12</v>
      </c>
      <c r="C139" s="21">
        <f>EDATE(参数设置!$B$4,A139-1)</f>
        <v>46578</v>
      </c>
      <c r="D139" s="14">
        <f>IF(AND(A139&lt;=参数设置!$B$6,OR(INDEX(月度资金流!$B$7:$B$42,A139)="策略一：消费贷款+买基金",INDEX(月度资金流!$B$7:$B$42,A139)="策略二：新贷偿还旧贷")),参数设置!$B$5,0)</f>
        <v>23400</v>
      </c>
      <c r="E139">
        <v>4</v>
      </c>
      <c r="F139" s="21">
        <f t="shared" si="8"/>
        <v>46696</v>
      </c>
      <c r="G139" s="21">
        <f>IF(E139&lt;参数设置!$B$14,DATE(YEAR(EDATE(C139,E139+1)),MONTH(EDATE(C139,E139+1)),参数设置!$B$15),EDATE(C139,参数设置!$B$14))</f>
        <v>46726</v>
      </c>
      <c r="H139">
        <f t="shared" si="9"/>
        <v>30</v>
      </c>
      <c r="I139" s="14">
        <f>IF(E139=参数设置!$B$14,D139,0)</f>
        <v>0</v>
      </c>
      <c r="J139" s="14">
        <f>IF(M139=1,ROUND(D139*参数设置!$B$12*H139/参数设置!$B$13,参数设置!$B$16),0)</f>
        <v>64.349999999999994</v>
      </c>
      <c r="K139" s="14">
        <f t="shared" si="10"/>
        <v>64.349999999999994</v>
      </c>
      <c r="L139" s="21">
        <f>EDATE(C139,参数设置!$B$14)</f>
        <v>46944</v>
      </c>
      <c r="M139">
        <f t="shared" si="11"/>
        <v>1</v>
      </c>
    </row>
    <row r="140" spans="1:13">
      <c r="A140">
        <v>12</v>
      </c>
      <c r="B140">
        <v>12</v>
      </c>
      <c r="C140" s="21">
        <f>EDATE(参数设置!$B$4,A140-1)</f>
        <v>46578</v>
      </c>
      <c r="D140" s="14">
        <f>IF(AND(A140&lt;=参数设置!$B$6,OR(INDEX(月度资金流!$B$7:$B$42,A140)="策略一：消费贷款+买基金",INDEX(月度资金流!$B$7:$B$42,A140)="策略二：新贷偿还旧贷")),参数设置!$B$5,0)</f>
        <v>23400</v>
      </c>
      <c r="E140">
        <v>5</v>
      </c>
      <c r="F140" s="21">
        <f t="shared" si="8"/>
        <v>46726</v>
      </c>
      <c r="G140" s="21">
        <f>IF(E140&lt;参数设置!$B$14,DATE(YEAR(EDATE(C140,E140+1)),MONTH(EDATE(C140,E140+1)),参数设置!$B$15),EDATE(C140,参数设置!$B$14))</f>
        <v>46757</v>
      </c>
      <c r="H140">
        <f t="shared" si="9"/>
        <v>31</v>
      </c>
      <c r="I140" s="14">
        <f>IF(E140=参数设置!$B$14,D140,0)</f>
        <v>0</v>
      </c>
      <c r="J140" s="14">
        <f>IF(M140=1,ROUND(D140*参数设置!$B$12*H140/参数设置!$B$13,参数设置!$B$16),0)</f>
        <v>66.5</v>
      </c>
      <c r="K140" s="14">
        <f t="shared" si="10"/>
        <v>66.5</v>
      </c>
      <c r="L140" s="21">
        <f>EDATE(C140,参数设置!$B$14)</f>
        <v>46944</v>
      </c>
      <c r="M140">
        <f t="shared" si="11"/>
        <v>1</v>
      </c>
    </row>
    <row r="141" spans="1:13">
      <c r="A141">
        <v>12</v>
      </c>
      <c r="B141">
        <v>12</v>
      </c>
      <c r="C141" s="21">
        <f>EDATE(参数设置!$B$4,A141-1)</f>
        <v>46578</v>
      </c>
      <c r="D141" s="14">
        <f>IF(AND(A141&lt;=参数设置!$B$6,OR(INDEX(月度资金流!$B$7:$B$42,A141)="策略一：消费贷款+买基金",INDEX(月度资金流!$B$7:$B$42,A141)="策略二：新贷偿还旧贷")),参数设置!$B$5,0)</f>
        <v>23400</v>
      </c>
      <c r="E141">
        <v>6</v>
      </c>
      <c r="F141" s="21">
        <f t="shared" si="8"/>
        <v>46757</v>
      </c>
      <c r="G141" s="21">
        <f>IF(E141&lt;参数设置!$B$14,DATE(YEAR(EDATE(C141,E141+1)),MONTH(EDATE(C141,E141+1)),参数设置!$B$15),EDATE(C141,参数设置!$B$14))</f>
        <v>46788</v>
      </c>
      <c r="H141">
        <f t="shared" si="9"/>
        <v>31</v>
      </c>
      <c r="I141" s="14">
        <f>IF(E141=参数设置!$B$14,D141,0)</f>
        <v>0</v>
      </c>
      <c r="J141" s="14">
        <f>IF(M141=1,ROUND(D141*参数设置!$B$12*H141/参数设置!$B$13,参数设置!$B$16),0)</f>
        <v>66.5</v>
      </c>
      <c r="K141" s="14">
        <f t="shared" si="10"/>
        <v>66.5</v>
      </c>
      <c r="L141" s="21">
        <f>EDATE(C141,参数设置!$B$14)</f>
        <v>46944</v>
      </c>
      <c r="M141">
        <f t="shared" si="11"/>
        <v>1</v>
      </c>
    </row>
    <row r="142" spans="1:13">
      <c r="A142">
        <v>12</v>
      </c>
      <c r="B142">
        <v>12</v>
      </c>
      <c r="C142" s="21">
        <f>EDATE(参数设置!$B$4,A142-1)</f>
        <v>46578</v>
      </c>
      <c r="D142" s="14">
        <f>IF(AND(A142&lt;=参数设置!$B$6,OR(INDEX(月度资金流!$B$7:$B$42,A142)="策略一：消费贷款+买基金",INDEX(月度资金流!$B$7:$B$42,A142)="策略二：新贷偿还旧贷")),参数设置!$B$5,0)</f>
        <v>23400</v>
      </c>
      <c r="E142">
        <v>7</v>
      </c>
      <c r="F142" s="21">
        <f t="shared" si="8"/>
        <v>46788</v>
      </c>
      <c r="G142" s="21">
        <f>IF(E142&lt;参数设置!$B$14,DATE(YEAR(EDATE(C142,E142+1)),MONTH(EDATE(C142,E142+1)),参数设置!$B$15),EDATE(C142,参数设置!$B$14))</f>
        <v>46817</v>
      </c>
      <c r="H142">
        <f t="shared" si="9"/>
        <v>29</v>
      </c>
      <c r="I142" s="14">
        <f>IF(E142=参数设置!$B$14,D142,0)</f>
        <v>0</v>
      </c>
      <c r="J142" s="14">
        <f>IF(M142=1,ROUND(D142*参数设置!$B$12*H142/参数设置!$B$13,参数设置!$B$16),0)</f>
        <v>62.21</v>
      </c>
      <c r="K142" s="14">
        <f t="shared" si="10"/>
        <v>62.21</v>
      </c>
      <c r="L142" s="21">
        <f>EDATE(C142,参数设置!$B$14)</f>
        <v>46944</v>
      </c>
      <c r="M142">
        <f t="shared" si="11"/>
        <v>1</v>
      </c>
    </row>
    <row r="143" spans="1:13">
      <c r="A143">
        <v>12</v>
      </c>
      <c r="B143">
        <v>12</v>
      </c>
      <c r="C143" s="21">
        <f>EDATE(参数设置!$B$4,A143-1)</f>
        <v>46578</v>
      </c>
      <c r="D143" s="14">
        <f>IF(AND(A143&lt;=参数设置!$B$6,OR(INDEX(月度资金流!$B$7:$B$42,A143)="策略一：消费贷款+买基金",INDEX(月度资金流!$B$7:$B$42,A143)="策略二：新贷偿还旧贷")),参数设置!$B$5,0)</f>
        <v>23400</v>
      </c>
      <c r="E143">
        <v>8</v>
      </c>
      <c r="F143" s="21">
        <f t="shared" si="8"/>
        <v>46817</v>
      </c>
      <c r="G143" s="21">
        <f>IF(E143&lt;参数设置!$B$14,DATE(YEAR(EDATE(C143,E143+1)),MONTH(EDATE(C143,E143+1)),参数设置!$B$15),EDATE(C143,参数设置!$B$14))</f>
        <v>46848</v>
      </c>
      <c r="H143">
        <f t="shared" si="9"/>
        <v>31</v>
      </c>
      <c r="I143" s="14">
        <f>IF(E143=参数设置!$B$14,D143,0)</f>
        <v>0</v>
      </c>
      <c r="J143" s="14">
        <f>IF(M143=1,ROUND(D143*参数设置!$B$12*H143/参数设置!$B$13,参数设置!$B$16),0)</f>
        <v>66.5</v>
      </c>
      <c r="K143" s="14">
        <f t="shared" si="10"/>
        <v>66.5</v>
      </c>
      <c r="L143" s="21">
        <f>EDATE(C143,参数设置!$B$14)</f>
        <v>46944</v>
      </c>
      <c r="M143">
        <f t="shared" si="11"/>
        <v>1</v>
      </c>
    </row>
    <row r="144" spans="1:13">
      <c r="A144">
        <v>12</v>
      </c>
      <c r="B144">
        <v>12</v>
      </c>
      <c r="C144" s="21">
        <f>EDATE(参数设置!$B$4,A144-1)</f>
        <v>46578</v>
      </c>
      <c r="D144" s="14">
        <f>IF(AND(A144&lt;=参数设置!$B$6,OR(INDEX(月度资金流!$B$7:$B$42,A144)="策略一：消费贷款+买基金",INDEX(月度资金流!$B$7:$B$42,A144)="策略二：新贷偿还旧贷")),参数设置!$B$5,0)</f>
        <v>23400</v>
      </c>
      <c r="E144">
        <v>9</v>
      </c>
      <c r="F144" s="21">
        <f t="shared" si="8"/>
        <v>46848</v>
      </c>
      <c r="G144" s="21">
        <f>IF(E144&lt;参数设置!$B$14,DATE(YEAR(EDATE(C144,E144+1)),MONTH(EDATE(C144,E144+1)),参数设置!$B$15),EDATE(C144,参数设置!$B$14))</f>
        <v>46878</v>
      </c>
      <c r="H144">
        <f t="shared" si="9"/>
        <v>30</v>
      </c>
      <c r="I144" s="14">
        <f>IF(E144=参数设置!$B$14,D144,0)</f>
        <v>0</v>
      </c>
      <c r="J144" s="14">
        <f>IF(M144=1,ROUND(D144*参数设置!$B$12*H144/参数设置!$B$13,参数设置!$B$16),0)</f>
        <v>64.349999999999994</v>
      </c>
      <c r="K144" s="14">
        <f t="shared" si="10"/>
        <v>64.349999999999994</v>
      </c>
      <c r="L144" s="21">
        <f>EDATE(C144,参数设置!$B$14)</f>
        <v>46944</v>
      </c>
      <c r="M144">
        <f t="shared" si="11"/>
        <v>1</v>
      </c>
    </row>
    <row r="145" spans="1:13">
      <c r="A145">
        <v>12</v>
      </c>
      <c r="B145">
        <v>12</v>
      </c>
      <c r="C145" s="21">
        <f>EDATE(参数设置!$B$4,A145-1)</f>
        <v>46578</v>
      </c>
      <c r="D145" s="14">
        <f>IF(AND(A145&lt;=参数设置!$B$6,OR(INDEX(月度资金流!$B$7:$B$42,A145)="策略一：消费贷款+买基金",INDEX(月度资金流!$B$7:$B$42,A145)="策略二：新贷偿还旧贷")),参数设置!$B$5,0)</f>
        <v>23400</v>
      </c>
      <c r="E145">
        <v>10</v>
      </c>
      <c r="F145" s="21">
        <f t="shared" si="8"/>
        <v>46878</v>
      </c>
      <c r="G145" s="21">
        <f>IF(E145&lt;参数设置!$B$14,DATE(YEAR(EDATE(C145,E145+1)),MONTH(EDATE(C145,E145+1)),参数设置!$B$15),EDATE(C145,参数设置!$B$14))</f>
        <v>46909</v>
      </c>
      <c r="H145">
        <f t="shared" si="9"/>
        <v>31</v>
      </c>
      <c r="I145" s="14">
        <f>IF(E145=参数设置!$B$14,D145,0)</f>
        <v>0</v>
      </c>
      <c r="J145" s="14">
        <f>IF(M145=1,ROUND(D145*参数设置!$B$12*H145/参数设置!$B$13,参数设置!$B$16),0)</f>
        <v>66.5</v>
      </c>
      <c r="K145" s="14">
        <f t="shared" si="10"/>
        <v>66.5</v>
      </c>
      <c r="L145" s="21">
        <f>EDATE(C145,参数设置!$B$14)</f>
        <v>46944</v>
      </c>
      <c r="M145">
        <f t="shared" si="11"/>
        <v>1</v>
      </c>
    </row>
    <row r="146" spans="1:13">
      <c r="A146">
        <v>12</v>
      </c>
      <c r="B146">
        <v>12</v>
      </c>
      <c r="C146" s="21">
        <f>EDATE(参数设置!$B$4,A146-1)</f>
        <v>46578</v>
      </c>
      <c r="D146" s="14">
        <f>IF(AND(A146&lt;=参数设置!$B$6,OR(INDEX(月度资金流!$B$7:$B$42,A146)="策略一：消费贷款+买基金",INDEX(月度资金流!$B$7:$B$42,A146)="策略二：新贷偿还旧贷")),参数设置!$B$5,0)</f>
        <v>23400</v>
      </c>
      <c r="E146">
        <v>11</v>
      </c>
      <c r="F146" s="21">
        <f t="shared" si="8"/>
        <v>46909</v>
      </c>
      <c r="G146" s="21">
        <f>IF(E146&lt;参数设置!$B$14,DATE(YEAR(EDATE(C146,E146+1)),MONTH(EDATE(C146,E146+1)),参数设置!$B$15),EDATE(C146,参数设置!$B$14))</f>
        <v>46939</v>
      </c>
      <c r="H146">
        <f t="shared" si="9"/>
        <v>30</v>
      </c>
      <c r="I146" s="14">
        <f>IF(E146=参数设置!$B$14,D146,0)</f>
        <v>0</v>
      </c>
      <c r="J146" s="14">
        <f>IF(M146=1,ROUND(D146*参数设置!$B$12*H146/参数设置!$B$13,参数设置!$B$16),0)</f>
        <v>64.349999999999994</v>
      </c>
      <c r="K146" s="14">
        <f t="shared" si="10"/>
        <v>64.349999999999994</v>
      </c>
      <c r="L146" s="21">
        <f>EDATE(C146,参数设置!$B$14)</f>
        <v>46944</v>
      </c>
      <c r="M146">
        <f t="shared" si="11"/>
        <v>1</v>
      </c>
    </row>
    <row r="147" spans="1:13">
      <c r="A147">
        <v>12</v>
      </c>
      <c r="B147">
        <v>12</v>
      </c>
      <c r="C147" s="21">
        <f>EDATE(参数设置!$B$4,A147-1)</f>
        <v>46578</v>
      </c>
      <c r="D147" s="14">
        <f>IF(AND(A147&lt;=参数设置!$B$6,OR(INDEX(月度资金流!$B$7:$B$42,A147)="策略一：消费贷款+买基金",INDEX(月度资金流!$B$7:$B$42,A147)="策略二：新贷偿还旧贷")),参数设置!$B$5,0)</f>
        <v>23400</v>
      </c>
      <c r="E147">
        <v>12</v>
      </c>
      <c r="F147" s="21">
        <f t="shared" si="8"/>
        <v>46939</v>
      </c>
      <c r="G147" s="21">
        <f>IF(E147&lt;参数设置!$B$14,DATE(YEAR(EDATE(C147,E147+1)),MONTH(EDATE(C147,E147+1)),参数设置!$B$15),EDATE(C147,参数设置!$B$14))</f>
        <v>46944</v>
      </c>
      <c r="H147">
        <f t="shared" si="9"/>
        <v>5</v>
      </c>
      <c r="I147" s="14">
        <f>IF(E147=参数设置!$B$14,D147,0)</f>
        <v>23400</v>
      </c>
      <c r="J147" s="14">
        <f>IF(M147=1,ROUND(D147*参数设置!$B$12*H147/参数设置!$B$13,参数设置!$B$16),0)</f>
        <v>10.73</v>
      </c>
      <c r="K147" s="14">
        <f t="shared" si="10"/>
        <v>23410.73</v>
      </c>
      <c r="L147" s="21">
        <f>EDATE(C147,参数设置!$B$14)</f>
        <v>46944</v>
      </c>
      <c r="M147">
        <f t="shared" si="11"/>
        <v>1</v>
      </c>
    </row>
    <row r="148" spans="1:13">
      <c r="A148">
        <v>13</v>
      </c>
      <c r="B148">
        <v>13</v>
      </c>
      <c r="C148" s="21">
        <f>EDATE(参数设置!$B$4,A148-1)</f>
        <v>46609</v>
      </c>
      <c r="D148" s="14">
        <f>IF(AND(A148&lt;=参数设置!$B$6,OR(INDEX(月度资金流!$B$7:$B$42,A148)="策略一：消费贷款+买基金",INDEX(月度资金流!$B$7:$B$42,A148)="策略二：新贷偿还旧贷")),参数设置!$B$5,0)</f>
        <v>23400</v>
      </c>
      <c r="E148">
        <v>1</v>
      </c>
      <c r="F148" s="21">
        <f t="shared" si="8"/>
        <v>46609</v>
      </c>
      <c r="G148" s="21">
        <f>IF(E148&lt;参数设置!$B$14,DATE(YEAR(EDATE(C148,E148+1)),MONTH(EDATE(C148,E148+1)),参数设置!$B$15),EDATE(C148,参数设置!$B$14))</f>
        <v>46665</v>
      </c>
      <c r="H148">
        <f t="shared" si="9"/>
        <v>56</v>
      </c>
      <c r="I148" s="14">
        <f>IF(E148=参数设置!$B$14,D148,0)</f>
        <v>0</v>
      </c>
      <c r="J148" s="14">
        <f>IF(M148=1,ROUND(D148*参数设置!$B$12*H148/参数设置!$B$13,参数设置!$B$16),0)</f>
        <v>120.12</v>
      </c>
      <c r="K148" s="14">
        <f t="shared" si="10"/>
        <v>120.12</v>
      </c>
      <c r="L148" s="21">
        <f>EDATE(C148,参数设置!$B$14)</f>
        <v>46975</v>
      </c>
      <c r="M148">
        <f t="shared" si="11"/>
        <v>1</v>
      </c>
    </row>
    <row r="149" spans="1:13">
      <c r="A149">
        <v>13</v>
      </c>
      <c r="B149">
        <v>13</v>
      </c>
      <c r="C149" s="21">
        <f>EDATE(参数设置!$B$4,A149-1)</f>
        <v>46609</v>
      </c>
      <c r="D149" s="14">
        <f>IF(AND(A149&lt;=参数设置!$B$6,OR(INDEX(月度资金流!$B$7:$B$42,A149)="策略一：消费贷款+买基金",INDEX(月度资金流!$B$7:$B$42,A149)="策略二：新贷偿还旧贷")),参数设置!$B$5,0)</f>
        <v>23400</v>
      </c>
      <c r="E149">
        <v>2</v>
      </c>
      <c r="F149" s="21">
        <f t="shared" si="8"/>
        <v>46665</v>
      </c>
      <c r="G149" s="21">
        <f>IF(E149&lt;参数设置!$B$14,DATE(YEAR(EDATE(C149,E149+1)),MONTH(EDATE(C149,E149+1)),参数设置!$B$15),EDATE(C149,参数设置!$B$14))</f>
        <v>46696</v>
      </c>
      <c r="H149">
        <f t="shared" si="9"/>
        <v>31</v>
      </c>
      <c r="I149" s="14">
        <f>IF(E149=参数设置!$B$14,D149,0)</f>
        <v>0</v>
      </c>
      <c r="J149" s="14">
        <f>IF(M149=1,ROUND(D149*参数设置!$B$12*H149/参数设置!$B$13,参数设置!$B$16),0)</f>
        <v>66.5</v>
      </c>
      <c r="K149" s="14">
        <f t="shared" si="10"/>
        <v>66.5</v>
      </c>
      <c r="L149" s="21">
        <f>EDATE(C149,参数设置!$B$14)</f>
        <v>46975</v>
      </c>
      <c r="M149">
        <f t="shared" si="11"/>
        <v>1</v>
      </c>
    </row>
    <row r="150" spans="1:13">
      <c r="A150">
        <v>13</v>
      </c>
      <c r="B150">
        <v>13</v>
      </c>
      <c r="C150" s="21">
        <f>EDATE(参数设置!$B$4,A150-1)</f>
        <v>46609</v>
      </c>
      <c r="D150" s="14">
        <f>IF(AND(A150&lt;=参数设置!$B$6,OR(INDEX(月度资金流!$B$7:$B$42,A150)="策略一：消费贷款+买基金",INDEX(月度资金流!$B$7:$B$42,A150)="策略二：新贷偿还旧贷")),参数设置!$B$5,0)</f>
        <v>23400</v>
      </c>
      <c r="E150">
        <v>3</v>
      </c>
      <c r="F150" s="21">
        <f t="shared" si="8"/>
        <v>46696</v>
      </c>
      <c r="G150" s="21">
        <f>IF(E150&lt;参数设置!$B$14,DATE(YEAR(EDATE(C150,E150+1)),MONTH(EDATE(C150,E150+1)),参数设置!$B$15),EDATE(C150,参数设置!$B$14))</f>
        <v>46726</v>
      </c>
      <c r="H150">
        <f t="shared" si="9"/>
        <v>30</v>
      </c>
      <c r="I150" s="14">
        <f>IF(E150=参数设置!$B$14,D150,0)</f>
        <v>0</v>
      </c>
      <c r="J150" s="14">
        <f>IF(M150=1,ROUND(D150*参数设置!$B$12*H150/参数设置!$B$13,参数设置!$B$16),0)</f>
        <v>64.349999999999994</v>
      </c>
      <c r="K150" s="14">
        <f t="shared" si="10"/>
        <v>64.349999999999994</v>
      </c>
      <c r="L150" s="21">
        <f>EDATE(C150,参数设置!$B$14)</f>
        <v>46975</v>
      </c>
      <c r="M150">
        <f t="shared" si="11"/>
        <v>1</v>
      </c>
    </row>
    <row r="151" spans="1:13">
      <c r="A151">
        <v>13</v>
      </c>
      <c r="B151">
        <v>13</v>
      </c>
      <c r="C151" s="21">
        <f>EDATE(参数设置!$B$4,A151-1)</f>
        <v>46609</v>
      </c>
      <c r="D151" s="14">
        <f>IF(AND(A151&lt;=参数设置!$B$6,OR(INDEX(月度资金流!$B$7:$B$42,A151)="策略一：消费贷款+买基金",INDEX(月度资金流!$B$7:$B$42,A151)="策略二：新贷偿还旧贷")),参数设置!$B$5,0)</f>
        <v>23400</v>
      </c>
      <c r="E151">
        <v>4</v>
      </c>
      <c r="F151" s="21">
        <f t="shared" si="8"/>
        <v>46726</v>
      </c>
      <c r="G151" s="21">
        <f>IF(E151&lt;参数设置!$B$14,DATE(YEAR(EDATE(C151,E151+1)),MONTH(EDATE(C151,E151+1)),参数设置!$B$15),EDATE(C151,参数设置!$B$14))</f>
        <v>46757</v>
      </c>
      <c r="H151">
        <f t="shared" si="9"/>
        <v>31</v>
      </c>
      <c r="I151" s="14">
        <f>IF(E151=参数设置!$B$14,D151,0)</f>
        <v>0</v>
      </c>
      <c r="J151" s="14">
        <f>IF(M151=1,ROUND(D151*参数设置!$B$12*H151/参数设置!$B$13,参数设置!$B$16),0)</f>
        <v>66.5</v>
      </c>
      <c r="K151" s="14">
        <f t="shared" si="10"/>
        <v>66.5</v>
      </c>
      <c r="L151" s="21">
        <f>EDATE(C151,参数设置!$B$14)</f>
        <v>46975</v>
      </c>
      <c r="M151">
        <f t="shared" si="11"/>
        <v>1</v>
      </c>
    </row>
    <row r="152" spans="1:13">
      <c r="A152">
        <v>13</v>
      </c>
      <c r="B152">
        <v>13</v>
      </c>
      <c r="C152" s="21">
        <f>EDATE(参数设置!$B$4,A152-1)</f>
        <v>46609</v>
      </c>
      <c r="D152" s="14">
        <f>IF(AND(A152&lt;=参数设置!$B$6,OR(INDEX(月度资金流!$B$7:$B$42,A152)="策略一：消费贷款+买基金",INDEX(月度资金流!$B$7:$B$42,A152)="策略二：新贷偿还旧贷")),参数设置!$B$5,0)</f>
        <v>23400</v>
      </c>
      <c r="E152">
        <v>5</v>
      </c>
      <c r="F152" s="21">
        <f t="shared" si="8"/>
        <v>46757</v>
      </c>
      <c r="G152" s="21">
        <f>IF(E152&lt;参数设置!$B$14,DATE(YEAR(EDATE(C152,E152+1)),MONTH(EDATE(C152,E152+1)),参数设置!$B$15),EDATE(C152,参数设置!$B$14))</f>
        <v>46788</v>
      </c>
      <c r="H152">
        <f t="shared" si="9"/>
        <v>31</v>
      </c>
      <c r="I152" s="14">
        <f>IF(E152=参数设置!$B$14,D152,0)</f>
        <v>0</v>
      </c>
      <c r="J152" s="14">
        <f>IF(M152=1,ROUND(D152*参数设置!$B$12*H152/参数设置!$B$13,参数设置!$B$16),0)</f>
        <v>66.5</v>
      </c>
      <c r="K152" s="14">
        <f t="shared" si="10"/>
        <v>66.5</v>
      </c>
      <c r="L152" s="21">
        <f>EDATE(C152,参数设置!$B$14)</f>
        <v>46975</v>
      </c>
      <c r="M152">
        <f t="shared" si="11"/>
        <v>1</v>
      </c>
    </row>
    <row r="153" spans="1:13">
      <c r="A153">
        <v>13</v>
      </c>
      <c r="B153">
        <v>13</v>
      </c>
      <c r="C153" s="21">
        <f>EDATE(参数设置!$B$4,A153-1)</f>
        <v>46609</v>
      </c>
      <c r="D153" s="14">
        <f>IF(AND(A153&lt;=参数设置!$B$6,OR(INDEX(月度资金流!$B$7:$B$42,A153)="策略一：消费贷款+买基金",INDEX(月度资金流!$B$7:$B$42,A153)="策略二：新贷偿还旧贷")),参数设置!$B$5,0)</f>
        <v>23400</v>
      </c>
      <c r="E153">
        <v>6</v>
      </c>
      <c r="F153" s="21">
        <f t="shared" si="8"/>
        <v>46788</v>
      </c>
      <c r="G153" s="21">
        <f>IF(E153&lt;参数设置!$B$14,DATE(YEAR(EDATE(C153,E153+1)),MONTH(EDATE(C153,E153+1)),参数设置!$B$15),EDATE(C153,参数设置!$B$14))</f>
        <v>46817</v>
      </c>
      <c r="H153">
        <f t="shared" si="9"/>
        <v>29</v>
      </c>
      <c r="I153" s="14">
        <f>IF(E153=参数设置!$B$14,D153,0)</f>
        <v>0</v>
      </c>
      <c r="J153" s="14">
        <f>IF(M153=1,ROUND(D153*参数设置!$B$12*H153/参数设置!$B$13,参数设置!$B$16),0)</f>
        <v>62.21</v>
      </c>
      <c r="K153" s="14">
        <f t="shared" si="10"/>
        <v>62.21</v>
      </c>
      <c r="L153" s="21">
        <f>EDATE(C153,参数设置!$B$14)</f>
        <v>46975</v>
      </c>
      <c r="M153">
        <f t="shared" si="11"/>
        <v>1</v>
      </c>
    </row>
    <row r="154" spans="1:13">
      <c r="A154">
        <v>13</v>
      </c>
      <c r="B154">
        <v>13</v>
      </c>
      <c r="C154" s="21">
        <f>EDATE(参数设置!$B$4,A154-1)</f>
        <v>46609</v>
      </c>
      <c r="D154" s="14">
        <f>IF(AND(A154&lt;=参数设置!$B$6,OR(INDEX(月度资金流!$B$7:$B$42,A154)="策略一：消费贷款+买基金",INDEX(月度资金流!$B$7:$B$42,A154)="策略二：新贷偿还旧贷")),参数设置!$B$5,0)</f>
        <v>23400</v>
      </c>
      <c r="E154">
        <v>7</v>
      </c>
      <c r="F154" s="21">
        <f t="shared" si="8"/>
        <v>46817</v>
      </c>
      <c r="G154" s="21">
        <f>IF(E154&lt;参数设置!$B$14,DATE(YEAR(EDATE(C154,E154+1)),MONTH(EDATE(C154,E154+1)),参数设置!$B$15),EDATE(C154,参数设置!$B$14))</f>
        <v>46848</v>
      </c>
      <c r="H154">
        <f t="shared" si="9"/>
        <v>31</v>
      </c>
      <c r="I154" s="14">
        <f>IF(E154=参数设置!$B$14,D154,0)</f>
        <v>0</v>
      </c>
      <c r="J154" s="14">
        <f>IF(M154=1,ROUND(D154*参数设置!$B$12*H154/参数设置!$B$13,参数设置!$B$16),0)</f>
        <v>66.5</v>
      </c>
      <c r="K154" s="14">
        <f t="shared" si="10"/>
        <v>66.5</v>
      </c>
      <c r="L154" s="21">
        <f>EDATE(C154,参数设置!$B$14)</f>
        <v>46975</v>
      </c>
      <c r="M154">
        <f t="shared" si="11"/>
        <v>1</v>
      </c>
    </row>
    <row r="155" spans="1:13">
      <c r="A155">
        <v>13</v>
      </c>
      <c r="B155">
        <v>13</v>
      </c>
      <c r="C155" s="21">
        <f>EDATE(参数设置!$B$4,A155-1)</f>
        <v>46609</v>
      </c>
      <c r="D155" s="14">
        <f>IF(AND(A155&lt;=参数设置!$B$6,OR(INDEX(月度资金流!$B$7:$B$42,A155)="策略一：消费贷款+买基金",INDEX(月度资金流!$B$7:$B$42,A155)="策略二：新贷偿还旧贷")),参数设置!$B$5,0)</f>
        <v>23400</v>
      </c>
      <c r="E155">
        <v>8</v>
      </c>
      <c r="F155" s="21">
        <f t="shared" si="8"/>
        <v>46848</v>
      </c>
      <c r="G155" s="21">
        <f>IF(E155&lt;参数设置!$B$14,DATE(YEAR(EDATE(C155,E155+1)),MONTH(EDATE(C155,E155+1)),参数设置!$B$15),EDATE(C155,参数设置!$B$14))</f>
        <v>46878</v>
      </c>
      <c r="H155">
        <f t="shared" si="9"/>
        <v>30</v>
      </c>
      <c r="I155" s="14">
        <f>IF(E155=参数设置!$B$14,D155,0)</f>
        <v>0</v>
      </c>
      <c r="J155" s="14">
        <f>IF(M155=1,ROUND(D155*参数设置!$B$12*H155/参数设置!$B$13,参数设置!$B$16),0)</f>
        <v>64.349999999999994</v>
      </c>
      <c r="K155" s="14">
        <f t="shared" si="10"/>
        <v>64.349999999999994</v>
      </c>
      <c r="L155" s="21">
        <f>EDATE(C155,参数设置!$B$14)</f>
        <v>46975</v>
      </c>
      <c r="M155">
        <f t="shared" si="11"/>
        <v>1</v>
      </c>
    </row>
    <row r="156" spans="1:13">
      <c r="A156">
        <v>13</v>
      </c>
      <c r="B156">
        <v>13</v>
      </c>
      <c r="C156" s="21">
        <f>EDATE(参数设置!$B$4,A156-1)</f>
        <v>46609</v>
      </c>
      <c r="D156" s="14">
        <f>IF(AND(A156&lt;=参数设置!$B$6,OR(INDEX(月度资金流!$B$7:$B$42,A156)="策略一：消费贷款+买基金",INDEX(月度资金流!$B$7:$B$42,A156)="策略二：新贷偿还旧贷")),参数设置!$B$5,0)</f>
        <v>23400</v>
      </c>
      <c r="E156">
        <v>9</v>
      </c>
      <c r="F156" s="21">
        <f t="shared" si="8"/>
        <v>46878</v>
      </c>
      <c r="G156" s="21">
        <f>IF(E156&lt;参数设置!$B$14,DATE(YEAR(EDATE(C156,E156+1)),MONTH(EDATE(C156,E156+1)),参数设置!$B$15),EDATE(C156,参数设置!$B$14))</f>
        <v>46909</v>
      </c>
      <c r="H156">
        <f t="shared" si="9"/>
        <v>31</v>
      </c>
      <c r="I156" s="14">
        <f>IF(E156=参数设置!$B$14,D156,0)</f>
        <v>0</v>
      </c>
      <c r="J156" s="14">
        <f>IF(M156=1,ROUND(D156*参数设置!$B$12*H156/参数设置!$B$13,参数设置!$B$16),0)</f>
        <v>66.5</v>
      </c>
      <c r="K156" s="14">
        <f t="shared" si="10"/>
        <v>66.5</v>
      </c>
      <c r="L156" s="21">
        <f>EDATE(C156,参数设置!$B$14)</f>
        <v>46975</v>
      </c>
      <c r="M156">
        <f t="shared" si="11"/>
        <v>1</v>
      </c>
    </row>
    <row r="157" spans="1:13">
      <c r="A157">
        <v>13</v>
      </c>
      <c r="B157">
        <v>13</v>
      </c>
      <c r="C157" s="21">
        <f>EDATE(参数设置!$B$4,A157-1)</f>
        <v>46609</v>
      </c>
      <c r="D157" s="14">
        <f>IF(AND(A157&lt;=参数设置!$B$6,OR(INDEX(月度资金流!$B$7:$B$42,A157)="策略一：消费贷款+买基金",INDEX(月度资金流!$B$7:$B$42,A157)="策略二：新贷偿还旧贷")),参数设置!$B$5,0)</f>
        <v>23400</v>
      </c>
      <c r="E157">
        <v>10</v>
      </c>
      <c r="F157" s="21">
        <f t="shared" si="8"/>
        <v>46909</v>
      </c>
      <c r="G157" s="21">
        <f>IF(E157&lt;参数设置!$B$14,DATE(YEAR(EDATE(C157,E157+1)),MONTH(EDATE(C157,E157+1)),参数设置!$B$15),EDATE(C157,参数设置!$B$14))</f>
        <v>46939</v>
      </c>
      <c r="H157">
        <f t="shared" si="9"/>
        <v>30</v>
      </c>
      <c r="I157" s="14">
        <f>IF(E157=参数设置!$B$14,D157,0)</f>
        <v>0</v>
      </c>
      <c r="J157" s="14">
        <f>IF(M157=1,ROUND(D157*参数设置!$B$12*H157/参数设置!$B$13,参数设置!$B$16),0)</f>
        <v>64.349999999999994</v>
      </c>
      <c r="K157" s="14">
        <f t="shared" si="10"/>
        <v>64.349999999999994</v>
      </c>
      <c r="L157" s="21">
        <f>EDATE(C157,参数设置!$B$14)</f>
        <v>46975</v>
      </c>
      <c r="M157">
        <f t="shared" si="11"/>
        <v>1</v>
      </c>
    </row>
    <row r="158" spans="1:13">
      <c r="A158">
        <v>13</v>
      </c>
      <c r="B158">
        <v>13</v>
      </c>
      <c r="C158" s="21">
        <f>EDATE(参数设置!$B$4,A158-1)</f>
        <v>46609</v>
      </c>
      <c r="D158" s="14">
        <f>IF(AND(A158&lt;=参数设置!$B$6,OR(INDEX(月度资金流!$B$7:$B$42,A158)="策略一：消费贷款+买基金",INDEX(月度资金流!$B$7:$B$42,A158)="策略二：新贷偿还旧贷")),参数设置!$B$5,0)</f>
        <v>23400</v>
      </c>
      <c r="E158">
        <v>11</v>
      </c>
      <c r="F158" s="21">
        <f t="shared" si="8"/>
        <v>46939</v>
      </c>
      <c r="G158" s="21">
        <f>IF(E158&lt;参数设置!$B$14,DATE(YEAR(EDATE(C158,E158+1)),MONTH(EDATE(C158,E158+1)),参数设置!$B$15),EDATE(C158,参数设置!$B$14))</f>
        <v>46970</v>
      </c>
      <c r="H158">
        <f t="shared" si="9"/>
        <v>31</v>
      </c>
      <c r="I158" s="14">
        <f>IF(E158=参数设置!$B$14,D158,0)</f>
        <v>0</v>
      </c>
      <c r="J158" s="14">
        <f>IF(M158=1,ROUND(D158*参数设置!$B$12*H158/参数设置!$B$13,参数设置!$B$16),0)</f>
        <v>66.5</v>
      </c>
      <c r="K158" s="14">
        <f t="shared" si="10"/>
        <v>66.5</v>
      </c>
      <c r="L158" s="21">
        <f>EDATE(C158,参数设置!$B$14)</f>
        <v>46975</v>
      </c>
      <c r="M158">
        <f t="shared" si="11"/>
        <v>1</v>
      </c>
    </row>
    <row r="159" spans="1:13">
      <c r="A159">
        <v>13</v>
      </c>
      <c r="B159">
        <v>13</v>
      </c>
      <c r="C159" s="21">
        <f>EDATE(参数设置!$B$4,A159-1)</f>
        <v>46609</v>
      </c>
      <c r="D159" s="14">
        <f>IF(AND(A159&lt;=参数设置!$B$6,OR(INDEX(月度资金流!$B$7:$B$42,A159)="策略一：消费贷款+买基金",INDEX(月度资金流!$B$7:$B$42,A159)="策略二：新贷偿还旧贷")),参数设置!$B$5,0)</f>
        <v>23400</v>
      </c>
      <c r="E159">
        <v>12</v>
      </c>
      <c r="F159" s="21">
        <f t="shared" si="8"/>
        <v>46970</v>
      </c>
      <c r="G159" s="21">
        <f>IF(E159&lt;参数设置!$B$14,DATE(YEAR(EDATE(C159,E159+1)),MONTH(EDATE(C159,E159+1)),参数设置!$B$15),EDATE(C159,参数设置!$B$14))</f>
        <v>46975</v>
      </c>
      <c r="H159">
        <f t="shared" si="9"/>
        <v>5</v>
      </c>
      <c r="I159" s="14">
        <f>IF(E159=参数设置!$B$14,D159,0)</f>
        <v>23400</v>
      </c>
      <c r="J159" s="14">
        <f>IF(M159=1,ROUND(D159*参数设置!$B$12*H159/参数设置!$B$13,参数设置!$B$16),0)</f>
        <v>10.73</v>
      </c>
      <c r="K159" s="14">
        <f t="shared" si="10"/>
        <v>23410.73</v>
      </c>
      <c r="L159" s="21">
        <f>EDATE(C159,参数设置!$B$14)</f>
        <v>46975</v>
      </c>
      <c r="M159">
        <f t="shared" si="11"/>
        <v>1</v>
      </c>
    </row>
    <row r="160" spans="1:13">
      <c r="A160">
        <v>14</v>
      </c>
      <c r="B160">
        <v>14</v>
      </c>
      <c r="C160" s="21">
        <f>EDATE(参数设置!$B$4,A160-1)</f>
        <v>46640</v>
      </c>
      <c r="D160" s="14">
        <f>IF(AND(A160&lt;=参数设置!$B$6,OR(INDEX(月度资金流!$B$7:$B$42,A160)="策略一：消费贷款+买基金",INDEX(月度资金流!$B$7:$B$42,A160)="策略二：新贷偿还旧贷")),参数设置!$B$5,0)</f>
        <v>23400</v>
      </c>
      <c r="E160">
        <v>1</v>
      </c>
      <c r="F160" s="21">
        <f t="shared" si="8"/>
        <v>46640</v>
      </c>
      <c r="G160" s="21">
        <f>IF(E160&lt;参数设置!$B$14,DATE(YEAR(EDATE(C160,E160+1)),MONTH(EDATE(C160,E160+1)),参数设置!$B$15),EDATE(C160,参数设置!$B$14))</f>
        <v>46696</v>
      </c>
      <c r="H160">
        <f t="shared" si="9"/>
        <v>56</v>
      </c>
      <c r="I160" s="14">
        <f>IF(E160=参数设置!$B$14,D160,0)</f>
        <v>0</v>
      </c>
      <c r="J160" s="14">
        <f>IF(M160=1,ROUND(D160*参数设置!$B$12*H160/参数设置!$B$13,参数设置!$B$16),0)</f>
        <v>120.12</v>
      </c>
      <c r="K160" s="14">
        <f t="shared" si="10"/>
        <v>120.12</v>
      </c>
      <c r="L160" s="21">
        <f>EDATE(C160,参数设置!$B$14)</f>
        <v>47006</v>
      </c>
      <c r="M160">
        <f t="shared" si="11"/>
        <v>1</v>
      </c>
    </row>
    <row r="161" spans="1:13">
      <c r="A161">
        <v>14</v>
      </c>
      <c r="B161">
        <v>14</v>
      </c>
      <c r="C161" s="21">
        <f>EDATE(参数设置!$B$4,A161-1)</f>
        <v>46640</v>
      </c>
      <c r="D161" s="14">
        <f>IF(AND(A161&lt;=参数设置!$B$6,OR(INDEX(月度资金流!$B$7:$B$42,A161)="策略一：消费贷款+买基金",INDEX(月度资金流!$B$7:$B$42,A161)="策略二：新贷偿还旧贷")),参数设置!$B$5,0)</f>
        <v>23400</v>
      </c>
      <c r="E161">
        <v>2</v>
      </c>
      <c r="F161" s="21">
        <f t="shared" si="8"/>
        <v>46696</v>
      </c>
      <c r="G161" s="21">
        <f>IF(E161&lt;参数设置!$B$14,DATE(YEAR(EDATE(C161,E161+1)),MONTH(EDATE(C161,E161+1)),参数设置!$B$15),EDATE(C161,参数设置!$B$14))</f>
        <v>46726</v>
      </c>
      <c r="H161">
        <f t="shared" si="9"/>
        <v>30</v>
      </c>
      <c r="I161" s="14">
        <f>IF(E161=参数设置!$B$14,D161,0)</f>
        <v>0</v>
      </c>
      <c r="J161" s="14">
        <f>IF(M161=1,ROUND(D161*参数设置!$B$12*H161/参数设置!$B$13,参数设置!$B$16),0)</f>
        <v>64.349999999999994</v>
      </c>
      <c r="K161" s="14">
        <f t="shared" si="10"/>
        <v>64.349999999999994</v>
      </c>
      <c r="L161" s="21">
        <f>EDATE(C161,参数设置!$B$14)</f>
        <v>47006</v>
      </c>
      <c r="M161">
        <f t="shared" si="11"/>
        <v>1</v>
      </c>
    </row>
    <row r="162" spans="1:13">
      <c r="A162">
        <v>14</v>
      </c>
      <c r="B162">
        <v>14</v>
      </c>
      <c r="C162" s="21">
        <f>EDATE(参数设置!$B$4,A162-1)</f>
        <v>46640</v>
      </c>
      <c r="D162" s="14">
        <f>IF(AND(A162&lt;=参数设置!$B$6,OR(INDEX(月度资金流!$B$7:$B$42,A162)="策略一：消费贷款+买基金",INDEX(月度资金流!$B$7:$B$42,A162)="策略二：新贷偿还旧贷")),参数设置!$B$5,0)</f>
        <v>23400</v>
      </c>
      <c r="E162">
        <v>3</v>
      </c>
      <c r="F162" s="21">
        <f t="shared" si="8"/>
        <v>46726</v>
      </c>
      <c r="G162" s="21">
        <f>IF(E162&lt;参数设置!$B$14,DATE(YEAR(EDATE(C162,E162+1)),MONTH(EDATE(C162,E162+1)),参数设置!$B$15),EDATE(C162,参数设置!$B$14))</f>
        <v>46757</v>
      </c>
      <c r="H162">
        <f t="shared" si="9"/>
        <v>31</v>
      </c>
      <c r="I162" s="14">
        <f>IF(E162=参数设置!$B$14,D162,0)</f>
        <v>0</v>
      </c>
      <c r="J162" s="14">
        <f>IF(M162=1,ROUND(D162*参数设置!$B$12*H162/参数设置!$B$13,参数设置!$B$16),0)</f>
        <v>66.5</v>
      </c>
      <c r="K162" s="14">
        <f t="shared" si="10"/>
        <v>66.5</v>
      </c>
      <c r="L162" s="21">
        <f>EDATE(C162,参数设置!$B$14)</f>
        <v>47006</v>
      </c>
      <c r="M162">
        <f t="shared" si="11"/>
        <v>1</v>
      </c>
    </row>
    <row r="163" spans="1:13">
      <c r="A163">
        <v>14</v>
      </c>
      <c r="B163">
        <v>14</v>
      </c>
      <c r="C163" s="21">
        <f>EDATE(参数设置!$B$4,A163-1)</f>
        <v>46640</v>
      </c>
      <c r="D163" s="14">
        <f>IF(AND(A163&lt;=参数设置!$B$6,OR(INDEX(月度资金流!$B$7:$B$42,A163)="策略一：消费贷款+买基金",INDEX(月度资金流!$B$7:$B$42,A163)="策略二：新贷偿还旧贷")),参数设置!$B$5,0)</f>
        <v>23400</v>
      </c>
      <c r="E163">
        <v>4</v>
      </c>
      <c r="F163" s="21">
        <f t="shared" si="8"/>
        <v>46757</v>
      </c>
      <c r="G163" s="21">
        <f>IF(E163&lt;参数设置!$B$14,DATE(YEAR(EDATE(C163,E163+1)),MONTH(EDATE(C163,E163+1)),参数设置!$B$15),EDATE(C163,参数设置!$B$14))</f>
        <v>46788</v>
      </c>
      <c r="H163">
        <f t="shared" si="9"/>
        <v>31</v>
      </c>
      <c r="I163" s="14">
        <f>IF(E163=参数设置!$B$14,D163,0)</f>
        <v>0</v>
      </c>
      <c r="J163" s="14">
        <f>IF(M163=1,ROUND(D163*参数设置!$B$12*H163/参数设置!$B$13,参数设置!$B$16),0)</f>
        <v>66.5</v>
      </c>
      <c r="K163" s="14">
        <f t="shared" si="10"/>
        <v>66.5</v>
      </c>
      <c r="L163" s="21">
        <f>EDATE(C163,参数设置!$B$14)</f>
        <v>47006</v>
      </c>
      <c r="M163">
        <f t="shared" si="11"/>
        <v>1</v>
      </c>
    </row>
    <row r="164" spans="1:13">
      <c r="A164">
        <v>14</v>
      </c>
      <c r="B164">
        <v>14</v>
      </c>
      <c r="C164" s="21">
        <f>EDATE(参数设置!$B$4,A164-1)</f>
        <v>46640</v>
      </c>
      <c r="D164" s="14">
        <f>IF(AND(A164&lt;=参数设置!$B$6,OR(INDEX(月度资金流!$B$7:$B$42,A164)="策略一：消费贷款+买基金",INDEX(月度资金流!$B$7:$B$42,A164)="策略二：新贷偿还旧贷")),参数设置!$B$5,0)</f>
        <v>23400</v>
      </c>
      <c r="E164">
        <v>5</v>
      </c>
      <c r="F164" s="21">
        <f t="shared" si="8"/>
        <v>46788</v>
      </c>
      <c r="G164" s="21">
        <f>IF(E164&lt;参数设置!$B$14,DATE(YEAR(EDATE(C164,E164+1)),MONTH(EDATE(C164,E164+1)),参数设置!$B$15),EDATE(C164,参数设置!$B$14))</f>
        <v>46817</v>
      </c>
      <c r="H164">
        <f t="shared" si="9"/>
        <v>29</v>
      </c>
      <c r="I164" s="14">
        <f>IF(E164=参数设置!$B$14,D164,0)</f>
        <v>0</v>
      </c>
      <c r="J164" s="14">
        <f>IF(M164=1,ROUND(D164*参数设置!$B$12*H164/参数设置!$B$13,参数设置!$B$16),0)</f>
        <v>62.21</v>
      </c>
      <c r="K164" s="14">
        <f t="shared" si="10"/>
        <v>62.21</v>
      </c>
      <c r="L164" s="21">
        <f>EDATE(C164,参数设置!$B$14)</f>
        <v>47006</v>
      </c>
      <c r="M164">
        <f t="shared" si="11"/>
        <v>1</v>
      </c>
    </row>
    <row r="165" spans="1:13">
      <c r="A165">
        <v>14</v>
      </c>
      <c r="B165">
        <v>14</v>
      </c>
      <c r="C165" s="21">
        <f>EDATE(参数设置!$B$4,A165-1)</f>
        <v>46640</v>
      </c>
      <c r="D165" s="14">
        <f>IF(AND(A165&lt;=参数设置!$B$6,OR(INDEX(月度资金流!$B$7:$B$42,A165)="策略一：消费贷款+买基金",INDEX(月度资金流!$B$7:$B$42,A165)="策略二：新贷偿还旧贷")),参数设置!$B$5,0)</f>
        <v>23400</v>
      </c>
      <c r="E165">
        <v>6</v>
      </c>
      <c r="F165" s="21">
        <f t="shared" si="8"/>
        <v>46817</v>
      </c>
      <c r="G165" s="21">
        <f>IF(E165&lt;参数设置!$B$14,DATE(YEAR(EDATE(C165,E165+1)),MONTH(EDATE(C165,E165+1)),参数设置!$B$15),EDATE(C165,参数设置!$B$14))</f>
        <v>46848</v>
      </c>
      <c r="H165">
        <f t="shared" si="9"/>
        <v>31</v>
      </c>
      <c r="I165" s="14">
        <f>IF(E165=参数设置!$B$14,D165,0)</f>
        <v>0</v>
      </c>
      <c r="J165" s="14">
        <f>IF(M165=1,ROUND(D165*参数设置!$B$12*H165/参数设置!$B$13,参数设置!$B$16),0)</f>
        <v>66.5</v>
      </c>
      <c r="K165" s="14">
        <f t="shared" si="10"/>
        <v>66.5</v>
      </c>
      <c r="L165" s="21">
        <f>EDATE(C165,参数设置!$B$14)</f>
        <v>47006</v>
      </c>
      <c r="M165">
        <f t="shared" si="11"/>
        <v>1</v>
      </c>
    </row>
    <row r="166" spans="1:13">
      <c r="A166">
        <v>14</v>
      </c>
      <c r="B166">
        <v>14</v>
      </c>
      <c r="C166" s="21">
        <f>EDATE(参数设置!$B$4,A166-1)</f>
        <v>46640</v>
      </c>
      <c r="D166" s="14">
        <f>IF(AND(A166&lt;=参数设置!$B$6,OR(INDEX(月度资金流!$B$7:$B$42,A166)="策略一：消费贷款+买基金",INDEX(月度资金流!$B$7:$B$42,A166)="策略二：新贷偿还旧贷")),参数设置!$B$5,0)</f>
        <v>23400</v>
      </c>
      <c r="E166">
        <v>7</v>
      </c>
      <c r="F166" s="21">
        <f t="shared" si="8"/>
        <v>46848</v>
      </c>
      <c r="G166" s="21">
        <f>IF(E166&lt;参数设置!$B$14,DATE(YEAR(EDATE(C166,E166+1)),MONTH(EDATE(C166,E166+1)),参数设置!$B$15),EDATE(C166,参数设置!$B$14))</f>
        <v>46878</v>
      </c>
      <c r="H166">
        <f t="shared" si="9"/>
        <v>30</v>
      </c>
      <c r="I166" s="14">
        <f>IF(E166=参数设置!$B$14,D166,0)</f>
        <v>0</v>
      </c>
      <c r="J166" s="14">
        <f>IF(M166=1,ROUND(D166*参数设置!$B$12*H166/参数设置!$B$13,参数设置!$B$16),0)</f>
        <v>64.349999999999994</v>
      </c>
      <c r="K166" s="14">
        <f t="shared" si="10"/>
        <v>64.349999999999994</v>
      </c>
      <c r="L166" s="21">
        <f>EDATE(C166,参数设置!$B$14)</f>
        <v>47006</v>
      </c>
      <c r="M166">
        <f t="shared" si="11"/>
        <v>1</v>
      </c>
    </row>
    <row r="167" spans="1:13">
      <c r="A167">
        <v>14</v>
      </c>
      <c r="B167">
        <v>14</v>
      </c>
      <c r="C167" s="21">
        <f>EDATE(参数设置!$B$4,A167-1)</f>
        <v>46640</v>
      </c>
      <c r="D167" s="14">
        <f>IF(AND(A167&lt;=参数设置!$B$6,OR(INDEX(月度资金流!$B$7:$B$42,A167)="策略一：消费贷款+买基金",INDEX(月度资金流!$B$7:$B$42,A167)="策略二：新贷偿还旧贷")),参数设置!$B$5,0)</f>
        <v>23400</v>
      </c>
      <c r="E167">
        <v>8</v>
      </c>
      <c r="F167" s="21">
        <f t="shared" si="8"/>
        <v>46878</v>
      </c>
      <c r="G167" s="21">
        <f>IF(E167&lt;参数设置!$B$14,DATE(YEAR(EDATE(C167,E167+1)),MONTH(EDATE(C167,E167+1)),参数设置!$B$15),EDATE(C167,参数设置!$B$14))</f>
        <v>46909</v>
      </c>
      <c r="H167">
        <f t="shared" si="9"/>
        <v>31</v>
      </c>
      <c r="I167" s="14">
        <f>IF(E167=参数设置!$B$14,D167,0)</f>
        <v>0</v>
      </c>
      <c r="J167" s="14">
        <f>IF(M167=1,ROUND(D167*参数设置!$B$12*H167/参数设置!$B$13,参数设置!$B$16),0)</f>
        <v>66.5</v>
      </c>
      <c r="K167" s="14">
        <f t="shared" si="10"/>
        <v>66.5</v>
      </c>
      <c r="L167" s="21">
        <f>EDATE(C167,参数设置!$B$14)</f>
        <v>47006</v>
      </c>
      <c r="M167">
        <f t="shared" si="11"/>
        <v>1</v>
      </c>
    </row>
    <row r="168" spans="1:13">
      <c r="A168">
        <v>14</v>
      </c>
      <c r="B168">
        <v>14</v>
      </c>
      <c r="C168" s="21">
        <f>EDATE(参数设置!$B$4,A168-1)</f>
        <v>46640</v>
      </c>
      <c r="D168" s="14">
        <f>IF(AND(A168&lt;=参数设置!$B$6,OR(INDEX(月度资金流!$B$7:$B$42,A168)="策略一：消费贷款+买基金",INDEX(月度资金流!$B$7:$B$42,A168)="策略二：新贷偿还旧贷")),参数设置!$B$5,0)</f>
        <v>23400</v>
      </c>
      <c r="E168">
        <v>9</v>
      </c>
      <c r="F168" s="21">
        <f t="shared" si="8"/>
        <v>46909</v>
      </c>
      <c r="G168" s="21">
        <f>IF(E168&lt;参数设置!$B$14,DATE(YEAR(EDATE(C168,E168+1)),MONTH(EDATE(C168,E168+1)),参数设置!$B$15),EDATE(C168,参数设置!$B$14))</f>
        <v>46939</v>
      </c>
      <c r="H168">
        <f t="shared" si="9"/>
        <v>30</v>
      </c>
      <c r="I168" s="14">
        <f>IF(E168=参数设置!$B$14,D168,0)</f>
        <v>0</v>
      </c>
      <c r="J168" s="14">
        <f>IF(M168=1,ROUND(D168*参数设置!$B$12*H168/参数设置!$B$13,参数设置!$B$16),0)</f>
        <v>64.349999999999994</v>
      </c>
      <c r="K168" s="14">
        <f t="shared" si="10"/>
        <v>64.349999999999994</v>
      </c>
      <c r="L168" s="21">
        <f>EDATE(C168,参数设置!$B$14)</f>
        <v>47006</v>
      </c>
      <c r="M168">
        <f t="shared" si="11"/>
        <v>1</v>
      </c>
    </row>
    <row r="169" spans="1:13">
      <c r="A169">
        <v>14</v>
      </c>
      <c r="B169">
        <v>14</v>
      </c>
      <c r="C169" s="21">
        <f>EDATE(参数设置!$B$4,A169-1)</f>
        <v>46640</v>
      </c>
      <c r="D169" s="14">
        <f>IF(AND(A169&lt;=参数设置!$B$6,OR(INDEX(月度资金流!$B$7:$B$42,A169)="策略一：消费贷款+买基金",INDEX(月度资金流!$B$7:$B$42,A169)="策略二：新贷偿还旧贷")),参数设置!$B$5,0)</f>
        <v>23400</v>
      </c>
      <c r="E169">
        <v>10</v>
      </c>
      <c r="F169" s="21">
        <f t="shared" si="8"/>
        <v>46939</v>
      </c>
      <c r="G169" s="21">
        <f>IF(E169&lt;参数设置!$B$14,DATE(YEAR(EDATE(C169,E169+1)),MONTH(EDATE(C169,E169+1)),参数设置!$B$15),EDATE(C169,参数设置!$B$14))</f>
        <v>46970</v>
      </c>
      <c r="H169">
        <f t="shared" si="9"/>
        <v>31</v>
      </c>
      <c r="I169" s="14">
        <f>IF(E169=参数设置!$B$14,D169,0)</f>
        <v>0</v>
      </c>
      <c r="J169" s="14">
        <f>IF(M169=1,ROUND(D169*参数设置!$B$12*H169/参数设置!$B$13,参数设置!$B$16),0)</f>
        <v>66.5</v>
      </c>
      <c r="K169" s="14">
        <f t="shared" si="10"/>
        <v>66.5</v>
      </c>
      <c r="L169" s="21">
        <f>EDATE(C169,参数设置!$B$14)</f>
        <v>47006</v>
      </c>
      <c r="M169">
        <f t="shared" si="11"/>
        <v>1</v>
      </c>
    </row>
    <row r="170" spans="1:13">
      <c r="A170">
        <v>14</v>
      </c>
      <c r="B170">
        <v>14</v>
      </c>
      <c r="C170" s="21">
        <f>EDATE(参数设置!$B$4,A170-1)</f>
        <v>46640</v>
      </c>
      <c r="D170" s="14">
        <f>IF(AND(A170&lt;=参数设置!$B$6,OR(INDEX(月度资金流!$B$7:$B$42,A170)="策略一：消费贷款+买基金",INDEX(月度资金流!$B$7:$B$42,A170)="策略二：新贷偿还旧贷")),参数设置!$B$5,0)</f>
        <v>23400</v>
      </c>
      <c r="E170">
        <v>11</v>
      </c>
      <c r="F170" s="21">
        <f t="shared" si="8"/>
        <v>46970</v>
      </c>
      <c r="G170" s="21">
        <f>IF(E170&lt;参数设置!$B$14,DATE(YEAR(EDATE(C170,E170+1)),MONTH(EDATE(C170,E170+1)),参数设置!$B$15),EDATE(C170,参数设置!$B$14))</f>
        <v>47001</v>
      </c>
      <c r="H170">
        <f t="shared" si="9"/>
        <v>31</v>
      </c>
      <c r="I170" s="14">
        <f>IF(E170=参数设置!$B$14,D170,0)</f>
        <v>0</v>
      </c>
      <c r="J170" s="14">
        <f>IF(M170=1,ROUND(D170*参数设置!$B$12*H170/参数设置!$B$13,参数设置!$B$16),0)</f>
        <v>66.5</v>
      </c>
      <c r="K170" s="14">
        <f t="shared" si="10"/>
        <v>66.5</v>
      </c>
      <c r="L170" s="21">
        <f>EDATE(C170,参数设置!$B$14)</f>
        <v>47006</v>
      </c>
      <c r="M170">
        <f t="shared" si="11"/>
        <v>1</v>
      </c>
    </row>
    <row r="171" spans="1:13">
      <c r="A171">
        <v>14</v>
      </c>
      <c r="B171">
        <v>14</v>
      </c>
      <c r="C171" s="21">
        <f>EDATE(参数设置!$B$4,A171-1)</f>
        <v>46640</v>
      </c>
      <c r="D171" s="14">
        <f>IF(AND(A171&lt;=参数设置!$B$6,OR(INDEX(月度资金流!$B$7:$B$42,A171)="策略一：消费贷款+买基金",INDEX(月度资金流!$B$7:$B$42,A171)="策略二：新贷偿还旧贷")),参数设置!$B$5,0)</f>
        <v>23400</v>
      </c>
      <c r="E171">
        <v>12</v>
      </c>
      <c r="F171" s="21">
        <f t="shared" si="8"/>
        <v>47001</v>
      </c>
      <c r="G171" s="21">
        <f>IF(E171&lt;参数设置!$B$14,DATE(YEAR(EDATE(C171,E171+1)),MONTH(EDATE(C171,E171+1)),参数设置!$B$15),EDATE(C171,参数设置!$B$14))</f>
        <v>47006</v>
      </c>
      <c r="H171">
        <f t="shared" si="9"/>
        <v>5</v>
      </c>
      <c r="I171" s="14">
        <f>IF(E171=参数设置!$B$14,D171,0)</f>
        <v>23400</v>
      </c>
      <c r="J171" s="14">
        <f>IF(M171=1,ROUND(D171*参数设置!$B$12*H171/参数设置!$B$13,参数设置!$B$16),0)</f>
        <v>10.73</v>
      </c>
      <c r="K171" s="14">
        <f t="shared" si="10"/>
        <v>23410.73</v>
      </c>
      <c r="L171" s="21">
        <f>EDATE(C171,参数设置!$B$14)</f>
        <v>47006</v>
      </c>
      <c r="M171">
        <f t="shared" si="11"/>
        <v>1</v>
      </c>
    </row>
    <row r="172" spans="1:13">
      <c r="A172">
        <v>15</v>
      </c>
      <c r="B172">
        <v>15</v>
      </c>
      <c r="C172" s="21">
        <f>EDATE(参数设置!$B$4,A172-1)</f>
        <v>46670</v>
      </c>
      <c r="D172" s="14">
        <f>IF(AND(A172&lt;=参数设置!$B$6,OR(INDEX(月度资金流!$B$7:$B$42,A172)="策略一：消费贷款+买基金",INDEX(月度资金流!$B$7:$B$42,A172)="策略二：新贷偿还旧贷")),参数设置!$B$5,0)</f>
        <v>23400</v>
      </c>
      <c r="E172">
        <v>1</v>
      </c>
      <c r="F172" s="21">
        <f t="shared" si="8"/>
        <v>46670</v>
      </c>
      <c r="G172" s="21">
        <f>IF(E172&lt;参数设置!$B$14,DATE(YEAR(EDATE(C172,E172+1)),MONTH(EDATE(C172,E172+1)),参数设置!$B$15),EDATE(C172,参数设置!$B$14))</f>
        <v>46726</v>
      </c>
      <c r="H172">
        <f t="shared" si="9"/>
        <v>56</v>
      </c>
      <c r="I172" s="14">
        <f>IF(E172=参数设置!$B$14,D172,0)</f>
        <v>0</v>
      </c>
      <c r="J172" s="14">
        <f>IF(M172=1,ROUND(D172*参数设置!$B$12*H172/参数设置!$B$13,参数设置!$B$16),0)</f>
        <v>120.12</v>
      </c>
      <c r="K172" s="14">
        <f t="shared" si="10"/>
        <v>120.12</v>
      </c>
      <c r="L172" s="21">
        <f>EDATE(C172,参数设置!$B$14)</f>
        <v>47036</v>
      </c>
      <c r="M172">
        <f t="shared" si="11"/>
        <v>1</v>
      </c>
    </row>
    <row r="173" spans="1:13">
      <c r="A173">
        <v>15</v>
      </c>
      <c r="B173">
        <v>15</v>
      </c>
      <c r="C173" s="21">
        <f>EDATE(参数设置!$B$4,A173-1)</f>
        <v>46670</v>
      </c>
      <c r="D173" s="14">
        <f>IF(AND(A173&lt;=参数设置!$B$6,OR(INDEX(月度资金流!$B$7:$B$42,A173)="策略一：消费贷款+买基金",INDEX(月度资金流!$B$7:$B$42,A173)="策略二：新贷偿还旧贷")),参数设置!$B$5,0)</f>
        <v>23400</v>
      </c>
      <c r="E173">
        <v>2</v>
      </c>
      <c r="F173" s="21">
        <f t="shared" si="8"/>
        <v>46726</v>
      </c>
      <c r="G173" s="21">
        <f>IF(E173&lt;参数设置!$B$14,DATE(YEAR(EDATE(C173,E173+1)),MONTH(EDATE(C173,E173+1)),参数设置!$B$15),EDATE(C173,参数设置!$B$14))</f>
        <v>46757</v>
      </c>
      <c r="H173">
        <f t="shared" si="9"/>
        <v>31</v>
      </c>
      <c r="I173" s="14">
        <f>IF(E173=参数设置!$B$14,D173,0)</f>
        <v>0</v>
      </c>
      <c r="J173" s="14">
        <f>IF(M173=1,ROUND(D173*参数设置!$B$12*H173/参数设置!$B$13,参数设置!$B$16),0)</f>
        <v>66.5</v>
      </c>
      <c r="K173" s="14">
        <f t="shared" si="10"/>
        <v>66.5</v>
      </c>
      <c r="L173" s="21">
        <f>EDATE(C173,参数设置!$B$14)</f>
        <v>47036</v>
      </c>
      <c r="M173">
        <f t="shared" si="11"/>
        <v>1</v>
      </c>
    </row>
    <row r="174" spans="1:13">
      <c r="A174">
        <v>15</v>
      </c>
      <c r="B174">
        <v>15</v>
      </c>
      <c r="C174" s="21">
        <f>EDATE(参数设置!$B$4,A174-1)</f>
        <v>46670</v>
      </c>
      <c r="D174" s="14">
        <f>IF(AND(A174&lt;=参数设置!$B$6,OR(INDEX(月度资金流!$B$7:$B$42,A174)="策略一：消费贷款+买基金",INDEX(月度资金流!$B$7:$B$42,A174)="策略二：新贷偿还旧贷")),参数设置!$B$5,0)</f>
        <v>23400</v>
      </c>
      <c r="E174">
        <v>3</v>
      </c>
      <c r="F174" s="21">
        <f t="shared" si="8"/>
        <v>46757</v>
      </c>
      <c r="G174" s="21">
        <f>IF(E174&lt;参数设置!$B$14,DATE(YEAR(EDATE(C174,E174+1)),MONTH(EDATE(C174,E174+1)),参数设置!$B$15),EDATE(C174,参数设置!$B$14))</f>
        <v>46788</v>
      </c>
      <c r="H174">
        <f t="shared" si="9"/>
        <v>31</v>
      </c>
      <c r="I174" s="14">
        <f>IF(E174=参数设置!$B$14,D174,0)</f>
        <v>0</v>
      </c>
      <c r="J174" s="14">
        <f>IF(M174=1,ROUND(D174*参数设置!$B$12*H174/参数设置!$B$13,参数设置!$B$16),0)</f>
        <v>66.5</v>
      </c>
      <c r="K174" s="14">
        <f t="shared" si="10"/>
        <v>66.5</v>
      </c>
      <c r="L174" s="21">
        <f>EDATE(C174,参数设置!$B$14)</f>
        <v>47036</v>
      </c>
      <c r="M174">
        <f t="shared" si="11"/>
        <v>1</v>
      </c>
    </row>
    <row r="175" spans="1:13">
      <c r="A175">
        <v>15</v>
      </c>
      <c r="B175">
        <v>15</v>
      </c>
      <c r="C175" s="21">
        <f>EDATE(参数设置!$B$4,A175-1)</f>
        <v>46670</v>
      </c>
      <c r="D175" s="14">
        <f>IF(AND(A175&lt;=参数设置!$B$6,OR(INDEX(月度资金流!$B$7:$B$42,A175)="策略一：消费贷款+买基金",INDEX(月度资金流!$B$7:$B$42,A175)="策略二：新贷偿还旧贷")),参数设置!$B$5,0)</f>
        <v>23400</v>
      </c>
      <c r="E175">
        <v>4</v>
      </c>
      <c r="F175" s="21">
        <f t="shared" si="8"/>
        <v>46788</v>
      </c>
      <c r="G175" s="21">
        <f>IF(E175&lt;参数设置!$B$14,DATE(YEAR(EDATE(C175,E175+1)),MONTH(EDATE(C175,E175+1)),参数设置!$B$15),EDATE(C175,参数设置!$B$14))</f>
        <v>46817</v>
      </c>
      <c r="H175">
        <f t="shared" si="9"/>
        <v>29</v>
      </c>
      <c r="I175" s="14">
        <f>IF(E175=参数设置!$B$14,D175,0)</f>
        <v>0</v>
      </c>
      <c r="J175" s="14">
        <f>IF(M175=1,ROUND(D175*参数设置!$B$12*H175/参数设置!$B$13,参数设置!$B$16),0)</f>
        <v>62.21</v>
      </c>
      <c r="K175" s="14">
        <f t="shared" si="10"/>
        <v>62.21</v>
      </c>
      <c r="L175" s="21">
        <f>EDATE(C175,参数设置!$B$14)</f>
        <v>47036</v>
      </c>
      <c r="M175">
        <f t="shared" si="11"/>
        <v>1</v>
      </c>
    </row>
    <row r="176" spans="1:13">
      <c r="A176">
        <v>15</v>
      </c>
      <c r="B176">
        <v>15</v>
      </c>
      <c r="C176" s="21">
        <f>EDATE(参数设置!$B$4,A176-1)</f>
        <v>46670</v>
      </c>
      <c r="D176" s="14">
        <f>IF(AND(A176&lt;=参数设置!$B$6,OR(INDEX(月度资金流!$B$7:$B$42,A176)="策略一：消费贷款+买基金",INDEX(月度资金流!$B$7:$B$42,A176)="策略二：新贷偿还旧贷")),参数设置!$B$5,0)</f>
        <v>23400</v>
      </c>
      <c r="E176">
        <v>5</v>
      </c>
      <c r="F176" s="21">
        <f t="shared" si="8"/>
        <v>46817</v>
      </c>
      <c r="G176" s="21">
        <f>IF(E176&lt;参数设置!$B$14,DATE(YEAR(EDATE(C176,E176+1)),MONTH(EDATE(C176,E176+1)),参数设置!$B$15),EDATE(C176,参数设置!$B$14))</f>
        <v>46848</v>
      </c>
      <c r="H176">
        <f t="shared" si="9"/>
        <v>31</v>
      </c>
      <c r="I176" s="14">
        <f>IF(E176=参数设置!$B$14,D176,0)</f>
        <v>0</v>
      </c>
      <c r="J176" s="14">
        <f>IF(M176=1,ROUND(D176*参数设置!$B$12*H176/参数设置!$B$13,参数设置!$B$16),0)</f>
        <v>66.5</v>
      </c>
      <c r="K176" s="14">
        <f t="shared" si="10"/>
        <v>66.5</v>
      </c>
      <c r="L176" s="21">
        <f>EDATE(C176,参数设置!$B$14)</f>
        <v>47036</v>
      </c>
      <c r="M176">
        <f t="shared" si="11"/>
        <v>1</v>
      </c>
    </row>
    <row r="177" spans="1:13">
      <c r="A177">
        <v>15</v>
      </c>
      <c r="B177">
        <v>15</v>
      </c>
      <c r="C177" s="21">
        <f>EDATE(参数设置!$B$4,A177-1)</f>
        <v>46670</v>
      </c>
      <c r="D177" s="14">
        <f>IF(AND(A177&lt;=参数设置!$B$6,OR(INDEX(月度资金流!$B$7:$B$42,A177)="策略一：消费贷款+买基金",INDEX(月度资金流!$B$7:$B$42,A177)="策略二：新贷偿还旧贷")),参数设置!$B$5,0)</f>
        <v>23400</v>
      </c>
      <c r="E177">
        <v>6</v>
      </c>
      <c r="F177" s="21">
        <f t="shared" si="8"/>
        <v>46848</v>
      </c>
      <c r="G177" s="21">
        <f>IF(E177&lt;参数设置!$B$14,DATE(YEAR(EDATE(C177,E177+1)),MONTH(EDATE(C177,E177+1)),参数设置!$B$15),EDATE(C177,参数设置!$B$14))</f>
        <v>46878</v>
      </c>
      <c r="H177">
        <f t="shared" si="9"/>
        <v>30</v>
      </c>
      <c r="I177" s="14">
        <f>IF(E177=参数设置!$B$14,D177,0)</f>
        <v>0</v>
      </c>
      <c r="J177" s="14">
        <f>IF(M177=1,ROUND(D177*参数设置!$B$12*H177/参数设置!$B$13,参数设置!$B$16),0)</f>
        <v>64.349999999999994</v>
      </c>
      <c r="K177" s="14">
        <f t="shared" si="10"/>
        <v>64.349999999999994</v>
      </c>
      <c r="L177" s="21">
        <f>EDATE(C177,参数设置!$B$14)</f>
        <v>47036</v>
      </c>
      <c r="M177">
        <f t="shared" si="11"/>
        <v>1</v>
      </c>
    </row>
    <row r="178" spans="1:13">
      <c r="A178">
        <v>15</v>
      </c>
      <c r="B178">
        <v>15</v>
      </c>
      <c r="C178" s="21">
        <f>EDATE(参数设置!$B$4,A178-1)</f>
        <v>46670</v>
      </c>
      <c r="D178" s="14">
        <f>IF(AND(A178&lt;=参数设置!$B$6,OR(INDEX(月度资金流!$B$7:$B$42,A178)="策略一：消费贷款+买基金",INDEX(月度资金流!$B$7:$B$42,A178)="策略二：新贷偿还旧贷")),参数设置!$B$5,0)</f>
        <v>23400</v>
      </c>
      <c r="E178">
        <v>7</v>
      </c>
      <c r="F178" s="21">
        <f t="shared" si="8"/>
        <v>46878</v>
      </c>
      <c r="G178" s="21">
        <f>IF(E178&lt;参数设置!$B$14,DATE(YEAR(EDATE(C178,E178+1)),MONTH(EDATE(C178,E178+1)),参数设置!$B$15),EDATE(C178,参数设置!$B$14))</f>
        <v>46909</v>
      </c>
      <c r="H178">
        <f t="shared" si="9"/>
        <v>31</v>
      </c>
      <c r="I178" s="14">
        <f>IF(E178=参数设置!$B$14,D178,0)</f>
        <v>0</v>
      </c>
      <c r="J178" s="14">
        <f>IF(M178=1,ROUND(D178*参数设置!$B$12*H178/参数设置!$B$13,参数设置!$B$16),0)</f>
        <v>66.5</v>
      </c>
      <c r="K178" s="14">
        <f t="shared" si="10"/>
        <v>66.5</v>
      </c>
      <c r="L178" s="21">
        <f>EDATE(C178,参数设置!$B$14)</f>
        <v>47036</v>
      </c>
      <c r="M178">
        <f t="shared" si="11"/>
        <v>1</v>
      </c>
    </row>
    <row r="179" spans="1:13">
      <c r="A179">
        <v>15</v>
      </c>
      <c r="B179">
        <v>15</v>
      </c>
      <c r="C179" s="21">
        <f>EDATE(参数设置!$B$4,A179-1)</f>
        <v>46670</v>
      </c>
      <c r="D179" s="14">
        <f>IF(AND(A179&lt;=参数设置!$B$6,OR(INDEX(月度资金流!$B$7:$B$42,A179)="策略一：消费贷款+买基金",INDEX(月度资金流!$B$7:$B$42,A179)="策略二：新贷偿还旧贷")),参数设置!$B$5,0)</f>
        <v>23400</v>
      </c>
      <c r="E179">
        <v>8</v>
      </c>
      <c r="F179" s="21">
        <f t="shared" si="8"/>
        <v>46909</v>
      </c>
      <c r="G179" s="21">
        <f>IF(E179&lt;参数设置!$B$14,DATE(YEAR(EDATE(C179,E179+1)),MONTH(EDATE(C179,E179+1)),参数设置!$B$15),EDATE(C179,参数设置!$B$14))</f>
        <v>46939</v>
      </c>
      <c r="H179">
        <f t="shared" si="9"/>
        <v>30</v>
      </c>
      <c r="I179" s="14">
        <f>IF(E179=参数设置!$B$14,D179,0)</f>
        <v>0</v>
      </c>
      <c r="J179" s="14">
        <f>IF(M179=1,ROUND(D179*参数设置!$B$12*H179/参数设置!$B$13,参数设置!$B$16),0)</f>
        <v>64.349999999999994</v>
      </c>
      <c r="K179" s="14">
        <f t="shared" si="10"/>
        <v>64.349999999999994</v>
      </c>
      <c r="L179" s="21">
        <f>EDATE(C179,参数设置!$B$14)</f>
        <v>47036</v>
      </c>
      <c r="M179">
        <f t="shared" si="11"/>
        <v>1</v>
      </c>
    </row>
    <row r="180" spans="1:13">
      <c r="A180">
        <v>15</v>
      </c>
      <c r="B180">
        <v>15</v>
      </c>
      <c r="C180" s="21">
        <f>EDATE(参数设置!$B$4,A180-1)</f>
        <v>46670</v>
      </c>
      <c r="D180" s="14">
        <f>IF(AND(A180&lt;=参数设置!$B$6,OR(INDEX(月度资金流!$B$7:$B$42,A180)="策略一：消费贷款+买基金",INDEX(月度资金流!$B$7:$B$42,A180)="策略二：新贷偿还旧贷")),参数设置!$B$5,0)</f>
        <v>23400</v>
      </c>
      <c r="E180">
        <v>9</v>
      </c>
      <c r="F180" s="21">
        <f t="shared" si="8"/>
        <v>46939</v>
      </c>
      <c r="G180" s="21">
        <f>IF(E180&lt;参数设置!$B$14,DATE(YEAR(EDATE(C180,E180+1)),MONTH(EDATE(C180,E180+1)),参数设置!$B$15),EDATE(C180,参数设置!$B$14))</f>
        <v>46970</v>
      </c>
      <c r="H180">
        <f t="shared" si="9"/>
        <v>31</v>
      </c>
      <c r="I180" s="14">
        <f>IF(E180=参数设置!$B$14,D180,0)</f>
        <v>0</v>
      </c>
      <c r="J180" s="14">
        <f>IF(M180=1,ROUND(D180*参数设置!$B$12*H180/参数设置!$B$13,参数设置!$B$16),0)</f>
        <v>66.5</v>
      </c>
      <c r="K180" s="14">
        <f t="shared" si="10"/>
        <v>66.5</v>
      </c>
      <c r="L180" s="21">
        <f>EDATE(C180,参数设置!$B$14)</f>
        <v>47036</v>
      </c>
      <c r="M180">
        <f t="shared" si="11"/>
        <v>1</v>
      </c>
    </row>
    <row r="181" spans="1:13">
      <c r="A181">
        <v>15</v>
      </c>
      <c r="B181">
        <v>15</v>
      </c>
      <c r="C181" s="21">
        <f>EDATE(参数设置!$B$4,A181-1)</f>
        <v>46670</v>
      </c>
      <c r="D181" s="14">
        <f>IF(AND(A181&lt;=参数设置!$B$6,OR(INDEX(月度资金流!$B$7:$B$42,A181)="策略一：消费贷款+买基金",INDEX(月度资金流!$B$7:$B$42,A181)="策略二：新贷偿还旧贷")),参数设置!$B$5,0)</f>
        <v>23400</v>
      </c>
      <c r="E181">
        <v>10</v>
      </c>
      <c r="F181" s="21">
        <f t="shared" si="8"/>
        <v>46970</v>
      </c>
      <c r="G181" s="21">
        <f>IF(E181&lt;参数设置!$B$14,DATE(YEAR(EDATE(C181,E181+1)),MONTH(EDATE(C181,E181+1)),参数设置!$B$15),EDATE(C181,参数设置!$B$14))</f>
        <v>47001</v>
      </c>
      <c r="H181">
        <f t="shared" si="9"/>
        <v>31</v>
      </c>
      <c r="I181" s="14">
        <f>IF(E181=参数设置!$B$14,D181,0)</f>
        <v>0</v>
      </c>
      <c r="J181" s="14">
        <f>IF(M181=1,ROUND(D181*参数设置!$B$12*H181/参数设置!$B$13,参数设置!$B$16),0)</f>
        <v>66.5</v>
      </c>
      <c r="K181" s="14">
        <f t="shared" si="10"/>
        <v>66.5</v>
      </c>
      <c r="L181" s="21">
        <f>EDATE(C181,参数设置!$B$14)</f>
        <v>47036</v>
      </c>
      <c r="M181">
        <f t="shared" si="11"/>
        <v>1</v>
      </c>
    </row>
    <row r="182" spans="1:13">
      <c r="A182">
        <v>15</v>
      </c>
      <c r="B182">
        <v>15</v>
      </c>
      <c r="C182" s="21">
        <f>EDATE(参数设置!$B$4,A182-1)</f>
        <v>46670</v>
      </c>
      <c r="D182" s="14">
        <f>IF(AND(A182&lt;=参数设置!$B$6,OR(INDEX(月度资金流!$B$7:$B$42,A182)="策略一：消费贷款+买基金",INDEX(月度资金流!$B$7:$B$42,A182)="策略二：新贷偿还旧贷")),参数设置!$B$5,0)</f>
        <v>23400</v>
      </c>
      <c r="E182">
        <v>11</v>
      </c>
      <c r="F182" s="21">
        <f t="shared" si="8"/>
        <v>47001</v>
      </c>
      <c r="G182" s="21">
        <f>IF(E182&lt;参数设置!$B$14,DATE(YEAR(EDATE(C182,E182+1)),MONTH(EDATE(C182,E182+1)),参数设置!$B$15),EDATE(C182,参数设置!$B$14))</f>
        <v>47031</v>
      </c>
      <c r="H182">
        <f t="shared" si="9"/>
        <v>30</v>
      </c>
      <c r="I182" s="14">
        <f>IF(E182=参数设置!$B$14,D182,0)</f>
        <v>0</v>
      </c>
      <c r="J182" s="14">
        <f>IF(M182=1,ROUND(D182*参数设置!$B$12*H182/参数设置!$B$13,参数设置!$B$16),0)</f>
        <v>64.349999999999994</v>
      </c>
      <c r="K182" s="14">
        <f t="shared" si="10"/>
        <v>64.349999999999994</v>
      </c>
      <c r="L182" s="21">
        <f>EDATE(C182,参数设置!$B$14)</f>
        <v>47036</v>
      </c>
      <c r="M182">
        <f t="shared" si="11"/>
        <v>1</v>
      </c>
    </row>
    <row r="183" spans="1:13">
      <c r="A183">
        <v>15</v>
      </c>
      <c r="B183">
        <v>15</v>
      </c>
      <c r="C183" s="21">
        <f>EDATE(参数设置!$B$4,A183-1)</f>
        <v>46670</v>
      </c>
      <c r="D183" s="14">
        <f>IF(AND(A183&lt;=参数设置!$B$6,OR(INDEX(月度资金流!$B$7:$B$42,A183)="策略一：消费贷款+买基金",INDEX(月度资金流!$B$7:$B$42,A183)="策略二：新贷偿还旧贷")),参数设置!$B$5,0)</f>
        <v>23400</v>
      </c>
      <c r="E183">
        <v>12</v>
      </c>
      <c r="F183" s="21">
        <f t="shared" si="8"/>
        <v>47031</v>
      </c>
      <c r="G183" s="21">
        <f>IF(E183&lt;参数设置!$B$14,DATE(YEAR(EDATE(C183,E183+1)),MONTH(EDATE(C183,E183+1)),参数设置!$B$15),EDATE(C183,参数设置!$B$14))</f>
        <v>47036</v>
      </c>
      <c r="H183">
        <f t="shared" si="9"/>
        <v>5</v>
      </c>
      <c r="I183" s="14">
        <f>IF(E183=参数设置!$B$14,D183,0)</f>
        <v>23400</v>
      </c>
      <c r="J183" s="14">
        <f>IF(M183=1,ROUND(D183*参数设置!$B$12*H183/参数设置!$B$13,参数设置!$B$16),0)</f>
        <v>10.73</v>
      </c>
      <c r="K183" s="14">
        <f t="shared" si="10"/>
        <v>23410.73</v>
      </c>
      <c r="L183" s="21">
        <f>EDATE(C183,参数设置!$B$14)</f>
        <v>47036</v>
      </c>
      <c r="M183">
        <f t="shared" si="11"/>
        <v>1</v>
      </c>
    </row>
    <row r="184" spans="1:13">
      <c r="A184">
        <v>16</v>
      </c>
      <c r="B184">
        <v>16</v>
      </c>
      <c r="C184" s="21">
        <f>EDATE(参数设置!$B$4,A184-1)</f>
        <v>46701</v>
      </c>
      <c r="D184" s="14">
        <f>IF(AND(A184&lt;=参数设置!$B$6,OR(INDEX(月度资金流!$B$7:$B$42,A184)="策略一：消费贷款+买基金",INDEX(月度资金流!$B$7:$B$42,A184)="策略二：新贷偿还旧贷")),参数设置!$B$5,0)</f>
        <v>23400</v>
      </c>
      <c r="E184">
        <v>1</v>
      </c>
      <c r="F184" s="21">
        <f t="shared" si="8"/>
        <v>46701</v>
      </c>
      <c r="G184" s="21">
        <f>IF(E184&lt;参数设置!$B$14,DATE(YEAR(EDATE(C184,E184+1)),MONTH(EDATE(C184,E184+1)),参数设置!$B$15),EDATE(C184,参数设置!$B$14))</f>
        <v>46757</v>
      </c>
      <c r="H184">
        <f t="shared" si="9"/>
        <v>56</v>
      </c>
      <c r="I184" s="14">
        <f>IF(E184=参数设置!$B$14,D184,0)</f>
        <v>0</v>
      </c>
      <c r="J184" s="14">
        <f>IF(M184=1,ROUND(D184*参数设置!$B$12*H184/参数设置!$B$13,参数设置!$B$16),0)</f>
        <v>120.12</v>
      </c>
      <c r="K184" s="14">
        <f t="shared" si="10"/>
        <v>120.12</v>
      </c>
      <c r="L184" s="21">
        <f>EDATE(C184,参数设置!$B$14)</f>
        <v>47067</v>
      </c>
      <c r="M184">
        <f t="shared" si="11"/>
        <v>1</v>
      </c>
    </row>
    <row r="185" spans="1:13">
      <c r="A185">
        <v>16</v>
      </c>
      <c r="B185">
        <v>16</v>
      </c>
      <c r="C185" s="21">
        <f>EDATE(参数设置!$B$4,A185-1)</f>
        <v>46701</v>
      </c>
      <c r="D185" s="14">
        <f>IF(AND(A185&lt;=参数设置!$B$6,OR(INDEX(月度资金流!$B$7:$B$42,A185)="策略一：消费贷款+买基金",INDEX(月度资金流!$B$7:$B$42,A185)="策略二：新贷偿还旧贷")),参数设置!$B$5,0)</f>
        <v>23400</v>
      </c>
      <c r="E185">
        <v>2</v>
      </c>
      <c r="F185" s="21">
        <f t="shared" si="8"/>
        <v>46757</v>
      </c>
      <c r="G185" s="21">
        <f>IF(E185&lt;参数设置!$B$14,DATE(YEAR(EDATE(C185,E185+1)),MONTH(EDATE(C185,E185+1)),参数设置!$B$15),EDATE(C185,参数设置!$B$14))</f>
        <v>46788</v>
      </c>
      <c r="H185">
        <f t="shared" si="9"/>
        <v>31</v>
      </c>
      <c r="I185" s="14">
        <f>IF(E185=参数设置!$B$14,D185,0)</f>
        <v>0</v>
      </c>
      <c r="J185" s="14">
        <f>IF(M185=1,ROUND(D185*参数设置!$B$12*H185/参数设置!$B$13,参数设置!$B$16),0)</f>
        <v>66.5</v>
      </c>
      <c r="K185" s="14">
        <f t="shared" si="10"/>
        <v>66.5</v>
      </c>
      <c r="L185" s="21">
        <f>EDATE(C185,参数设置!$B$14)</f>
        <v>47067</v>
      </c>
      <c r="M185">
        <f t="shared" si="11"/>
        <v>1</v>
      </c>
    </row>
    <row r="186" spans="1:13">
      <c r="A186">
        <v>16</v>
      </c>
      <c r="B186">
        <v>16</v>
      </c>
      <c r="C186" s="21">
        <f>EDATE(参数设置!$B$4,A186-1)</f>
        <v>46701</v>
      </c>
      <c r="D186" s="14">
        <f>IF(AND(A186&lt;=参数设置!$B$6,OR(INDEX(月度资金流!$B$7:$B$42,A186)="策略一：消费贷款+买基金",INDEX(月度资金流!$B$7:$B$42,A186)="策略二：新贷偿还旧贷")),参数设置!$B$5,0)</f>
        <v>23400</v>
      </c>
      <c r="E186">
        <v>3</v>
      </c>
      <c r="F186" s="21">
        <f t="shared" si="8"/>
        <v>46788</v>
      </c>
      <c r="G186" s="21">
        <f>IF(E186&lt;参数设置!$B$14,DATE(YEAR(EDATE(C186,E186+1)),MONTH(EDATE(C186,E186+1)),参数设置!$B$15),EDATE(C186,参数设置!$B$14))</f>
        <v>46817</v>
      </c>
      <c r="H186">
        <f t="shared" si="9"/>
        <v>29</v>
      </c>
      <c r="I186" s="14">
        <f>IF(E186=参数设置!$B$14,D186,0)</f>
        <v>0</v>
      </c>
      <c r="J186" s="14">
        <f>IF(M186=1,ROUND(D186*参数设置!$B$12*H186/参数设置!$B$13,参数设置!$B$16),0)</f>
        <v>62.21</v>
      </c>
      <c r="K186" s="14">
        <f t="shared" si="10"/>
        <v>62.21</v>
      </c>
      <c r="L186" s="21">
        <f>EDATE(C186,参数设置!$B$14)</f>
        <v>47067</v>
      </c>
      <c r="M186">
        <f t="shared" si="11"/>
        <v>1</v>
      </c>
    </row>
    <row r="187" spans="1:13">
      <c r="A187">
        <v>16</v>
      </c>
      <c r="B187">
        <v>16</v>
      </c>
      <c r="C187" s="21">
        <f>EDATE(参数设置!$B$4,A187-1)</f>
        <v>46701</v>
      </c>
      <c r="D187" s="14">
        <f>IF(AND(A187&lt;=参数设置!$B$6,OR(INDEX(月度资金流!$B$7:$B$42,A187)="策略一：消费贷款+买基金",INDEX(月度资金流!$B$7:$B$42,A187)="策略二：新贷偿还旧贷")),参数设置!$B$5,0)</f>
        <v>23400</v>
      </c>
      <c r="E187">
        <v>4</v>
      </c>
      <c r="F187" s="21">
        <f t="shared" si="8"/>
        <v>46817</v>
      </c>
      <c r="G187" s="21">
        <f>IF(E187&lt;参数设置!$B$14,DATE(YEAR(EDATE(C187,E187+1)),MONTH(EDATE(C187,E187+1)),参数设置!$B$15),EDATE(C187,参数设置!$B$14))</f>
        <v>46848</v>
      </c>
      <c r="H187">
        <f t="shared" si="9"/>
        <v>31</v>
      </c>
      <c r="I187" s="14">
        <f>IF(E187=参数设置!$B$14,D187,0)</f>
        <v>0</v>
      </c>
      <c r="J187" s="14">
        <f>IF(M187=1,ROUND(D187*参数设置!$B$12*H187/参数设置!$B$13,参数设置!$B$16),0)</f>
        <v>66.5</v>
      </c>
      <c r="K187" s="14">
        <f t="shared" si="10"/>
        <v>66.5</v>
      </c>
      <c r="L187" s="21">
        <f>EDATE(C187,参数设置!$B$14)</f>
        <v>47067</v>
      </c>
      <c r="M187">
        <f t="shared" si="11"/>
        <v>1</v>
      </c>
    </row>
    <row r="188" spans="1:13">
      <c r="A188">
        <v>16</v>
      </c>
      <c r="B188">
        <v>16</v>
      </c>
      <c r="C188" s="21">
        <f>EDATE(参数设置!$B$4,A188-1)</f>
        <v>46701</v>
      </c>
      <c r="D188" s="14">
        <f>IF(AND(A188&lt;=参数设置!$B$6,OR(INDEX(月度资金流!$B$7:$B$42,A188)="策略一：消费贷款+买基金",INDEX(月度资金流!$B$7:$B$42,A188)="策略二：新贷偿还旧贷")),参数设置!$B$5,0)</f>
        <v>23400</v>
      </c>
      <c r="E188">
        <v>5</v>
      </c>
      <c r="F188" s="21">
        <f t="shared" si="8"/>
        <v>46848</v>
      </c>
      <c r="G188" s="21">
        <f>IF(E188&lt;参数设置!$B$14,DATE(YEAR(EDATE(C188,E188+1)),MONTH(EDATE(C188,E188+1)),参数设置!$B$15),EDATE(C188,参数设置!$B$14))</f>
        <v>46878</v>
      </c>
      <c r="H188">
        <f t="shared" si="9"/>
        <v>30</v>
      </c>
      <c r="I188" s="14">
        <f>IF(E188=参数设置!$B$14,D188,0)</f>
        <v>0</v>
      </c>
      <c r="J188" s="14">
        <f>IF(M188=1,ROUND(D188*参数设置!$B$12*H188/参数设置!$B$13,参数设置!$B$16),0)</f>
        <v>64.349999999999994</v>
      </c>
      <c r="K188" s="14">
        <f t="shared" si="10"/>
        <v>64.349999999999994</v>
      </c>
      <c r="L188" s="21">
        <f>EDATE(C188,参数设置!$B$14)</f>
        <v>47067</v>
      </c>
      <c r="M188">
        <f t="shared" si="11"/>
        <v>1</v>
      </c>
    </row>
    <row r="189" spans="1:13">
      <c r="A189">
        <v>16</v>
      </c>
      <c r="B189">
        <v>16</v>
      </c>
      <c r="C189" s="21">
        <f>EDATE(参数设置!$B$4,A189-1)</f>
        <v>46701</v>
      </c>
      <c r="D189" s="14">
        <f>IF(AND(A189&lt;=参数设置!$B$6,OR(INDEX(月度资金流!$B$7:$B$42,A189)="策略一：消费贷款+买基金",INDEX(月度资金流!$B$7:$B$42,A189)="策略二：新贷偿还旧贷")),参数设置!$B$5,0)</f>
        <v>23400</v>
      </c>
      <c r="E189">
        <v>6</v>
      </c>
      <c r="F189" s="21">
        <f t="shared" si="8"/>
        <v>46878</v>
      </c>
      <c r="G189" s="21">
        <f>IF(E189&lt;参数设置!$B$14,DATE(YEAR(EDATE(C189,E189+1)),MONTH(EDATE(C189,E189+1)),参数设置!$B$15),EDATE(C189,参数设置!$B$14))</f>
        <v>46909</v>
      </c>
      <c r="H189">
        <f t="shared" si="9"/>
        <v>31</v>
      </c>
      <c r="I189" s="14">
        <f>IF(E189=参数设置!$B$14,D189,0)</f>
        <v>0</v>
      </c>
      <c r="J189" s="14">
        <f>IF(M189=1,ROUND(D189*参数设置!$B$12*H189/参数设置!$B$13,参数设置!$B$16),0)</f>
        <v>66.5</v>
      </c>
      <c r="K189" s="14">
        <f t="shared" si="10"/>
        <v>66.5</v>
      </c>
      <c r="L189" s="21">
        <f>EDATE(C189,参数设置!$B$14)</f>
        <v>47067</v>
      </c>
      <c r="M189">
        <f t="shared" si="11"/>
        <v>1</v>
      </c>
    </row>
    <row r="190" spans="1:13">
      <c r="A190">
        <v>16</v>
      </c>
      <c r="B190">
        <v>16</v>
      </c>
      <c r="C190" s="21">
        <f>EDATE(参数设置!$B$4,A190-1)</f>
        <v>46701</v>
      </c>
      <c r="D190" s="14">
        <f>IF(AND(A190&lt;=参数设置!$B$6,OR(INDEX(月度资金流!$B$7:$B$42,A190)="策略一：消费贷款+买基金",INDEX(月度资金流!$B$7:$B$42,A190)="策略二：新贷偿还旧贷")),参数设置!$B$5,0)</f>
        <v>23400</v>
      </c>
      <c r="E190">
        <v>7</v>
      </c>
      <c r="F190" s="21">
        <f t="shared" si="8"/>
        <v>46909</v>
      </c>
      <c r="G190" s="21">
        <f>IF(E190&lt;参数设置!$B$14,DATE(YEAR(EDATE(C190,E190+1)),MONTH(EDATE(C190,E190+1)),参数设置!$B$15),EDATE(C190,参数设置!$B$14))</f>
        <v>46939</v>
      </c>
      <c r="H190">
        <f t="shared" si="9"/>
        <v>30</v>
      </c>
      <c r="I190" s="14">
        <f>IF(E190=参数设置!$B$14,D190,0)</f>
        <v>0</v>
      </c>
      <c r="J190" s="14">
        <f>IF(M190=1,ROUND(D190*参数设置!$B$12*H190/参数设置!$B$13,参数设置!$B$16),0)</f>
        <v>64.349999999999994</v>
      </c>
      <c r="K190" s="14">
        <f t="shared" si="10"/>
        <v>64.349999999999994</v>
      </c>
      <c r="L190" s="21">
        <f>EDATE(C190,参数设置!$B$14)</f>
        <v>47067</v>
      </c>
      <c r="M190">
        <f t="shared" si="11"/>
        <v>1</v>
      </c>
    </row>
    <row r="191" spans="1:13">
      <c r="A191">
        <v>16</v>
      </c>
      <c r="B191">
        <v>16</v>
      </c>
      <c r="C191" s="21">
        <f>EDATE(参数设置!$B$4,A191-1)</f>
        <v>46701</v>
      </c>
      <c r="D191" s="14">
        <f>IF(AND(A191&lt;=参数设置!$B$6,OR(INDEX(月度资金流!$B$7:$B$42,A191)="策略一：消费贷款+买基金",INDEX(月度资金流!$B$7:$B$42,A191)="策略二：新贷偿还旧贷")),参数设置!$B$5,0)</f>
        <v>23400</v>
      </c>
      <c r="E191">
        <v>8</v>
      </c>
      <c r="F191" s="21">
        <f t="shared" si="8"/>
        <v>46939</v>
      </c>
      <c r="G191" s="21">
        <f>IF(E191&lt;参数设置!$B$14,DATE(YEAR(EDATE(C191,E191+1)),MONTH(EDATE(C191,E191+1)),参数设置!$B$15),EDATE(C191,参数设置!$B$14))</f>
        <v>46970</v>
      </c>
      <c r="H191">
        <f t="shared" si="9"/>
        <v>31</v>
      </c>
      <c r="I191" s="14">
        <f>IF(E191=参数设置!$B$14,D191,0)</f>
        <v>0</v>
      </c>
      <c r="J191" s="14">
        <f>IF(M191=1,ROUND(D191*参数设置!$B$12*H191/参数设置!$B$13,参数设置!$B$16),0)</f>
        <v>66.5</v>
      </c>
      <c r="K191" s="14">
        <f t="shared" si="10"/>
        <v>66.5</v>
      </c>
      <c r="L191" s="21">
        <f>EDATE(C191,参数设置!$B$14)</f>
        <v>47067</v>
      </c>
      <c r="M191">
        <f t="shared" si="11"/>
        <v>1</v>
      </c>
    </row>
    <row r="192" spans="1:13">
      <c r="A192">
        <v>16</v>
      </c>
      <c r="B192">
        <v>16</v>
      </c>
      <c r="C192" s="21">
        <f>EDATE(参数设置!$B$4,A192-1)</f>
        <v>46701</v>
      </c>
      <c r="D192" s="14">
        <f>IF(AND(A192&lt;=参数设置!$B$6,OR(INDEX(月度资金流!$B$7:$B$42,A192)="策略一：消费贷款+买基金",INDEX(月度资金流!$B$7:$B$42,A192)="策略二：新贷偿还旧贷")),参数设置!$B$5,0)</f>
        <v>23400</v>
      </c>
      <c r="E192">
        <v>9</v>
      </c>
      <c r="F192" s="21">
        <f t="shared" si="8"/>
        <v>46970</v>
      </c>
      <c r="G192" s="21">
        <f>IF(E192&lt;参数设置!$B$14,DATE(YEAR(EDATE(C192,E192+1)),MONTH(EDATE(C192,E192+1)),参数设置!$B$15),EDATE(C192,参数设置!$B$14))</f>
        <v>47001</v>
      </c>
      <c r="H192">
        <f t="shared" si="9"/>
        <v>31</v>
      </c>
      <c r="I192" s="14">
        <f>IF(E192=参数设置!$B$14,D192,0)</f>
        <v>0</v>
      </c>
      <c r="J192" s="14">
        <f>IF(M192=1,ROUND(D192*参数设置!$B$12*H192/参数设置!$B$13,参数设置!$B$16),0)</f>
        <v>66.5</v>
      </c>
      <c r="K192" s="14">
        <f t="shared" si="10"/>
        <v>66.5</v>
      </c>
      <c r="L192" s="21">
        <f>EDATE(C192,参数设置!$B$14)</f>
        <v>47067</v>
      </c>
      <c r="M192">
        <f t="shared" si="11"/>
        <v>1</v>
      </c>
    </row>
    <row r="193" spans="1:13">
      <c r="A193">
        <v>16</v>
      </c>
      <c r="B193">
        <v>16</v>
      </c>
      <c r="C193" s="21">
        <f>EDATE(参数设置!$B$4,A193-1)</f>
        <v>46701</v>
      </c>
      <c r="D193" s="14">
        <f>IF(AND(A193&lt;=参数设置!$B$6,OR(INDEX(月度资金流!$B$7:$B$42,A193)="策略一：消费贷款+买基金",INDEX(月度资金流!$B$7:$B$42,A193)="策略二：新贷偿还旧贷")),参数设置!$B$5,0)</f>
        <v>23400</v>
      </c>
      <c r="E193">
        <v>10</v>
      </c>
      <c r="F193" s="21">
        <f t="shared" si="8"/>
        <v>47001</v>
      </c>
      <c r="G193" s="21">
        <f>IF(E193&lt;参数设置!$B$14,DATE(YEAR(EDATE(C193,E193+1)),MONTH(EDATE(C193,E193+1)),参数设置!$B$15),EDATE(C193,参数设置!$B$14))</f>
        <v>47031</v>
      </c>
      <c r="H193">
        <f t="shared" si="9"/>
        <v>30</v>
      </c>
      <c r="I193" s="14">
        <f>IF(E193=参数设置!$B$14,D193,0)</f>
        <v>0</v>
      </c>
      <c r="J193" s="14">
        <f>IF(M193=1,ROUND(D193*参数设置!$B$12*H193/参数设置!$B$13,参数设置!$B$16),0)</f>
        <v>64.349999999999994</v>
      </c>
      <c r="K193" s="14">
        <f t="shared" si="10"/>
        <v>64.349999999999994</v>
      </c>
      <c r="L193" s="21">
        <f>EDATE(C193,参数设置!$B$14)</f>
        <v>47067</v>
      </c>
      <c r="M193">
        <f t="shared" si="11"/>
        <v>1</v>
      </c>
    </row>
    <row r="194" spans="1:13">
      <c r="A194">
        <v>16</v>
      </c>
      <c r="B194">
        <v>16</v>
      </c>
      <c r="C194" s="21">
        <f>EDATE(参数设置!$B$4,A194-1)</f>
        <v>46701</v>
      </c>
      <c r="D194" s="14">
        <f>IF(AND(A194&lt;=参数设置!$B$6,OR(INDEX(月度资金流!$B$7:$B$42,A194)="策略一：消费贷款+买基金",INDEX(月度资金流!$B$7:$B$42,A194)="策略二：新贷偿还旧贷")),参数设置!$B$5,0)</f>
        <v>23400</v>
      </c>
      <c r="E194">
        <v>11</v>
      </c>
      <c r="F194" s="21">
        <f t="shared" si="8"/>
        <v>47031</v>
      </c>
      <c r="G194" s="21">
        <f>IF(E194&lt;参数设置!$B$14,DATE(YEAR(EDATE(C194,E194+1)),MONTH(EDATE(C194,E194+1)),参数设置!$B$15),EDATE(C194,参数设置!$B$14))</f>
        <v>47062</v>
      </c>
      <c r="H194">
        <f t="shared" si="9"/>
        <v>31</v>
      </c>
      <c r="I194" s="14">
        <f>IF(E194=参数设置!$B$14,D194,0)</f>
        <v>0</v>
      </c>
      <c r="J194" s="14">
        <f>IF(M194=1,ROUND(D194*参数设置!$B$12*H194/参数设置!$B$13,参数设置!$B$16),0)</f>
        <v>66.5</v>
      </c>
      <c r="K194" s="14">
        <f t="shared" si="10"/>
        <v>66.5</v>
      </c>
      <c r="L194" s="21">
        <f>EDATE(C194,参数设置!$B$14)</f>
        <v>47067</v>
      </c>
      <c r="M194">
        <f t="shared" si="11"/>
        <v>1</v>
      </c>
    </row>
    <row r="195" spans="1:13">
      <c r="A195">
        <v>16</v>
      </c>
      <c r="B195">
        <v>16</v>
      </c>
      <c r="C195" s="21">
        <f>EDATE(参数设置!$B$4,A195-1)</f>
        <v>46701</v>
      </c>
      <c r="D195" s="14">
        <f>IF(AND(A195&lt;=参数设置!$B$6,OR(INDEX(月度资金流!$B$7:$B$42,A195)="策略一：消费贷款+买基金",INDEX(月度资金流!$B$7:$B$42,A195)="策略二：新贷偿还旧贷")),参数设置!$B$5,0)</f>
        <v>23400</v>
      </c>
      <c r="E195">
        <v>12</v>
      </c>
      <c r="F195" s="21">
        <f t="shared" si="8"/>
        <v>47062</v>
      </c>
      <c r="G195" s="21">
        <f>IF(E195&lt;参数设置!$B$14,DATE(YEAR(EDATE(C195,E195+1)),MONTH(EDATE(C195,E195+1)),参数设置!$B$15),EDATE(C195,参数设置!$B$14))</f>
        <v>47067</v>
      </c>
      <c r="H195">
        <f t="shared" si="9"/>
        <v>5</v>
      </c>
      <c r="I195" s="14">
        <f>IF(E195=参数设置!$B$14,D195,0)</f>
        <v>23400</v>
      </c>
      <c r="J195" s="14">
        <f>IF(M195=1,ROUND(D195*参数设置!$B$12*H195/参数设置!$B$13,参数设置!$B$16),0)</f>
        <v>10.73</v>
      </c>
      <c r="K195" s="14">
        <f t="shared" si="10"/>
        <v>23410.73</v>
      </c>
      <c r="L195" s="21">
        <f>EDATE(C195,参数设置!$B$14)</f>
        <v>47067</v>
      </c>
      <c r="M195">
        <f t="shared" si="11"/>
        <v>1</v>
      </c>
    </row>
    <row r="196" spans="1:13">
      <c r="A196">
        <v>17</v>
      </c>
      <c r="B196">
        <v>17</v>
      </c>
      <c r="C196" s="21">
        <f>EDATE(参数设置!$B$4,A196-1)</f>
        <v>46731</v>
      </c>
      <c r="D196" s="14">
        <f>IF(AND(A196&lt;=参数设置!$B$6,OR(INDEX(月度资金流!$B$7:$B$42,A196)="策略一：消费贷款+买基金",INDEX(月度资金流!$B$7:$B$42,A196)="策略二：新贷偿还旧贷")),参数设置!$B$5,0)</f>
        <v>23400</v>
      </c>
      <c r="E196">
        <v>1</v>
      </c>
      <c r="F196" s="21">
        <f t="shared" ref="F196:F259" si="12">IF(E196=1,C196,G195)</f>
        <v>46731</v>
      </c>
      <c r="G196" s="21">
        <f>IF(E196&lt;参数设置!$B$14,DATE(YEAR(EDATE(C196,E196+1)),MONTH(EDATE(C196,E196+1)),参数设置!$B$15),EDATE(C196,参数设置!$B$14))</f>
        <v>46788</v>
      </c>
      <c r="H196">
        <f t="shared" ref="H196:H259" si="13">G196-F196</f>
        <v>57</v>
      </c>
      <c r="I196" s="14">
        <f>IF(E196=参数设置!$B$14,D196,0)</f>
        <v>0</v>
      </c>
      <c r="J196" s="14">
        <f>IF(M196=1,ROUND(D196*参数设置!$B$12*H196/参数设置!$B$13,参数设置!$B$16),0)</f>
        <v>122.27</v>
      </c>
      <c r="K196" s="14">
        <f t="shared" ref="K196:K259" si="14">I196+J196</f>
        <v>122.27</v>
      </c>
      <c r="L196" s="21">
        <f>EDATE(C196,参数设置!$B$14)</f>
        <v>47097</v>
      </c>
      <c r="M196">
        <f t="shared" ref="M196:M259" si="15">--(D196&gt;0)</f>
        <v>1</v>
      </c>
    </row>
    <row r="197" spans="1:13">
      <c r="A197">
        <v>17</v>
      </c>
      <c r="B197">
        <v>17</v>
      </c>
      <c r="C197" s="21">
        <f>EDATE(参数设置!$B$4,A197-1)</f>
        <v>46731</v>
      </c>
      <c r="D197" s="14">
        <f>IF(AND(A197&lt;=参数设置!$B$6,OR(INDEX(月度资金流!$B$7:$B$42,A197)="策略一：消费贷款+买基金",INDEX(月度资金流!$B$7:$B$42,A197)="策略二：新贷偿还旧贷")),参数设置!$B$5,0)</f>
        <v>23400</v>
      </c>
      <c r="E197">
        <v>2</v>
      </c>
      <c r="F197" s="21">
        <f t="shared" si="12"/>
        <v>46788</v>
      </c>
      <c r="G197" s="21">
        <f>IF(E197&lt;参数设置!$B$14,DATE(YEAR(EDATE(C197,E197+1)),MONTH(EDATE(C197,E197+1)),参数设置!$B$15),EDATE(C197,参数设置!$B$14))</f>
        <v>46817</v>
      </c>
      <c r="H197">
        <f t="shared" si="13"/>
        <v>29</v>
      </c>
      <c r="I197" s="14">
        <f>IF(E197=参数设置!$B$14,D197,0)</f>
        <v>0</v>
      </c>
      <c r="J197" s="14">
        <f>IF(M197=1,ROUND(D197*参数设置!$B$12*H197/参数设置!$B$13,参数设置!$B$16),0)</f>
        <v>62.21</v>
      </c>
      <c r="K197" s="14">
        <f t="shared" si="14"/>
        <v>62.21</v>
      </c>
      <c r="L197" s="21">
        <f>EDATE(C197,参数设置!$B$14)</f>
        <v>47097</v>
      </c>
      <c r="M197">
        <f t="shared" si="15"/>
        <v>1</v>
      </c>
    </row>
    <row r="198" spans="1:13">
      <c r="A198">
        <v>17</v>
      </c>
      <c r="B198">
        <v>17</v>
      </c>
      <c r="C198" s="21">
        <f>EDATE(参数设置!$B$4,A198-1)</f>
        <v>46731</v>
      </c>
      <c r="D198" s="14">
        <f>IF(AND(A198&lt;=参数设置!$B$6,OR(INDEX(月度资金流!$B$7:$B$42,A198)="策略一：消费贷款+买基金",INDEX(月度资金流!$B$7:$B$42,A198)="策略二：新贷偿还旧贷")),参数设置!$B$5,0)</f>
        <v>23400</v>
      </c>
      <c r="E198">
        <v>3</v>
      </c>
      <c r="F198" s="21">
        <f t="shared" si="12"/>
        <v>46817</v>
      </c>
      <c r="G198" s="21">
        <f>IF(E198&lt;参数设置!$B$14,DATE(YEAR(EDATE(C198,E198+1)),MONTH(EDATE(C198,E198+1)),参数设置!$B$15),EDATE(C198,参数设置!$B$14))</f>
        <v>46848</v>
      </c>
      <c r="H198">
        <f t="shared" si="13"/>
        <v>31</v>
      </c>
      <c r="I198" s="14">
        <f>IF(E198=参数设置!$B$14,D198,0)</f>
        <v>0</v>
      </c>
      <c r="J198" s="14">
        <f>IF(M198=1,ROUND(D198*参数设置!$B$12*H198/参数设置!$B$13,参数设置!$B$16),0)</f>
        <v>66.5</v>
      </c>
      <c r="K198" s="14">
        <f t="shared" si="14"/>
        <v>66.5</v>
      </c>
      <c r="L198" s="21">
        <f>EDATE(C198,参数设置!$B$14)</f>
        <v>47097</v>
      </c>
      <c r="M198">
        <f t="shared" si="15"/>
        <v>1</v>
      </c>
    </row>
    <row r="199" spans="1:13">
      <c r="A199">
        <v>17</v>
      </c>
      <c r="B199">
        <v>17</v>
      </c>
      <c r="C199" s="21">
        <f>EDATE(参数设置!$B$4,A199-1)</f>
        <v>46731</v>
      </c>
      <c r="D199" s="14">
        <f>IF(AND(A199&lt;=参数设置!$B$6,OR(INDEX(月度资金流!$B$7:$B$42,A199)="策略一：消费贷款+买基金",INDEX(月度资金流!$B$7:$B$42,A199)="策略二：新贷偿还旧贷")),参数设置!$B$5,0)</f>
        <v>23400</v>
      </c>
      <c r="E199">
        <v>4</v>
      </c>
      <c r="F199" s="21">
        <f t="shared" si="12"/>
        <v>46848</v>
      </c>
      <c r="G199" s="21">
        <f>IF(E199&lt;参数设置!$B$14,DATE(YEAR(EDATE(C199,E199+1)),MONTH(EDATE(C199,E199+1)),参数设置!$B$15),EDATE(C199,参数设置!$B$14))</f>
        <v>46878</v>
      </c>
      <c r="H199">
        <f t="shared" si="13"/>
        <v>30</v>
      </c>
      <c r="I199" s="14">
        <f>IF(E199=参数设置!$B$14,D199,0)</f>
        <v>0</v>
      </c>
      <c r="J199" s="14">
        <f>IF(M199=1,ROUND(D199*参数设置!$B$12*H199/参数设置!$B$13,参数设置!$B$16),0)</f>
        <v>64.349999999999994</v>
      </c>
      <c r="K199" s="14">
        <f t="shared" si="14"/>
        <v>64.349999999999994</v>
      </c>
      <c r="L199" s="21">
        <f>EDATE(C199,参数设置!$B$14)</f>
        <v>47097</v>
      </c>
      <c r="M199">
        <f t="shared" si="15"/>
        <v>1</v>
      </c>
    </row>
    <row r="200" spans="1:13">
      <c r="A200">
        <v>17</v>
      </c>
      <c r="B200">
        <v>17</v>
      </c>
      <c r="C200" s="21">
        <f>EDATE(参数设置!$B$4,A200-1)</f>
        <v>46731</v>
      </c>
      <c r="D200" s="14">
        <f>IF(AND(A200&lt;=参数设置!$B$6,OR(INDEX(月度资金流!$B$7:$B$42,A200)="策略一：消费贷款+买基金",INDEX(月度资金流!$B$7:$B$42,A200)="策略二：新贷偿还旧贷")),参数设置!$B$5,0)</f>
        <v>23400</v>
      </c>
      <c r="E200">
        <v>5</v>
      </c>
      <c r="F200" s="21">
        <f t="shared" si="12"/>
        <v>46878</v>
      </c>
      <c r="G200" s="21">
        <f>IF(E200&lt;参数设置!$B$14,DATE(YEAR(EDATE(C200,E200+1)),MONTH(EDATE(C200,E200+1)),参数设置!$B$15),EDATE(C200,参数设置!$B$14))</f>
        <v>46909</v>
      </c>
      <c r="H200">
        <f t="shared" si="13"/>
        <v>31</v>
      </c>
      <c r="I200" s="14">
        <f>IF(E200=参数设置!$B$14,D200,0)</f>
        <v>0</v>
      </c>
      <c r="J200" s="14">
        <f>IF(M200=1,ROUND(D200*参数设置!$B$12*H200/参数设置!$B$13,参数设置!$B$16),0)</f>
        <v>66.5</v>
      </c>
      <c r="K200" s="14">
        <f t="shared" si="14"/>
        <v>66.5</v>
      </c>
      <c r="L200" s="21">
        <f>EDATE(C200,参数设置!$B$14)</f>
        <v>47097</v>
      </c>
      <c r="M200">
        <f t="shared" si="15"/>
        <v>1</v>
      </c>
    </row>
    <row r="201" spans="1:13">
      <c r="A201">
        <v>17</v>
      </c>
      <c r="B201">
        <v>17</v>
      </c>
      <c r="C201" s="21">
        <f>EDATE(参数设置!$B$4,A201-1)</f>
        <v>46731</v>
      </c>
      <c r="D201" s="14">
        <f>IF(AND(A201&lt;=参数设置!$B$6,OR(INDEX(月度资金流!$B$7:$B$42,A201)="策略一：消费贷款+买基金",INDEX(月度资金流!$B$7:$B$42,A201)="策略二：新贷偿还旧贷")),参数设置!$B$5,0)</f>
        <v>23400</v>
      </c>
      <c r="E201">
        <v>6</v>
      </c>
      <c r="F201" s="21">
        <f t="shared" si="12"/>
        <v>46909</v>
      </c>
      <c r="G201" s="21">
        <f>IF(E201&lt;参数设置!$B$14,DATE(YEAR(EDATE(C201,E201+1)),MONTH(EDATE(C201,E201+1)),参数设置!$B$15),EDATE(C201,参数设置!$B$14))</f>
        <v>46939</v>
      </c>
      <c r="H201">
        <f t="shared" si="13"/>
        <v>30</v>
      </c>
      <c r="I201" s="14">
        <f>IF(E201=参数设置!$B$14,D201,0)</f>
        <v>0</v>
      </c>
      <c r="J201" s="14">
        <f>IF(M201=1,ROUND(D201*参数设置!$B$12*H201/参数设置!$B$13,参数设置!$B$16),0)</f>
        <v>64.349999999999994</v>
      </c>
      <c r="K201" s="14">
        <f t="shared" si="14"/>
        <v>64.349999999999994</v>
      </c>
      <c r="L201" s="21">
        <f>EDATE(C201,参数设置!$B$14)</f>
        <v>47097</v>
      </c>
      <c r="M201">
        <f t="shared" si="15"/>
        <v>1</v>
      </c>
    </row>
    <row r="202" spans="1:13">
      <c r="A202">
        <v>17</v>
      </c>
      <c r="B202">
        <v>17</v>
      </c>
      <c r="C202" s="21">
        <f>EDATE(参数设置!$B$4,A202-1)</f>
        <v>46731</v>
      </c>
      <c r="D202" s="14">
        <f>IF(AND(A202&lt;=参数设置!$B$6,OR(INDEX(月度资金流!$B$7:$B$42,A202)="策略一：消费贷款+买基金",INDEX(月度资金流!$B$7:$B$42,A202)="策略二：新贷偿还旧贷")),参数设置!$B$5,0)</f>
        <v>23400</v>
      </c>
      <c r="E202">
        <v>7</v>
      </c>
      <c r="F202" s="21">
        <f t="shared" si="12"/>
        <v>46939</v>
      </c>
      <c r="G202" s="21">
        <f>IF(E202&lt;参数设置!$B$14,DATE(YEAR(EDATE(C202,E202+1)),MONTH(EDATE(C202,E202+1)),参数设置!$B$15),EDATE(C202,参数设置!$B$14))</f>
        <v>46970</v>
      </c>
      <c r="H202">
        <f t="shared" si="13"/>
        <v>31</v>
      </c>
      <c r="I202" s="14">
        <f>IF(E202=参数设置!$B$14,D202,0)</f>
        <v>0</v>
      </c>
      <c r="J202" s="14">
        <f>IF(M202=1,ROUND(D202*参数设置!$B$12*H202/参数设置!$B$13,参数设置!$B$16),0)</f>
        <v>66.5</v>
      </c>
      <c r="K202" s="14">
        <f t="shared" si="14"/>
        <v>66.5</v>
      </c>
      <c r="L202" s="21">
        <f>EDATE(C202,参数设置!$B$14)</f>
        <v>47097</v>
      </c>
      <c r="M202">
        <f t="shared" si="15"/>
        <v>1</v>
      </c>
    </row>
    <row r="203" spans="1:13">
      <c r="A203">
        <v>17</v>
      </c>
      <c r="B203">
        <v>17</v>
      </c>
      <c r="C203" s="21">
        <f>EDATE(参数设置!$B$4,A203-1)</f>
        <v>46731</v>
      </c>
      <c r="D203" s="14">
        <f>IF(AND(A203&lt;=参数设置!$B$6,OR(INDEX(月度资金流!$B$7:$B$42,A203)="策略一：消费贷款+买基金",INDEX(月度资金流!$B$7:$B$42,A203)="策略二：新贷偿还旧贷")),参数设置!$B$5,0)</f>
        <v>23400</v>
      </c>
      <c r="E203">
        <v>8</v>
      </c>
      <c r="F203" s="21">
        <f t="shared" si="12"/>
        <v>46970</v>
      </c>
      <c r="G203" s="21">
        <f>IF(E203&lt;参数设置!$B$14,DATE(YEAR(EDATE(C203,E203+1)),MONTH(EDATE(C203,E203+1)),参数设置!$B$15),EDATE(C203,参数设置!$B$14))</f>
        <v>47001</v>
      </c>
      <c r="H203">
        <f t="shared" si="13"/>
        <v>31</v>
      </c>
      <c r="I203" s="14">
        <f>IF(E203=参数设置!$B$14,D203,0)</f>
        <v>0</v>
      </c>
      <c r="J203" s="14">
        <f>IF(M203=1,ROUND(D203*参数设置!$B$12*H203/参数设置!$B$13,参数设置!$B$16),0)</f>
        <v>66.5</v>
      </c>
      <c r="K203" s="14">
        <f t="shared" si="14"/>
        <v>66.5</v>
      </c>
      <c r="L203" s="21">
        <f>EDATE(C203,参数设置!$B$14)</f>
        <v>47097</v>
      </c>
      <c r="M203">
        <f t="shared" si="15"/>
        <v>1</v>
      </c>
    </row>
    <row r="204" spans="1:13">
      <c r="A204">
        <v>17</v>
      </c>
      <c r="B204">
        <v>17</v>
      </c>
      <c r="C204" s="21">
        <f>EDATE(参数设置!$B$4,A204-1)</f>
        <v>46731</v>
      </c>
      <c r="D204" s="14">
        <f>IF(AND(A204&lt;=参数设置!$B$6,OR(INDEX(月度资金流!$B$7:$B$42,A204)="策略一：消费贷款+买基金",INDEX(月度资金流!$B$7:$B$42,A204)="策略二：新贷偿还旧贷")),参数设置!$B$5,0)</f>
        <v>23400</v>
      </c>
      <c r="E204">
        <v>9</v>
      </c>
      <c r="F204" s="21">
        <f t="shared" si="12"/>
        <v>47001</v>
      </c>
      <c r="G204" s="21">
        <f>IF(E204&lt;参数设置!$B$14,DATE(YEAR(EDATE(C204,E204+1)),MONTH(EDATE(C204,E204+1)),参数设置!$B$15),EDATE(C204,参数设置!$B$14))</f>
        <v>47031</v>
      </c>
      <c r="H204">
        <f t="shared" si="13"/>
        <v>30</v>
      </c>
      <c r="I204" s="14">
        <f>IF(E204=参数设置!$B$14,D204,0)</f>
        <v>0</v>
      </c>
      <c r="J204" s="14">
        <f>IF(M204=1,ROUND(D204*参数设置!$B$12*H204/参数设置!$B$13,参数设置!$B$16),0)</f>
        <v>64.349999999999994</v>
      </c>
      <c r="K204" s="14">
        <f t="shared" si="14"/>
        <v>64.349999999999994</v>
      </c>
      <c r="L204" s="21">
        <f>EDATE(C204,参数设置!$B$14)</f>
        <v>47097</v>
      </c>
      <c r="M204">
        <f t="shared" si="15"/>
        <v>1</v>
      </c>
    </row>
    <row r="205" spans="1:13">
      <c r="A205">
        <v>17</v>
      </c>
      <c r="B205">
        <v>17</v>
      </c>
      <c r="C205" s="21">
        <f>EDATE(参数设置!$B$4,A205-1)</f>
        <v>46731</v>
      </c>
      <c r="D205" s="14">
        <f>IF(AND(A205&lt;=参数设置!$B$6,OR(INDEX(月度资金流!$B$7:$B$42,A205)="策略一：消费贷款+买基金",INDEX(月度资金流!$B$7:$B$42,A205)="策略二：新贷偿还旧贷")),参数设置!$B$5,0)</f>
        <v>23400</v>
      </c>
      <c r="E205">
        <v>10</v>
      </c>
      <c r="F205" s="21">
        <f t="shared" si="12"/>
        <v>47031</v>
      </c>
      <c r="G205" s="21">
        <f>IF(E205&lt;参数设置!$B$14,DATE(YEAR(EDATE(C205,E205+1)),MONTH(EDATE(C205,E205+1)),参数设置!$B$15),EDATE(C205,参数设置!$B$14))</f>
        <v>47062</v>
      </c>
      <c r="H205">
        <f t="shared" si="13"/>
        <v>31</v>
      </c>
      <c r="I205" s="14">
        <f>IF(E205=参数设置!$B$14,D205,0)</f>
        <v>0</v>
      </c>
      <c r="J205" s="14">
        <f>IF(M205=1,ROUND(D205*参数设置!$B$12*H205/参数设置!$B$13,参数设置!$B$16),0)</f>
        <v>66.5</v>
      </c>
      <c r="K205" s="14">
        <f t="shared" si="14"/>
        <v>66.5</v>
      </c>
      <c r="L205" s="21">
        <f>EDATE(C205,参数设置!$B$14)</f>
        <v>47097</v>
      </c>
      <c r="M205">
        <f t="shared" si="15"/>
        <v>1</v>
      </c>
    </row>
    <row r="206" spans="1:13">
      <c r="A206">
        <v>17</v>
      </c>
      <c r="B206">
        <v>17</v>
      </c>
      <c r="C206" s="21">
        <f>EDATE(参数设置!$B$4,A206-1)</f>
        <v>46731</v>
      </c>
      <c r="D206" s="14">
        <f>IF(AND(A206&lt;=参数设置!$B$6,OR(INDEX(月度资金流!$B$7:$B$42,A206)="策略一：消费贷款+买基金",INDEX(月度资金流!$B$7:$B$42,A206)="策略二：新贷偿还旧贷")),参数设置!$B$5,0)</f>
        <v>23400</v>
      </c>
      <c r="E206">
        <v>11</v>
      </c>
      <c r="F206" s="21">
        <f t="shared" si="12"/>
        <v>47062</v>
      </c>
      <c r="G206" s="21">
        <f>IF(E206&lt;参数设置!$B$14,DATE(YEAR(EDATE(C206,E206+1)),MONTH(EDATE(C206,E206+1)),参数设置!$B$15),EDATE(C206,参数设置!$B$14))</f>
        <v>47092</v>
      </c>
      <c r="H206">
        <f t="shared" si="13"/>
        <v>30</v>
      </c>
      <c r="I206" s="14">
        <f>IF(E206=参数设置!$B$14,D206,0)</f>
        <v>0</v>
      </c>
      <c r="J206" s="14">
        <f>IF(M206=1,ROUND(D206*参数设置!$B$12*H206/参数设置!$B$13,参数设置!$B$16),0)</f>
        <v>64.349999999999994</v>
      </c>
      <c r="K206" s="14">
        <f t="shared" si="14"/>
        <v>64.349999999999994</v>
      </c>
      <c r="L206" s="21">
        <f>EDATE(C206,参数设置!$B$14)</f>
        <v>47097</v>
      </c>
      <c r="M206">
        <f t="shared" si="15"/>
        <v>1</v>
      </c>
    </row>
    <row r="207" spans="1:13">
      <c r="A207">
        <v>17</v>
      </c>
      <c r="B207">
        <v>17</v>
      </c>
      <c r="C207" s="21">
        <f>EDATE(参数设置!$B$4,A207-1)</f>
        <v>46731</v>
      </c>
      <c r="D207" s="14">
        <f>IF(AND(A207&lt;=参数设置!$B$6,OR(INDEX(月度资金流!$B$7:$B$42,A207)="策略一：消费贷款+买基金",INDEX(月度资金流!$B$7:$B$42,A207)="策略二：新贷偿还旧贷")),参数设置!$B$5,0)</f>
        <v>23400</v>
      </c>
      <c r="E207">
        <v>12</v>
      </c>
      <c r="F207" s="21">
        <f t="shared" si="12"/>
        <v>47092</v>
      </c>
      <c r="G207" s="21">
        <f>IF(E207&lt;参数设置!$B$14,DATE(YEAR(EDATE(C207,E207+1)),MONTH(EDATE(C207,E207+1)),参数设置!$B$15),EDATE(C207,参数设置!$B$14))</f>
        <v>47097</v>
      </c>
      <c r="H207">
        <f t="shared" si="13"/>
        <v>5</v>
      </c>
      <c r="I207" s="14">
        <f>IF(E207=参数设置!$B$14,D207,0)</f>
        <v>23400</v>
      </c>
      <c r="J207" s="14">
        <f>IF(M207=1,ROUND(D207*参数设置!$B$12*H207/参数设置!$B$13,参数设置!$B$16),0)</f>
        <v>10.73</v>
      </c>
      <c r="K207" s="14">
        <f t="shared" si="14"/>
        <v>23410.73</v>
      </c>
      <c r="L207" s="21">
        <f>EDATE(C207,参数设置!$B$14)</f>
        <v>47097</v>
      </c>
      <c r="M207">
        <f t="shared" si="15"/>
        <v>1</v>
      </c>
    </row>
    <row r="208" spans="1:13">
      <c r="A208">
        <v>18</v>
      </c>
      <c r="B208">
        <v>18</v>
      </c>
      <c r="C208" s="21">
        <f>EDATE(参数设置!$B$4,A208-1)</f>
        <v>46762</v>
      </c>
      <c r="D208" s="14">
        <f>IF(AND(A208&lt;=参数设置!$B$6,OR(INDEX(月度资金流!$B$7:$B$42,A208)="策略一：消费贷款+买基金",INDEX(月度资金流!$B$7:$B$42,A208)="策略二：新贷偿还旧贷")),参数设置!$B$5,0)</f>
        <v>23400</v>
      </c>
      <c r="E208">
        <v>1</v>
      </c>
      <c r="F208" s="21">
        <f t="shared" si="12"/>
        <v>46762</v>
      </c>
      <c r="G208" s="21">
        <f>IF(E208&lt;参数设置!$B$14,DATE(YEAR(EDATE(C208,E208+1)),MONTH(EDATE(C208,E208+1)),参数设置!$B$15),EDATE(C208,参数设置!$B$14))</f>
        <v>46817</v>
      </c>
      <c r="H208">
        <f t="shared" si="13"/>
        <v>55</v>
      </c>
      <c r="I208" s="14">
        <f>IF(E208=参数设置!$B$14,D208,0)</f>
        <v>0</v>
      </c>
      <c r="J208" s="14">
        <f>IF(M208=1,ROUND(D208*参数设置!$B$12*H208/参数设置!$B$13,参数设置!$B$16),0)</f>
        <v>117.98</v>
      </c>
      <c r="K208" s="14">
        <f t="shared" si="14"/>
        <v>117.98</v>
      </c>
      <c r="L208" s="21">
        <f>EDATE(C208,参数设置!$B$14)</f>
        <v>47128</v>
      </c>
      <c r="M208">
        <f t="shared" si="15"/>
        <v>1</v>
      </c>
    </row>
    <row r="209" spans="1:13">
      <c r="A209">
        <v>18</v>
      </c>
      <c r="B209">
        <v>18</v>
      </c>
      <c r="C209" s="21">
        <f>EDATE(参数设置!$B$4,A209-1)</f>
        <v>46762</v>
      </c>
      <c r="D209" s="14">
        <f>IF(AND(A209&lt;=参数设置!$B$6,OR(INDEX(月度资金流!$B$7:$B$42,A209)="策略一：消费贷款+买基金",INDEX(月度资金流!$B$7:$B$42,A209)="策略二：新贷偿还旧贷")),参数设置!$B$5,0)</f>
        <v>23400</v>
      </c>
      <c r="E209">
        <v>2</v>
      </c>
      <c r="F209" s="21">
        <f t="shared" si="12"/>
        <v>46817</v>
      </c>
      <c r="G209" s="21">
        <f>IF(E209&lt;参数设置!$B$14,DATE(YEAR(EDATE(C209,E209+1)),MONTH(EDATE(C209,E209+1)),参数设置!$B$15),EDATE(C209,参数设置!$B$14))</f>
        <v>46848</v>
      </c>
      <c r="H209">
        <f t="shared" si="13"/>
        <v>31</v>
      </c>
      <c r="I209" s="14">
        <f>IF(E209=参数设置!$B$14,D209,0)</f>
        <v>0</v>
      </c>
      <c r="J209" s="14">
        <f>IF(M209=1,ROUND(D209*参数设置!$B$12*H209/参数设置!$B$13,参数设置!$B$16),0)</f>
        <v>66.5</v>
      </c>
      <c r="K209" s="14">
        <f t="shared" si="14"/>
        <v>66.5</v>
      </c>
      <c r="L209" s="21">
        <f>EDATE(C209,参数设置!$B$14)</f>
        <v>47128</v>
      </c>
      <c r="M209">
        <f t="shared" si="15"/>
        <v>1</v>
      </c>
    </row>
    <row r="210" spans="1:13">
      <c r="A210">
        <v>18</v>
      </c>
      <c r="B210">
        <v>18</v>
      </c>
      <c r="C210" s="21">
        <f>EDATE(参数设置!$B$4,A210-1)</f>
        <v>46762</v>
      </c>
      <c r="D210" s="14">
        <f>IF(AND(A210&lt;=参数设置!$B$6,OR(INDEX(月度资金流!$B$7:$B$42,A210)="策略一：消费贷款+买基金",INDEX(月度资金流!$B$7:$B$42,A210)="策略二：新贷偿还旧贷")),参数设置!$B$5,0)</f>
        <v>23400</v>
      </c>
      <c r="E210">
        <v>3</v>
      </c>
      <c r="F210" s="21">
        <f t="shared" si="12"/>
        <v>46848</v>
      </c>
      <c r="G210" s="21">
        <f>IF(E210&lt;参数设置!$B$14,DATE(YEAR(EDATE(C210,E210+1)),MONTH(EDATE(C210,E210+1)),参数设置!$B$15),EDATE(C210,参数设置!$B$14))</f>
        <v>46878</v>
      </c>
      <c r="H210">
        <f t="shared" si="13"/>
        <v>30</v>
      </c>
      <c r="I210" s="14">
        <f>IF(E210=参数设置!$B$14,D210,0)</f>
        <v>0</v>
      </c>
      <c r="J210" s="14">
        <f>IF(M210=1,ROUND(D210*参数设置!$B$12*H210/参数设置!$B$13,参数设置!$B$16),0)</f>
        <v>64.349999999999994</v>
      </c>
      <c r="K210" s="14">
        <f t="shared" si="14"/>
        <v>64.349999999999994</v>
      </c>
      <c r="L210" s="21">
        <f>EDATE(C210,参数设置!$B$14)</f>
        <v>47128</v>
      </c>
      <c r="M210">
        <f t="shared" si="15"/>
        <v>1</v>
      </c>
    </row>
    <row r="211" spans="1:13">
      <c r="A211">
        <v>18</v>
      </c>
      <c r="B211">
        <v>18</v>
      </c>
      <c r="C211" s="21">
        <f>EDATE(参数设置!$B$4,A211-1)</f>
        <v>46762</v>
      </c>
      <c r="D211" s="14">
        <f>IF(AND(A211&lt;=参数设置!$B$6,OR(INDEX(月度资金流!$B$7:$B$42,A211)="策略一：消费贷款+买基金",INDEX(月度资金流!$B$7:$B$42,A211)="策略二：新贷偿还旧贷")),参数设置!$B$5,0)</f>
        <v>23400</v>
      </c>
      <c r="E211">
        <v>4</v>
      </c>
      <c r="F211" s="21">
        <f t="shared" si="12"/>
        <v>46878</v>
      </c>
      <c r="G211" s="21">
        <f>IF(E211&lt;参数设置!$B$14,DATE(YEAR(EDATE(C211,E211+1)),MONTH(EDATE(C211,E211+1)),参数设置!$B$15),EDATE(C211,参数设置!$B$14))</f>
        <v>46909</v>
      </c>
      <c r="H211">
        <f t="shared" si="13"/>
        <v>31</v>
      </c>
      <c r="I211" s="14">
        <f>IF(E211=参数设置!$B$14,D211,0)</f>
        <v>0</v>
      </c>
      <c r="J211" s="14">
        <f>IF(M211=1,ROUND(D211*参数设置!$B$12*H211/参数设置!$B$13,参数设置!$B$16),0)</f>
        <v>66.5</v>
      </c>
      <c r="K211" s="14">
        <f t="shared" si="14"/>
        <v>66.5</v>
      </c>
      <c r="L211" s="21">
        <f>EDATE(C211,参数设置!$B$14)</f>
        <v>47128</v>
      </c>
      <c r="M211">
        <f t="shared" si="15"/>
        <v>1</v>
      </c>
    </row>
    <row r="212" spans="1:13">
      <c r="A212">
        <v>18</v>
      </c>
      <c r="B212">
        <v>18</v>
      </c>
      <c r="C212" s="21">
        <f>EDATE(参数设置!$B$4,A212-1)</f>
        <v>46762</v>
      </c>
      <c r="D212" s="14">
        <f>IF(AND(A212&lt;=参数设置!$B$6,OR(INDEX(月度资金流!$B$7:$B$42,A212)="策略一：消费贷款+买基金",INDEX(月度资金流!$B$7:$B$42,A212)="策略二：新贷偿还旧贷")),参数设置!$B$5,0)</f>
        <v>23400</v>
      </c>
      <c r="E212">
        <v>5</v>
      </c>
      <c r="F212" s="21">
        <f t="shared" si="12"/>
        <v>46909</v>
      </c>
      <c r="G212" s="21">
        <f>IF(E212&lt;参数设置!$B$14,DATE(YEAR(EDATE(C212,E212+1)),MONTH(EDATE(C212,E212+1)),参数设置!$B$15),EDATE(C212,参数设置!$B$14))</f>
        <v>46939</v>
      </c>
      <c r="H212">
        <f t="shared" si="13"/>
        <v>30</v>
      </c>
      <c r="I212" s="14">
        <f>IF(E212=参数设置!$B$14,D212,0)</f>
        <v>0</v>
      </c>
      <c r="J212" s="14">
        <f>IF(M212=1,ROUND(D212*参数设置!$B$12*H212/参数设置!$B$13,参数设置!$B$16),0)</f>
        <v>64.349999999999994</v>
      </c>
      <c r="K212" s="14">
        <f t="shared" si="14"/>
        <v>64.349999999999994</v>
      </c>
      <c r="L212" s="21">
        <f>EDATE(C212,参数设置!$B$14)</f>
        <v>47128</v>
      </c>
      <c r="M212">
        <f t="shared" si="15"/>
        <v>1</v>
      </c>
    </row>
    <row r="213" spans="1:13">
      <c r="A213">
        <v>18</v>
      </c>
      <c r="B213">
        <v>18</v>
      </c>
      <c r="C213" s="21">
        <f>EDATE(参数设置!$B$4,A213-1)</f>
        <v>46762</v>
      </c>
      <c r="D213" s="14">
        <f>IF(AND(A213&lt;=参数设置!$B$6,OR(INDEX(月度资金流!$B$7:$B$42,A213)="策略一：消费贷款+买基金",INDEX(月度资金流!$B$7:$B$42,A213)="策略二：新贷偿还旧贷")),参数设置!$B$5,0)</f>
        <v>23400</v>
      </c>
      <c r="E213">
        <v>6</v>
      </c>
      <c r="F213" s="21">
        <f t="shared" si="12"/>
        <v>46939</v>
      </c>
      <c r="G213" s="21">
        <f>IF(E213&lt;参数设置!$B$14,DATE(YEAR(EDATE(C213,E213+1)),MONTH(EDATE(C213,E213+1)),参数设置!$B$15),EDATE(C213,参数设置!$B$14))</f>
        <v>46970</v>
      </c>
      <c r="H213">
        <f t="shared" si="13"/>
        <v>31</v>
      </c>
      <c r="I213" s="14">
        <f>IF(E213=参数设置!$B$14,D213,0)</f>
        <v>0</v>
      </c>
      <c r="J213" s="14">
        <f>IF(M213=1,ROUND(D213*参数设置!$B$12*H213/参数设置!$B$13,参数设置!$B$16),0)</f>
        <v>66.5</v>
      </c>
      <c r="K213" s="14">
        <f t="shared" si="14"/>
        <v>66.5</v>
      </c>
      <c r="L213" s="21">
        <f>EDATE(C213,参数设置!$B$14)</f>
        <v>47128</v>
      </c>
      <c r="M213">
        <f t="shared" si="15"/>
        <v>1</v>
      </c>
    </row>
    <row r="214" spans="1:13">
      <c r="A214">
        <v>18</v>
      </c>
      <c r="B214">
        <v>18</v>
      </c>
      <c r="C214" s="21">
        <f>EDATE(参数设置!$B$4,A214-1)</f>
        <v>46762</v>
      </c>
      <c r="D214" s="14">
        <f>IF(AND(A214&lt;=参数设置!$B$6,OR(INDEX(月度资金流!$B$7:$B$42,A214)="策略一：消费贷款+买基金",INDEX(月度资金流!$B$7:$B$42,A214)="策略二：新贷偿还旧贷")),参数设置!$B$5,0)</f>
        <v>23400</v>
      </c>
      <c r="E214">
        <v>7</v>
      </c>
      <c r="F214" s="21">
        <f t="shared" si="12"/>
        <v>46970</v>
      </c>
      <c r="G214" s="21">
        <f>IF(E214&lt;参数设置!$B$14,DATE(YEAR(EDATE(C214,E214+1)),MONTH(EDATE(C214,E214+1)),参数设置!$B$15),EDATE(C214,参数设置!$B$14))</f>
        <v>47001</v>
      </c>
      <c r="H214">
        <f t="shared" si="13"/>
        <v>31</v>
      </c>
      <c r="I214" s="14">
        <f>IF(E214=参数设置!$B$14,D214,0)</f>
        <v>0</v>
      </c>
      <c r="J214" s="14">
        <f>IF(M214=1,ROUND(D214*参数设置!$B$12*H214/参数设置!$B$13,参数设置!$B$16),0)</f>
        <v>66.5</v>
      </c>
      <c r="K214" s="14">
        <f t="shared" si="14"/>
        <v>66.5</v>
      </c>
      <c r="L214" s="21">
        <f>EDATE(C214,参数设置!$B$14)</f>
        <v>47128</v>
      </c>
      <c r="M214">
        <f t="shared" si="15"/>
        <v>1</v>
      </c>
    </row>
    <row r="215" spans="1:13">
      <c r="A215">
        <v>18</v>
      </c>
      <c r="B215">
        <v>18</v>
      </c>
      <c r="C215" s="21">
        <f>EDATE(参数设置!$B$4,A215-1)</f>
        <v>46762</v>
      </c>
      <c r="D215" s="14">
        <f>IF(AND(A215&lt;=参数设置!$B$6,OR(INDEX(月度资金流!$B$7:$B$42,A215)="策略一：消费贷款+买基金",INDEX(月度资金流!$B$7:$B$42,A215)="策略二：新贷偿还旧贷")),参数设置!$B$5,0)</f>
        <v>23400</v>
      </c>
      <c r="E215">
        <v>8</v>
      </c>
      <c r="F215" s="21">
        <f t="shared" si="12"/>
        <v>47001</v>
      </c>
      <c r="G215" s="21">
        <f>IF(E215&lt;参数设置!$B$14,DATE(YEAR(EDATE(C215,E215+1)),MONTH(EDATE(C215,E215+1)),参数设置!$B$15),EDATE(C215,参数设置!$B$14))</f>
        <v>47031</v>
      </c>
      <c r="H215">
        <f t="shared" si="13"/>
        <v>30</v>
      </c>
      <c r="I215" s="14">
        <f>IF(E215=参数设置!$B$14,D215,0)</f>
        <v>0</v>
      </c>
      <c r="J215" s="14">
        <f>IF(M215=1,ROUND(D215*参数设置!$B$12*H215/参数设置!$B$13,参数设置!$B$16),0)</f>
        <v>64.349999999999994</v>
      </c>
      <c r="K215" s="14">
        <f t="shared" si="14"/>
        <v>64.349999999999994</v>
      </c>
      <c r="L215" s="21">
        <f>EDATE(C215,参数设置!$B$14)</f>
        <v>47128</v>
      </c>
      <c r="M215">
        <f t="shared" si="15"/>
        <v>1</v>
      </c>
    </row>
    <row r="216" spans="1:13">
      <c r="A216">
        <v>18</v>
      </c>
      <c r="B216">
        <v>18</v>
      </c>
      <c r="C216" s="21">
        <f>EDATE(参数设置!$B$4,A216-1)</f>
        <v>46762</v>
      </c>
      <c r="D216" s="14">
        <f>IF(AND(A216&lt;=参数设置!$B$6,OR(INDEX(月度资金流!$B$7:$B$42,A216)="策略一：消费贷款+买基金",INDEX(月度资金流!$B$7:$B$42,A216)="策略二：新贷偿还旧贷")),参数设置!$B$5,0)</f>
        <v>23400</v>
      </c>
      <c r="E216">
        <v>9</v>
      </c>
      <c r="F216" s="21">
        <f t="shared" si="12"/>
        <v>47031</v>
      </c>
      <c r="G216" s="21">
        <f>IF(E216&lt;参数设置!$B$14,DATE(YEAR(EDATE(C216,E216+1)),MONTH(EDATE(C216,E216+1)),参数设置!$B$15),EDATE(C216,参数设置!$B$14))</f>
        <v>47062</v>
      </c>
      <c r="H216">
        <f t="shared" si="13"/>
        <v>31</v>
      </c>
      <c r="I216" s="14">
        <f>IF(E216=参数设置!$B$14,D216,0)</f>
        <v>0</v>
      </c>
      <c r="J216" s="14">
        <f>IF(M216=1,ROUND(D216*参数设置!$B$12*H216/参数设置!$B$13,参数设置!$B$16),0)</f>
        <v>66.5</v>
      </c>
      <c r="K216" s="14">
        <f t="shared" si="14"/>
        <v>66.5</v>
      </c>
      <c r="L216" s="21">
        <f>EDATE(C216,参数设置!$B$14)</f>
        <v>47128</v>
      </c>
      <c r="M216">
        <f t="shared" si="15"/>
        <v>1</v>
      </c>
    </row>
    <row r="217" spans="1:13">
      <c r="A217">
        <v>18</v>
      </c>
      <c r="B217">
        <v>18</v>
      </c>
      <c r="C217" s="21">
        <f>EDATE(参数设置!$B$4,A217-1)</f>
        <v>46762</v>
      </c>
      <c r="D217" s="14">
        <f>IF(AND(A217&lt;=参数设置!$B$6,OR(INDEX(月度资金流!$B$7:$B$42,A217)="策略一：消费贷款+买基金",INDEX(月度资金流!$B$7:$B$42,A217)="策略二：新贷偿还旧贷")),参数设置!$B$5,0)</f>
        <v>23400</v>
      </c>
      <c r="E217">
        <v>10</v>
      </c>
      <c r="F217" s="21">
        <f t="shared" si="12"/>
        <v>47062</v>
      </c>
      <c r="G217" s="21">
        <f>IF(E217&lt;参数设置!$B$14,DATE(YEAR(EDATE(C217,E217+1)),MONTH(EDATE(C217,E217+1)),参数设置!$B$15),EDATE(C217,参数设置!$B$14))</f>
        <v>47092</v>
      </c>
      <c r="H217">
        <f t="shared" si="13"/>
        <v>30</v>
      </c>
      <c r="I217" s="14">
        <f>IF(E217=参数设置!$B$14,D217,0)</f>
        <v>0</v>
      </c>
      <c r="J217" s="14">
        <f>IF(M217=1,ROUND(D217*参数设置!$B$12*H217/参数设置!$B$13,参数设置!$B$16),0)</f>
        <v>64.349999999999994</v>
      </c>
      <c r="K217" s="14">
        <f t="shared" si="14"/>
        <v>64.349999999999994</v>
      </c>
      <c r="L217" s="21">
        <f>EDATE(C217,参数设置!$B$14)</f>
        <v>47128</v>
      </c>
      <c r="M217">
        <f t="shared" si="15"/>
        <v>1</v>
      </c>
    </row>
    <row r="218" spans="1:13">
      <c r="A218">
        <v>18</v>
      </c>
      <c r="B218">
        <v>18</v>
      </c>
      <c r="C218" s="21">
        <f>EDATE(参数设置!$B$4,A218-1)</f>
        <v>46762</v>
      </c>
      <c r="D218" s="14">
        <f>IF(AND(A218&lt;=参数设置!$B$6,OR(INDEX(月度资金流!$B$7:$B$42,A218)="策略一：消费贷款+买基金",INDEX(月度资金流!$B$7:$B$42,A218)="策略二：新贷偿还旧贷")),参数设置!$B$5,0)</f>
        <v>23400</v>
      </c>
      <c r="E218">
        <v>11</v>
      </c>
      <c r="F218" s="21">
        <f t="shared" si="12"/>
        <v>47092</v>
      </c>
      <c r="G218" s="21">
        <f>IF(E218&lt;参数设置!$B$14,DATE(YEAR(EDATE(C218,E218+1)),MONTH(EDATE(C218,E218+1)),参数设置!$B$15),EDATE(C218,参数设置!$B$14))</f>
        <v>47123</v>
      </c>
      <c r="H218">
        <f t="shared" si="13"/>
        <v>31</v>
      </c>
      <c r="I218" s="14">
        <f>IF(E218=参数设置!$B$14,D218,0)</f>
        <v>0</v>
      </c>
      <c r="J218" s="14">
        <f>IF(M218=1,ROUND(D218*参数设置!$B$12*H218/参数设置!$B$13,参数设置!$B$16),0)</f>
        <v>66.5</v>
      </c>
      <c r="K218" s="14">
        <f t="shared" si="14"/>
        <v>66.5</v>
      </c>
      <c r="L218" s="21">
        <f>EDATE(C218,参数设置!$B$14)</f>
        <v>47128</v>
      </c>
      <c r="M218">
        <f t="shared" si="15"/>
        <v>1</v>
      </c>
    </row>
    <row r="219" spans="1:13">
      <c r="A219">
        <v>18</v>
      </c>
      <c r="B219">
        <v>18</v>
      </c>
      <c r="C219" s="21">
        <f>EDATE(参数设置!$B$4,A219-1)</f>
        <v>46762</v>
      </c>
      <c r="D219" s="14">
        <f>IF(AND(A219&lt;=参数设置!$B$6,OR(INDEX(月度资金流!$B$7:$B$42,A219)="策略一：消费贷款+买基金",INDEX(月度资金流!$B$7:$B$42,A219)="策略二：新贷偿还旧贷")),参数设置!$B$5,0)</f>
        <v>23400</v>
      </c>
      <c r="E219">
        <v>12</v>
      </c>
      <c r="F219" s="21">
        <f t="shared" si="12"/>
        <v>47123</v>
      </c>
      <c r="G219" s="21">
        <f>IF(E219&lt;参数设置!$B$14,DATE(YEAR(EDATE(C219,E219+1)),MONTH(EDATE(C219,E219+1)),参数设置!$B$15),EDATE(C219,参数设置!$B$14))</f>
        <v>47128</v>
      </c>
      <c r="H219">
        <f t="shared" si="13"/>
        <v>5</v>
      </c>
      <c r="I219" s="14">
        <f>IF(E219=参数设置!$B$14,D219,0)</f>
        <v>23400</v>
      </c>
      <c r="J219" s="14">
        <f>IF(M219=1,ROUND(D219*参数设置!$B$12*H219/参数设置!$B$13,参数设置!$B$16),0)</f>
        <v>10.73</v>
      </c>
      <c r="K219" s="14">
        <f t="shared" si="14"/>
        <v>23410.73</v>
      </c>
      <c r="L219" s="21">
        <f>EDATE(C219,参数设置!$B$14)</f>
        <v>47128</v>
      </c>
      <c r="M219">
        <f t="shared" si="15"/>
        <v>1</v>
      </c>
    </row>
    <row r="220" spans="1:13">
      <c r="A220">
        <v>19</v>
      </c>
      <c r="B220">
        <v>19</v>
      </c>
      <c r="C220" s="21">
        <f>EDATE(参数设置!$B$4,A220-1)</f>
        <v>46793</v>
      </c>
      <c r="D220" s="14">
        <f>IF(AND(A220&lt;=参数设置!$B$6,OR(INDEX(月度资金流!$B$7:$B$42,A220)="策略一：消费贷款+买基金",INDEX(月度资金流!$B$7:$B$42,A220)="策略二：新贷偿还旧贷")),参数设置!$B$5,0)</f>
        <v>23400</v>
      </c>
      <c r="E220">
        <v>1</v>
      </c>
      <c r="F220" s="21">
        <f t="shared" si="12"/>
        <v>46793</v>
      </c>
      <c r="G220" s="21">
        <f>IF(E220&lt;参数设置!$B$14,DATE(YEAR(EDATE(C220,E220+1)),MONTH(EDATE(C220,E220+1)),参数设置!$B$15),EDATE(C220,参数设置!$B$14))</f>
        <v>46848</v>
      </c>
      <c r="H220">
        <f t="shared" si="13"/>
        <v>55</v>
      </c>
      <c r="I220" s="14">
        <f>IF(E220=参数设置!$B$14,D220,0)</f>
        <v>0</v>
      </c>
      <c r="J220" s="14">
        <f>IF(M220=1,ROUND(D220*参数设置!$B$12*H220/参数设置!$B$13,参数设置!$B$16),0)</f>
        <v>117.98</v>
      </c>
      <c r="K220" s="14">
        <f t="shared" si="14"/>
        <v>117.98</v>
      </c>
      <c r="L220" s="21">
        <f>EDATE(C220,参数设置!$B$14)</f>
        <v>47159</v>
      </c>
      <c r="M220">
        <f t="shared" si="15"/>
        <v>1</v>
      </c>
    </row>
    <row r="221" spans="1:13">
      <c r="A221">
        <v>19</v>
      </c>
      <c r="B221">
        <v>19</v>
      </c>
      <c r="C221" s="21">
        <f>EDATE(参数设置!$B$4,A221-1)</f>
        <v>46793</v>
      </c>
      <c r="D221" s="14">
        <f>IF(AND(A221&lt;=参数设置!$B$6,OR(INDEX(月度资金流!$B$7:$B$42,A221)="策略一：消费贷款+买基金",INDEX(月度资金流!$B$7:$B$42,A221)="策略二：新贷偿还旧贷")),参数设置!$B$5,0)</f>
        <v>23400</v>
      </c>
      <c r="E221">
        <v>2</v>
      </c>
      <c r="F221" s="21">
        <f t="shared" si="12"/>
        <v>46848</v>
      </c>
      <c r="G221" s="21">
        <f>IF(E221&lt;参数设置!$B$14,DATE(YEAR(EDATE(C221,E221+1)),MONTH(EDATE(C221,E221+1)),参数设置!$B$15),EDATE(C221,参数设置!$B$14))</f>
        <v>46878</v>
      </c>
      <c r="H221">
        <f t="shared" si="13"/>
        <v>30</v>
      </c>
      <c r="I221" s="14">
        <f>IF(E221=参数设置!$B$14,D221,0)</f>
        <v>0</v>
      </c>
      <c r="J221" s="14">
        <f>IF(M221=1,ROUND(D221*参数设置!$B$12*H221/参数设置!$B$13,参数设置!$B$16),0)</f>
        <v>64.349999999999994</v>
      </c>
      <c r="K221" s="14">
        <f t="shared" si="14"/>
        <v>64.349999999999994</v>
      </c>
      <c r="L221" s="21">
        <f>EDATE(C221,参数设置!$B$14)</f>
        <v>47159</v>
      </c>
      <c r="M221">
        <f t="shared" si="15"/>
        <v>1</v>
      </c>
    </row>
    <row r="222" spans="1:13">
      <c r="A222">
        <v>19</v>
      </c>
      <c r="B222">
        <v>19</v>
      </c>
      <c r="C222" s="21">
        <f>EDATE(参数设置!$B$4,A222-1)</f>
        <v>46793</v>
      </c>
      <c r="D222" s="14">
        <f>IF(AND(A222&lt;=参数设置!$B$6,OR(INDEX(月度资金流!$B$7:$B$42,A222)="策略一：消费贷款+买基金",INDEX(月度资金流!$B$7:$B$42,A222)="策略二：新贷偿还旧贷")),参数设置!$B$5,0)</f>
        <v>23400</v>
      </c>
      <c r="E222">
        <v>3</v>
      </c>
      <c r="F222" s="21">
        <f t="shared" si="12"/>
        <v>46878</v>
      </c>
      <c r="G222" s="21">
        <f>IF(E222&lt;参数设置!$B$14,DATE(YEAR(EDATE(C222,E222+1)),MONTH(EDATE(C222,E222+1)),参数设置!$B$15),EDATE(C222,参数设置!$B$14))</f>
        <v>46909</v>
      </c>
      <c r="H222">
        <f t="shared" si="13"/>
        <v>31</v>
      </c>
      <c r="I222" s="14">
        <f>IF(E222=参数设置!$B$14,D222,0)</f>
        <v>0</v>
      </c>
      <c r="J222" s="14">
        <f>IF(M222=1,ROUND(D222*参数设置!$B$12*H222/参数设置!$B$13,参数设置!$B$16),0)</f>
        <v>66.5</v>
      </c>
      <c r="K222" s="14">
        <f t="shared" si="14"/>
        <v>66.5</v>
      </c>
      <c r="L222" s="21">
        <f>EDATE(C222,参数设置!$B$14)</f>
        <v>47159</v>
      </c>
      <c r="M222">
        <f t="shared" si="15"/>
        <v>1</v>
      </c>
    </row>
    <row r="223" spans="1:13">
      <c r="A223">
        <v>19</v>
      </c>
      <c r="B223">
        <v>19</v>
      </c>
      <c r="C223" s="21">
        <f>EDATE(参数设置!$B$4,A223-1)</f>
        <v>46793</v>
      </c>
      <c r="D223" s="14">
        <f>IF(AND(A223&lt;=参数设置!$B$6,OR(INDEX(月度资金流!$B$7:$B$42,A223)="策略一：消费贷款+买基金",INDEX(月度资金流!$B$7:$B$42,A223)="策略二：新贷偿还旧贷")),参数设置!$B$5,0)</f>
        <v>23400</v>
      </c>
      <c r="E223">
        <v>4</v>
      </c>
      <c r="F223" s="21">
        <f t="shared" si="12"/>
        <v>46909</v>
      </c>
      <c r="G223" s="21">
        <f>IF(E223&lt;参数设置!$B$14,DATE(YEAR(EDATE(C223,E223+1)),MONTH(EDATE(C223,E223+1)),参数设置!$B$15),EDATE(C223,参数设置!$B$14))</f>
        <v>46939</v>
      </c>
      <c r="H223">
        <f t="shared" si="13"/>
        <v>30</v>
      </c>
      <c r="I223" s="14">
        <f>IF(E223=参数设置!$B$14,D223,0)</f>
        <v>0</v>
      </c>
      <c r="J223" s="14">
        <f>IF(M223=1,ROUND(D223*参数设置!$B$12*H223/参数设置!$B$13,参数设置!$B$16),0)</f>
        <v>64.349999999999994</v>
      </c>
      <c r="K223" s="14">
        <f t="shared" si="14"/>
        <v>64.349999999999994</v>
      </c>
      <c r="L223" s="21">
        <f>EDATE(C223,参数设置!$B$14)</f>
        <v>47159</v>
      </c>
      <c r="M223">
        <f t="shared" si="15"/>
        <v>1</v>
      </c>
    </row>
    <row r="224" spans="1:13">
      <c r="A224">
        <v>19</v>
      </c>
      <c r="B224">
        <v>19</v>
      </c>
      <c r="C224" s="21">
        <f>EDATE(参数设置!$B$4,A224-1)</f>
        <v>46793</v>
      </c>
      <c r="D224" s="14">
        <f>IF(AND(A224&lt;=参数设置!$B$6,OR(INDEX(月度资金流!$B$7:$B$42,A224)="策略一：消费贷款+买基金",INDEX(月度资金流!$B$7:$B$42,A224)="策略二：新贷偿还旧贷")),参数设置!$B$5,0)</f>
        <v>23400</v>
      </c>
      <c r="E224">
        <v>5</v>
      </c>
      <c r="F224" s="21">
        <f t="shared" si="12"/>
        <v>46939</v>
      </c>
      <c r="G224" s="21">
        <f>IF(E224&lt;参数设置!$B$14,DATE(YEAR(EDATE(C224,E224+1)),MONTH(EDATE(C224,E224+1)),参数设置!$B$15),EDATE(C224,参数设置!$B$14))</f>
        <v>46970</v>
      </c>
      <c r="H224">
        <f t="shared" si="13"/>
        <v>31</v>
      </c>
      <c r="I224" s="14">
        <f>IF(E224=参数设置!$B$14,D224,0)</f>
        <v>0</v>
      </c>
      <c r="J224" s="14">
        <f>IF(M224=1,ROUND(D224*参数设置!$B$12*H224/参数设置!$B$13,参数设置!$B$16),0)</f>
        <v>66.5</v>
      </c>
      <c r="K224" s="14">
        <f t="shared" si="14"/>
        <v>66.5</v>
      </c>
      <c r="L224" s="21">
        <f>EDATE(C224,参数设置!$B$14)</f>
        <v>47159</v>
      </c>
      <c r="M224">
        <f t="shared" si="15"/>
        <v>1</v>
      </c>
    </row>
    <row r="225" spans="1:13">
      <c r="A225">
        <v>19</v>
      </c>
      <c r="B225">
        <v>19</v>
      </c>
      <c r="C225" s="21">
        <f>EDATE(参数设置!$B$4,A225-1)</f>
        <v>46793</v>
      </c>
      <c r="D225" s="14">
        <f>IF(AND(A225&lt;=参数设置!$B$6,OR(INDEX(月度资金流!$B$7:$B$42,A225)="策略一：消费贷款+买基金",INDEX(月度资金流!$B$7:$B$42,A225)="策略二：新贷偿还旧贷")),参数设置!$B$5,0)</f>
        <v>23400</v>
      </c>
      <c r="E225">
        <v>6</v>
      </c>
      <c r="F225" s="21">
        <f t="shared" si="12"/>
        <v>46970</v>
      </c>
      <c r="G225" s="21">
        <f>IF(E225&lt;参数设置!$B$14,DATE(YEAR(EDATE(C225,E225+1)),MONTH(EDATE(C225,E225+1)),参数设置!$B$15),EDATE(C225,参数设置!$B$14))</f>
        <v>47001</v>
      </c>
      <c r="H225">
        <f t="shared" si="13"/>
        <v>31</v>
      </c>
      <c r="I225" s="14">
        <f>IF(E225=参数设置!$B$14,D225,0)</f>
        <v>0</v>
      </c>
      <c r="J225" s="14">
        <f>IF(M225=1,ROUND(D225*参数设置!$B$12*H225/参数设置!$B$13,参数设置!$B$16),0)</f>
        <v>66.5</v>
      </c>
      <c r="K225" s="14">
        <f t="shared" si="14"/>
        <v>66.5</v>
      </c>
      <c r="L225" s="21">
        <f>EDATE(C225,参数设置!$B$14)</f>
        <v>47159</v>
      </c>
      <c r="M225">
        <f t="shared" si="15"/>
        <v>1</v>
      </c>
    </row>
    <row r="226" spans="1:13">
      <c r="A226">
        <v>19</v>
      </c>
      <c r="B226">
        <v>19</v>
      </c>
      <c r="C226" s="21">
        <f>EDATE(参数设置!$B$4,A226-1)</f>
        <v>46793</v>
      </c>
      <c r="D226" s="14">
        <f>IF(AND(A226&lt;=参数设置!$B$6,OR(INDEX(月度资金流!$B$7:$B$42,A226)="策略一：消费贷款+买基金",INDEX(月度资金流!$B$7:$B$42,A226)="策略二：新贷偿还旧贷")),参数设置!$B$5,0)</f>
        <v>23400</v>
      </c>
      <c r="E226">
        <v>7</v>
      </c>
      <c r="F226" s="21">
        <f t="shared" si="12"/>
        <v>47001</v>
      </c>
      <c r="G226" s="21">
        <f>IF(E226&lt;参数设置!$B$14,DATE(YEAR(EDATE(C226,E226+1)),MONTH(EDATE(C226,E226+1)),参数设置!$B$15),EDATE(C226,参数设置!$B$14))</f>
        <v>47031</v>
      </c>
      <c r="H226">
        <f t="shared" si="13"/>
        <v>30</v>
      </c>
      <c r="I226" s="14">
        <f>IF(E226=参数设置!$B$14,D226,0)</f>
        <v>0</v>
      </c>
      <c r="J226" s="14">
        <f>IF(M226=1,ROUND(D226*参数设置!$B$12*H226/参数设置!$B$13,参数设置!$B$16),0)</f>
        <v>64.349999999999994</v>
      </c>
      <c r="K226" s="14">
        <f t="shared" si="14"/>
        <v>64.349999999999994</v>
      </c>
      <c r="L226" s="21">
        <f>EDATE(C226,参数设置!$B$14)</f>
        <v>47159</v>
      </c>
      <c r="M226">
        <f t="shared" si="15"/>
        <v>1</v>
      </c>
    </row>
    <row r="227" spans="1:13">
      <c r="A227">
        <v>19</v>
      </c>
      <c r="B227">
        <v>19</v>
      </c>
      <c r="C227" s="21">
        <f>EDATE(参数设置!$B$4,A227-1)</f>
        <v>46793</v>
      </c>
      <c r="D227" s="14">
        <f>IF(AND(A227&lt;=参数设置!$B$6,OR(INDEX(月度资金流!$B$7:$B$42,A227)="策略一：消费贷款+买基金",INDEX(月度资金流!$B$7:$B$42,A227)="策略二：新贷偿还旧贷")),参数设置!$B$5,0)</f>
        <v>23400</v>
      </c>
      <c r="E227">
        <v>8</v>
      </c>
      <c r="F227" s="21">
        <f t="shared" si="12"/>
        <v>47031</v>
      </c>
      <c r="G227" s="21">
        <f>IF(E227&lt;参数设置!$B$14,DATE(YEAR(EDATE(C227,E227+1)),MONTH(EDATE(C227,E227+1)),参数设置!$B$15),EDATE(C227,参数设置!$B$14))</f>
        <v>47062</v>
      </c>
      <c r="H227">
        <f t="shared" si="13"/>
        <v>31</v>
      </c>
      <c r="I227" s="14">
        <f>IF(E227=参数设置!$B$14,D227,0)</f>
        <v>0</v>
      </c>
      <c r="J227" s="14">
        <f>IF(M227=1,ROUND(D227*参数设置!$B$12*H227/参数设置!$B$13,参数设置!$B$16),0)</f>
        <v>66.5</v>
      </c>
      <c r="K227" s="14">
        <f t="shared" si="14"/>
        <v>66.5</v>
      </c>
      <c r="L227" s="21">
        <f>EDATE(C227,参数设置!$B$14)</f>
        <v>47159</v>
      </c>
      <c r="M227">
        <f t="shared" si="15"/>
        <v>1</v>
      </c>
    </row>
    <row r="228" spans="1:13">
      <c r="A228">
        <v>19</v>
      </c>
      <c r="B228">
        <v>19</v>
      </c>
      <c r="C228" s="21">
        <f>EDATE(参数设置!$B$4,A228-1)</f>
        <v>46793</v>
      </c>
      <c r="D228" s="14">
        <f>IF(AND(A228&lt;=参数设置!$B$6,OR(INDEX(月度资金流!$B$7:$B$42,A228)="策略一：消费贷款+买基金",INDEX(月度资金流!$B$7:$B$42,A228)="策略二：新贷偿还旧贷")),参数设置!$B$5,0)</f>
        <v>23400</v>
      </c>
      <c r="E228">
        <v>9</v>
      </c>
      <c r="F228" s="21">
        <f t="shared" si="12"/>
        <v>47062</v>
      </c>
      <c r="G228" s="21">
        <f>IF(E228&lt;参数设置!$B$14,DATE(YEAR(EDATE(C228,E228+1)),MONTH(EDATE(C228,E228+1)),参数设置!$B$15),EDATE(C228,参数设置!$B$14))</f>
        <v>47092</v>
      </c>
      <c r="H228">
        <f t="shared" si="13"/>
        <v>30</v>
      </c>
      <c r="I228" s="14">
        <f>IF(E228=参数设置!$B$14,D228,0)</f>
        <v>0</v>
      </c>
      <c r="J228" s="14">
        <f>IF(M228=1,ROUND(D228*参数设置!$B$12*H228/参数设置!$B$13,参数设置!$B$16),0)</f>
        <v>64.349999999999994</v>
      </c>
      <c r="K228" s="14">
        <f t="shared" si="14"/>
        <v>64.349999999999994</v>
      </c>
      <c r="L228" s="21">
        <f>EDATE(C228,参数设置!$B$14)</f>
        <v>47159</v>
      </c>
      <c r="M228">
        <f t="shared" si="15"/>
        <v>1</v>
      </c>
    </row>
    <row r="229" spans="1:13">
      <c r="A229">
        <v>19</v>
      </c>
      <c r="B229">
        <v>19</v>
      </c>
      <c r="C229" s="21">
        <f>EDATE(参数设置!$B$4,A229-1)</f>
        <v>46793</v>
      </c>
      <c r="D229" s="14">
        <f>IF(AND(A229&lt;=参数设置!$B$6,OR(INDEX(月度资金流!$B$7:$B$42,A229)="策略一：消费贷款+买基金",INDEX(月度资金流!$B$7:$B$42,A229)="策略二：新贷偿还旧贷")),参数设置!$B$5,0)</f>
        <v>23400</v>
      </c>
      <c r="E229">
        <v>10</v>
      </c>
      <c r="F229" s="21">
        <f t="shared" si="12"/>
        <v>47092</v>
      </c>
      <c r="G229" s="21">
        <f>IF(E229&lt;参数设置!$B$14,DATE(YEAR(EDATE(C229,E229+1)),MONTH(EDATE(C229,E229+1)),参数设置!$B$15),EDATE(C229,参数设置!$B$14))</f>
        <v>47123</v>
      </c>
      <c r="H229">
        <f t="shared" si="13"/>
        <v>31</v>
      </c>
      <c r="I229" s="14">
        <f>IF(E229=参数设置!$B$14,D229,0)</f>
        <v>0</v>
      </c>
      <c r="J229" s="14">
        <f>IF(M229=1,ROUND(D229*参数设置!$B$12*H229/参数设置!$B$13,参数设置!$B$16),0)</f>
        <v>66.5</v>
      </c>
      <c r="K229" s="14">
        <f t="shared" si="14"/>
        <v>66.5</v>
      </c>
      <c r="L229" s="21">
        <f>EDATE(C229,参数设置!$B$14)</f>
        <v>47159</v>
      </c>
      <c r="M229">
        <f t="shared" si="15"/>
        <v>1</v>
      </c>
    </row>
    <row r="230" spans="1:13">
      <c r="A230">
        <v>19</v>
      </c>
      <c r="B230">
        <v>19</v>
      </c>
      <c r="C230" s="21">
        <f>EDATE(参数设置!$B$4,A230-1)</f>
        <v>46793</v>
      </c>
      <c r="D230" s="14">
        <f>IF(AND(A230&lt;=参数设置!$B$6,OR(INDEX(月度资金流!$B$7:$B$42,A230)="策略一：消费贷款+买基金",INDEX(月度资金流!$B$7:$B$42,A230)="策略二：新贷偿还旧贷")),参数设置!$B$5,0)</f>
        <v>23400</v>
      </c>
      <c r="E230">
        <v>11</v>
      </c>
      <c r="F230" s="21">
        <f t="shared" si="12"/>
        <v>47123</v>
      </c>
      <c r="G230" s="21">
        <f>IF(E230&lt;参数设置!$B$14,DATE(YEAR(EDATE(C230,E230+1)),MONTH(EDATE(C230,E230+1)),参数设置!$B$15),EDATE(C230,参数设置!$B$14))</f>
        <v>47154</v>
      </c>
      <c r="H230">
        <f t="shared" si="13"/>
        <v>31</v>
      </c>
      <c r="I230" s="14">
        <f>IF(E230=参数设置!$B$14,D230,0)</f>
        <v>0</v>
      </c>
      <c r="J230" s="14">
        <f>IF(M230=1,ROUND(D230*参数设置!$B$12*H230/参数设置!$B$13,参数设置!$B$16),0)</f>
        <v>66.5</v>
      </c>
      <c r="K230" s="14">
        <f t="shared" si="14"/>
        <v>66.5</v>
      </c>
      <c r="L230" s="21">
        <f>EDATE(C230,参数设置!$B$14)</f>
        <v>47159</v>
      </c>
      <c r="M230">
        <f t="shared" si="15"/>
        <v>1</v>
      </c>
    </row>
    <row r="231" spans="1:13">
      <c r="A231">
        <v>19</v>
      </c>
      <c r="B231">
        <v>19</v>
      </c>
      <c r="C231" s="21">
        <f>EDATE(参数设置!$B$4,A231-1)</f>
        <v>46793</v>
      </c>
      <c r="D231" s="14">
        <f>IF(AND(A231&lt;=参数设置!$B$6,OR(INDEX(月度资金流!$B$7:$B$42,A231)="策略一：消费贷款+买基金",INDEX(月度资金流!$B$7:$B$42,A231)="策略二：新贷偿还旧贷")),参数设置!$B$5,0)</f>
        <v>23400</v>
      </c>
      <c r="E231">
        <v>12</v>
      </c>
      <c r="F231" s="21">
        <f t="shared" si="12"/>
        <v>47154</v>
      </c>
      <c r="G231" s="21">
        <f>IF(E231&lt;参数设置!$B$14,DATE(YEAR(EDATE(C231,E231+1)),MONTH(EDATE(C231,E231+1)),参数设置!$B$15),EDATE(C231,参数设置!$B$14))</f>
        <v>47159</v>
      </c>
      <c r="H231">
        <f t="shared" si="13"/>
        <v>5</v>
      </c>
      <c r="I231" s="14">
        <f>IF(E231=参数设置!$B$14,D231,0)</f>
        <v>23400</v>
      </c>
      <c r="J231" s="14">
        <f>IF(M231=1,ROUND(D231*参数设置!$B$12*H231/参数设置!$B$13,参数设置!$B$16),0)</f>
        <v>10.73</v>
      </c>
      <c r="K231" s="14">
        <f t="shared" si="14"/>
        <v>23410.73</v>
      </c>
      <c r="L231" s="21">
        <f>EDATE(C231,参数设置!$B$14)</f>
        <v>47159</v>
      </c>
      <c r="M231">
        <f t="shared" si="15"/>
        <v>1</v>
      </c>
    </row>
    <row r="232" spans="1:13">
      <c r="A232">
        <v>20</v>
      </c>
      <c r="B232">
        <v>20</v>
      </c>
      <c r="C232" s="21">
        <f>EDATE(参数设置!$B$4,A232-1)</f>
        <v>46822</v>
      </c>
      <c r="D232" s="14">
        <f>IF(AND(A232&lt;=参数设置!$B$6,OR(INDEX(月度资金流!$B$7:$B$42,A232)="策略一：消费贷款+买基金",INDEX(月度资金流!$B$7:$B$42,A232)="策略二：新贷偿还旧贷")),参数设置!$B$5,0)</f>
        <v>23400</v>
      </c>
      <c r="E232">
        <v>1</v>
      </c>
      <c r="F232" s="21">
        <f t="shared" si="12"/>
        <v>46822</v>
      </c>
      <c r="G232" s="21">
        <f>IF(E232&lt;参数设置!$B$14,DATE(YEAR(EDATE(C232,E232+1)),MONTH(EDATE(C232,E232+1)),参数设置!$B$15),EDATE(C232,参数设置!$B$14))</f>
        <v>46878</v>
      </c>
      <c r="H232">
        <f t="shared" si="13"/>
        <v>56</v>
      </c>
      <c r="I232" s="14">
        <f>IF(E232=参数设置!$B$14,D232,0)</f>
        <v>0</v>
      </c>
      <c r="J232" s="14">
        <f>IF(M232=1,ROUND(D232*参数设置!$B$12*H232/参数设置!$B$13,参数设置!$B$16),0)</f>
        <v>120.12</v>
      </c>
      <c r="K232" s="14">
        <f t="shared" si="14"/>
        <v>120.12</v>
      </c>
      <c r="L232" s="21">
        <f>EDATE(C232,参数设置!$B$14)</f>
        <v>47187</v>
      </c>
      <c r="M232">
        <f t="shared" si="15"/>
        <v>1</v>
      </c>
    </row>
    <row r="233" spans="1:13">
      <c r="A233">
        <v>20</v>
      </c>
      <c r="B233">
        <v>20</v>
      </c>
      <c r="C233" s="21">
        <f>EDATE(参数设置!$B$4,A233-1)</f>
        <v>46822</v>
      </c>
      <c r="D233" s="14">
        <f>IF(AND(A233&lt;=参数设置!$B$6,OR(INDEX(月度资金流!$B$7:$B$42,A233)="策略一：消费贷款+买基金",INDEX(月度资金流!$B$7:$B$42,A233)="策略二：新贷偿还旧贷")),参数设置!$B$5,0)</f>
        <v>23400</v>
      </c>
      <c r="E233">
        <v>2</v>
      </c>
      <c r="F233" s="21">
        <f t="shared" si="12"/>
        <v>46878</v>
      </c>
      <c r="G233" s="21">
        <f>IF(E233&lt;参数设置!$B$14,DATE(YEAR(EDATE(C233,E233+1)),MONTH(EDATE(C233,E233+1)),参数设置!$B$15),EDATE(C233,参数设置!$B$14))</f>
        <v>46909</v>
      </c>
      <c r="H233">
        <f t="shared" si="13"/>
        <v>31</v>
      </c>
      <c r="I233" s="14">
        <f>IF(E233=参数设置!$B$14,D233,0)</f>
        <v>0</v>
      </c>
      <c r="J233" s="14">
        <f>IF(M233=1,ROUND(D233*参数设置!$B$12*H233/参数设置!$B$13,参数设置!$B$16),0)</f>
        <v>66.5</v>
      </c>
      <c r="K233" s="14">
        <f t="shared" si="14"/>
        <v>66.5</v>
      </c>
      <c r="L233" s="21">
        <f>EDATE(C233,参数设置!$B$14)</f>
        <v>47187</v>
      </c>
      <c r="M233">
        <f t="shared" si="15"/>
        <v>1</v>
      </c>
    </row>
    <row r="234" spans="1:13">
      <c r="A234">
        <v>20</v>
      </c>
      <c r="B234">
        <v>20</v>
      </c>
      <c r="C234" s="21">
        <f>EDATE(参数设置!$B$4,A234-1)</f>
        <v>46822</v>
      </c>
      <c r="D234" s="14">
        <f>IF(AND(A234&lt;=参数设置!$B$6,OR(INDEX(月度资金流!$B$7:$B$42,A234)="策略一：消费贷款+买基金",INDEX(月度资金流!$B$7:$B$42,A234)="策略二：新贷偿还旧贷")),参数设置!$B$5,0)</f>
        <v>23400</v>
      </c>
      <c r="E234">
        <v>3</v>
      </c>
      <c r="F234" s="21">
        <f t="shared" si="12"/>
        <v>46909</v>
      </c>
      <c r="G234" s="21">
        <f>IF(E234&lt;参数设置!$B$14,DATE(YEAR(EDATE(C234,E234+1)),MONTH(EDATE(C234,E234+1)),参数设置!$B$15),EDATE(C234,参数设置!$B$14))</f>
        <v>46939</v>
      </c>
      <c r="H234">
        <f t="shared" si="13"/>
        <v>30</v>
      </c>
      <c r="I234" s="14">
        <f>IF(E234=参数设置!$B$14,D234,0)</f>
        <v>0</v>
      </c>
      <c r="J234" s="14">
        <f>IF(M234=1,ROUND(D234*参数设置!$B$12*H234/参数设置!$B$13,参数设置!$B$16),0)</f>
        <v>64.349999999999994</v>
      </c>
      <c r="K234" s="14">
        <f t="shared" si="14"/>
        <v>64.349999999999994</v>
      </c>
      <c r="L234" s="21">
        <f>EDATE(C234,参数设置!$B$14)</f>
        <v>47187</v>
      </c>
      <c r="M234">
        <f t="shared" si="15"/>
        <v>1</v>
      </c>
    </row>
    <row r="235" spans="1:13">
      <c r="A235">
        <v>20</v>
      </c>
      <c r="B235">
        <v>20</v>
      </c>
      <c r="C235" s="21">
        <f>EDATE(参数设置!$B$4,A235-1)</f>
        <v>46822</v>
      </c>
      <c r="D235" s="14">
        <f>IF(AND(A235&lt;=参数设置!$B$6,OR(INDEX(月度资金流!$B$7:$B$42,A235)="策略一：消费贷款+买基金",INDEX(月度资金流!$B$7:$B$42,A235)="策略二：新贷偿还旧贷")),参数设置!$B$5,0)</f>
        <v>23400</v>
      </c>
      <c r="E235">
        <v>4</v>
      </c>
      <c r="F235" s="21">
        <f t="shared" si="12"/>
        <v>46939</v>
      </c>
      <c r="G235" s="21">
        <f>IF(E235&lt;参数设置!$B$14,DATE(YEAR(EDATE(C235,E235+1)),MONTH(EDATE(C235,E235+1)),参数设置!$B$15),EDATE(C235,参数设置!$B$14))</f>
        <v>46970</v>
      </c>
      <c r="H235">
        <f t="shared" si="13"/>
        <v>31</v>
      </c>
      <c r="I235" s="14">
        <f>IF(E235=参数设置!$B$14,D235,0)</f>
        <v>0</v>
      </c>
      <c r="J235" s="14">
        <f>IF(M235=1,ROUND(D235*参数设置!$B$12*H235/参数设置!$B$13,参数设置!$B$16),0)</f>
        <v>66.5</v>
      </c>
      <c r="K235" s="14">
        <f t="shared" si="14"/>
        <v>66.5</v>
      </c>
      <c r="L235" s="21">
        <f>EDATE(C235,参数设置!$B$14)</f>
        <v>47187</v>
      </c>
      <c r="M235">
        <f t="shared" si="15"/>
        <v>1</v>
      </c>
    </row>
    <row r="236" spans="1:13">
      <c r="A236">
        <v>20</v>
      </c>
      <c r="B236">
        <v>20</v>
      </c>
      <c r="C236" s="21">
        <f>EDATE(参数设置!$B$4,A236-1)</f>
        <v>46822</v>
      </c>
      <c r="D236" s="14">
        <f>IF(AND(A236&lt;=参数设置!$B$6,OR(INDEX(月度资金流!$B$7:$B$42,A236)="策略一：消费贷款+买基金",INDEX(月度资金流!$B$7:$B$42,A236)="策略二：新贷偿还旧贷")),参数设置!$B$5,0)</f>
        <v>23400</v>
      </c>
      <c r="E236">
        <v>5</v>
      </c>
      <c r="F236" s="21">
        <f t="shared" si="12"/>
        <v>46970</v>
      </c>
      <c r="G236" s="21">
        <f>IF(E236&lt;参数设置!$B$14,DATE(YEAR(EDATE(C236,E236+1)),MONTH(EDATE(C236,E236+1)),参数设置!$B$15),EDATE(C236,参数设置!$B$14))</f>
        <v>47001</v>
      </c>
      <c r="H236">
        <f t="shared" si="13"/>
        <v>31</v>
      </c>
      <c r="I236" s="14">
        <f>IF(E236=参数设置!$B$14,D236,0)</f>
        <v>0</v>
      </c>
      <c r="J236" s="14">
        <f>IF(M236=1,ROUND(D236*参数设置!$B$12*H236/参数设置!$B$13,参数设置!$B$16),0)</f>
        <v>66.5</v>
      </c>
      <c r="K236" s="14">
        <f t="shared" si="14"/>
        <v>66.5</v>
      </c>
      <c r="L236" s="21">
        <f>EDATE(C236,参数设置!$B$14)</f>
        <v>47187</v>
      </c>
      <c r="M236">
        <f t="shared" si="15"/>
        <v>1</v>
      </c>
    </row>
    <row r="237" spans="1:13">
      <c r="A237">
        <v>20</v>
      </c>
      <c r="B237">
        <v>20</v>
      </c>
      <c r="C237" s="21">
        <f>EDATE(参数设置!$B$4,A237-1)</f>
        <v>46822</v>
      </c>
      <c r="D237" s="14">
        <f>IF(AND(A237&lt;=参数设置!$B$6,OR(INDEX(月度资金流!$B$7:$B$42,A237)="策略一：消费贷款+买基金",INDEX(月度资金流!$B$7:$B$42,A237)="策略二：新贷偿还旧贷")),参数设置!$B$5,0)</f>
        <v>23400</v>
      </c>
      <c r="E237">
        <v>6</v>
      </c>
      <c r="F237" s="21">
        <f t="shared" si="12"/>
        <v>47001</v>
      </c>
      <c r="G237" s="21">
        <f>IF(E237&lt;参数设置!$B$14,DATE(YEAR(EDATE(C237,E237+1)),MONTH(EDATE(C237,E237+1)),参数设置!$B$15),EDATE(C237,参数设置!$B$14))</f>
        <v>47031</v>
      </c>
      <c r="H237">
        <f t="shared" si="13"/>
        <v>30</v>
      </c>
      <c r="I237" s="14">
        <f>IF(E237=参数设置!$B$14,D237,0)</f>
        <v>0</v>
      </c>
      <c r="J237" s="14">
        <f>IF(M237=1,ROUND(D237*参数设置!$B$12*H237/参数设置!$B$13,参数设置!$B$16),0)</f>
        <v>64.349999999999994</v>
      </c>
      <c r="K237" s="14">
        <f t="shared" si="14"/>
        <v>64.349999999999994</v>
      </c>
      <c r="L237" s="21">
        <f>EDATE(C237,参数设置!$B$14)</f>
        <v>47187</v>
      </c>
      <c r="M237">
        <f t="shared" si="15"/>
        <v>1</v>
      </c>
    </row>
    <row r="238" spans="1:13">
      <c r="A238">
        <v>20</v>
      </c>
      <c r="B238">
        <v>20</v>
      </c>
      <c r="C238" s="21">
        <f>EDATE(参数设置!$B$4,A238-1)</f>
        <v>46822</v>
      </c>
      <c r="D238" s="14">
        <f>IF(AND(A238&lt;=参数设置!$B$6,OR(INDEX(月度资金流!$B$7:$B$42,A238)="策略一：消费贷款+买基金",INDEX(月度资金流!$B$7:$B$42,A238)="策略二：新贷偿还旧贷")),参数设置!$B$5,0)</f>
        <v>23400</v>
      </c>
      <c r="E238">
        <v>7</v>
      </c>
      <c r="F238" s="21">
        <f t="shared" si="12"/>
        <v>47031</v>
      </c>
      <c r="G238" s="21">
        <f>IF(E238&lt;参数设置!$B$14,DATE(YEAR(EDATE(C238,E238+1)),MONTH(EDATE(C238,E238+1)),参数设置!$B$15),EDATE(C238,参数设置!$B$14))</f>
        <v>47062</v>
      </c>
      <c r="H238">
        <f t="shared" si="13"/>
        <v>31</v>
      </c>
      <c r="I238" s="14">
        <f>IF(E238=参数设置!$B$14,D238,0)</f>
        <v>0</v>
      </c>
      <c r="J238" s="14">
        <f>IF(M238=1,ROUND(D238*参数设置!$B$12*H238/参数设置!$B$13,参数设置!$B$16),0)</f>
        <v>66.5</v>
      </c>
      <c r="K238" s="14">
        <f t="shared" si="14"/>
        <v>66.5</v>
      </c>
      <c r="L238" s="21">
        <f>EDATE(C238,参数设置!$B$14)</f>
        <v>47187</v>
      </c>
      <c r="M238">
        <f t="shared" si="15"/>
        <v>1</v>
      </c>
    </row>
    <row r="239" spans="1:13">
      <c r="A239">
        <v>20</v>
      </c>
      <c r="B239">
        <v>20</v>
      </c>
      <c r="C239" s="21">
        <f>EDATE(参数设置!$B$4,A239-1)</f>
        <v>46822</v>
      </c>
      <c r="D239" s="14">
        <f>IF(AND(A239&lt;=参数设置!$B$6,OR(INDEX(月度资金流!$B$7:$B$42,A239)="策略一：消费贷款+买基金",INDEX(月度资金流!$B$7:$B$42,A239)="策略二：新贷偿还旧贷")),参数设置!$B$5,0)</f>
        <v>23400</v>
      </c>
      <c r="E239">
        <v>8</v>
      </c>
      <c r="F239" s="21">
        <f t="shared" si="12"/>
        <v>47062</v>
      </c>
      <c r="G239" s="21">
        <f>IF(E239&lt;参数设置!$B$14,DATE(YEAR(EDATE(C239,E239+1)),MONTH(EDATE(C239,E239+1)),参数设置!$B$15),EDATE(C239,参数设置!$B$14))</f>
        <v>47092</v>
      </c>
      <c r="H239">
        <f t="shared" si="13"/>
        <v>30</v>
      </c>
      <c r="I239" s="14">
        <f>IF(E239=参数设置!$B$14,D239,0)</f>
        <v>0</v>
      </c>
      <c r="J239" s="14">
        <f>IF(M239=1,ROUND(D239*参数设置!$B$12*H239/参数设置!$B$13,参数设置!$B$16),0)</f>
        <v>64.349999999999994</v>
      </c>
      <c r="K239" s="14">
        <f t="shared" si="14"/>
        <v>64.349999999999994</v>
      </c>
      <c r="L239" s="21">
        <f>EDATE(C239,参数设置!$B$14)</f>
        <v>47187</v>
      </c>
      <c r="M239">
        <f t="shared" si="15"/>
        <v>1</v>
      </c>
    </row>
    <row r="240" spans="1:13">
      <c r="A240">
        <v>20</v>
      </c>
      <c r="B240">
        <v>20</v>
      </c>
      <c r="C240" s="21">
        <f>EDATE(参数设置!$B$4,A240-1)</f>
        <v>46822</v>
      </c>
      <c r="D240" s="14">
        <f>IF(AND(A240&lt;=参数设置!$B$6,OR(INDEX(月度资金流!$B$7:$B$42,A240)="策略一：消费贷款+买基金",INDEX(月度资金流!$B$7:$B$42,A240)="策略二：新贷偿还旧贷")),参数设置!$B$5,0)</f>
        <v>23400</v>
      </c>
      <c r="E240">
        <v>9</v>
      </c>
      <c r="F240" s="21">
        <f t="shared" si="12"/>
        <v>47092</v>
      </c>
      <c r="G240" s="21">
        <f>IF(E240&lt;参数设置!$B$14,DATE(YEAR(EDATE(C240,E240+1)),MONTH(EDATE(C240,E240+1)),参数设置!$B$15),EDATE(C240,参数设置!$B$14))</f>
        <v>47123</v>
      </c>
      <c r="H240">
        <f t="shared" si="13"/>
        <v>31</v>
      </c>
      <c r="I240" s="14">
        <f>IF(E240=参数设置!$B$14,D240,0)</f>
        <v>0</v>
      </c>
      <c r="J240" s="14">
        <f>IF(M240=1,ROUND(D240*参数设置!$B$12*H240/参数设置!$B$13,参数设置!$B$16),0)</f>
        <v>66.5</v>
      </c>
      <c r="K240" s="14">
        <f t="shared" si="14"/>
        <v>66.5</v>
      </c>
      <c r="L240" s="21">
        <f>EDATE(C240,参数设置!$B$14)</f>
        <v>47187</v>
      </c>
      <c r="M240">
        <f t="shared" si="15"/>
        <v>1</v>
      </c>
    </row>
    <row r="241" spans="1:13">
      <c r="A241">
        <v>20</v>
      </c>
      <c r="B241">
        <v>20</v>
      </c>
      <c r="C241" s="21">
        <f>EDATE(参数设置!$B$4,A241-1)</f>
        <v>46822</v>
      </c>
      <c r="D241" s="14">
        <f>IF(AND(A241&lt;=参数设置!$B$6,OR(INDEX(月度资金流!$B$7:$B$42,A241)="策略一：消费贷款+买基金",INDEX(月度资金流!$B$7:$B$42,A241)="策略二：新贷偿还旧贷")),参数设置!$B$5,0)</f>
        <v>23400</v>
      </c>
      <c r="E241">
        <v>10</v>
      </c>
      <c r="F241" s="21">
        <f t="shared" si="12"/>
        <v>47123</v>
      </c>
      <c r="G241" s="21">
        <f>IF(E241&lt;参数设置!$B$14,DATE(YEAR(EDATE(C241,E241+1)),MONTH(EDATE(C241,E241+1)),参数设置!$B$15),EDATE(C241,参数设置!$B$14))</f>
        <v>47154</v>
      </c>
      <c r="H241">
        <f t="shared" si="13"/>
        <v>31</v>
      </c>
      <c r="I241" s="14">
        <f>IF(E241=参数设置!$B$14,D241,0)</f>
        <v>0</v>
      </c>
      <c r="J241" s="14">
        <f>IF(M241=1,ROUND(D241*参数设置!$B$12*H241/参数设置!$B$13,参数设置!$B$16),0)</f>
        <v>66.5</v>
      </c>
      <c r="K241" s="14">
        <f t="shared" si="14"/>
        <v>66.5</v>
      </c>
      <c r="L241" s="21">
        <f>EDATE(C241,参数设置!$B$14)</f>
        <v>47187</v>
      </c>
      <c r="M241">
        <f t="shared" si="15"/>
        <v>1</v>
      </c>
    </row>
    <row r="242" spans="1:13">
      <c r="A242">
        <v>20</v>
      </c>
      <c r="B242">
        <v>20</v>
      </c>
      <c r="C242" s="21">
        <f>EDATE(参数设置!$B$4,A242-1)</f>
        <v>46822</v>
      </c>
      <c r="D242" s="14">
        <f>IF(AND(A242&lt;=参数设置!$B$6,OR(INDEX(月度资金流!$B$7:$B$42,A242)="策略一：消费贷款+买基金",INDEX(月度资金流!$B$7:$B$42,A242)="策略二：新贷偿还旧贷")),参数设置!$B$5,0)</f>
        <v>23400</v>
      </c>
      <c r="E242">
        <v>11</v>
      </c>
      <c r="F242" s="21">
        <f t="shared" si="12"/>
        <v>47154</v>
      </c>
      <c r="G242" s="21">
        <f>IF(E242&lt;参数设置!$B$14,DATE(YEAR(EDATE(C242,E242+1)),MONTH(EDATE(C242,E242+1)),参数设置!$B$15),EDATE(C242,参数设置!$B$14))</f>
        <v>47182</v>
      </c>
      <c r="H242">
        <f t="shared" si="13"/>
        <v>28</v>
      </c>
      <c r="I242" s="14">
        <f>IF(E242=参数设置!$B$14,D242,0)</f>
        <v>0</v>
      </c>
      <c r="J242" s="14">
        <f>IF(M242=1,ROUND(D242*参数设置!$B$12*H242/参数设置!$B$13,参数设置!$B$16),0)</f>
        <v>60.06</v>
      </c>
      <c r="K242" s="14">
        <f t="shared" si="14"/>
        <v>60.06</v>
      </c>
      <c r="L242" s="21">
        <f>EDATE(C242,参数设置!$B$14)</f>
        <v>47187</v>
      </c>
      <c r="M242">
        <f t="shared" si="15"/>
        <v>1</v>
      </c>
    </row>
    <row r="243" spans="1:13">
      <c r="A243">
        <v>20</v>
      </c>
      <c r="B243">
        <v>20</v>
      </c>
      <c r="C243" s="21">
        <f>EDATE(参数设置!$B$4,A243-1)</f>
        <v>46822</v>
      </c>
      <c r="D243" s="14">
        <f>IF(AND(A243&lt;=参数设置!$B$6,OR(INDEX(月度资金流!$B$7:$B$42,A243)="策略一：消费贷款+买基金",INDEX(月度资金流!$B$7:$B$42,A243)="策略二：新贷偿还旧贷")),参数设置!$B$5,0)</f>
        <v>23400</v>
      </c>
      <c r="E243">
        <v>12</v>
      </c>
      <c r="F243" s="21">
        <f t="shared" si="12"/>
        <v>47182</v>
      </c>
      <c r="G243" s="21">
        <f>IF(E243&lt;参数设置!$B$14,DATE(YEAR(EDATE(C243,E243+1)),MONTH(EDATE(C243,E243+1)),参数设置!$B$15),EDATE(C243,参数设置!$B$14))</f>
        <v>47187</v>
      </c>
      <c r="H243">
        <f t="shared" si="13"/>
        <v>5</v>
      </c>
      <c r="I243" s="14">
        <f>IF(E243=参数设置!$B$14,D243,0)</f>
        <v>23400</v>
      </c>
      <c r="J243" s="14">
        <f>IF(M243=1,ROUND(D243*参数设置!$B$12*H243/参数设置!$B$13,参数设置!$B$16),0)</f>
        <v>10.73</v>
      </c>
      <c r="K243" s="14">
        <f t="shared" si="14"/>
        <v>23410.73</v>
      </c>
      <c r="L243" s="21">
        <f>EDATE(C243,参数设置!$B$14)</f>
        <v>47187</v>
      </c>
      <c r="M243">
        <f t="shared" si="15"/>
        <v>1</v>
      </c>
    </row>
    <row r="244" spans="1:13">
      <c r="A244">
        <v>21</v>
      </c>
      <c r="B244">
        <v>21</v>
      </c>
      <c r="C244" s="21">
        <f>EDATE(参数设置!$B$4,A244-1)</f>
        <v>46853</v>
      </c>
      <c r="D244" s="14">
        <f>IF(AND(A244&lt;=参数设置!$B$6,OR(INDEX(月度资金流!$B$7:$B$42,A244)="策略一：消费贷款+买基金",INDEX(月度资金流!$B$7:$B$42,A244)="策略二：新贷偿还旧贷")),参数设置!$B$5,0)</f>
        <v>23400</v>
      </c>
      <c r="E244">
        <v>1</v>
      </c>
      <c r="F244" s="21">
        <f t="shared" si="12"/>
        <v>46853</v>
      </c>
      <c r="G244" s="21">
        <f>IF(E244&lt;参数设置!$B$14,DATE(YEAR(EDATE(C244,E244+1)),MONTH(EDATE(C244,E244+1)),参数设置!$B$15),EDATE(C244,参数设置!$B$14))</f>
        <v>46909</v>
      </c>
      <c r="H244">
        <f t="shared" si="13"/>
        <v>56</v>
      </c>
      <c r="I244" s="14">
        <f>IF(E244=参数设置!$B$14,D244,0)</f>
        <v>0</v>
      </c>
      <c r="J244" s="14">
        <f>IF(M244=1,ROUND(D244*参数设置!$B$12*H244/参数设置!$B$13,参数设置!$B$16),0)</f>
        <v>120.12</v>
      </c>
      <c r="K244" s="14">
        <f t="shared" si="14"/>
        <v>120.12</v>
      </c>
      <c r="L244" s="21">
        <f>EDATE(C244,参数设置!$B$14)</f>
        <v>47218</v>
      </c>
      <c r="M244">
        <f t="shared" si="15"/>
        <v>1</v>
      </c>
    </row>
    <row r="245" spans="1:13">
      <c r="A245">
        <v>21</v>
      </c>
      <c r="B245">
        <v>21</v>
      </c>
      <c r="C245" s="21">
        <f>EDATE(参数设置!$B$4,A245-1)</f>
        <v>46853</v>
      </c>
      <c r="D245" s="14">
        <f>IF(AND(A245&lt;=参数设置!$B$6,OR(INDEX(月度资金流!$B$7:$B$42,A245)="策略一：消费贷款+买基金",INDEX(月度资金流!$B$7:$B$42,A245)="策略二：新贷偿还旧贷")),参数设置!$B$5,0)</f>
        <v>23400</v>
      </c>
      <c r="E245">
        <v>2</v>
      </c>
      <c r="F245" s="21">
        <f t="shared" si="12"/>
        <v>46909</v>
      </c>
      <c r="G245" s="21">
        <f>IF(E245&lt;参数设置!$B$14,DATE(YEAR(EDATE(C245,E245+1)),MONTH(EDATE(C245,E245+1)),参数设置!$B$15),EDATE(C245,参数设置!$B$14))</f>
        <v>46939</v>
      </c>
      <c r="H245">
        <f t="shared" si="13"/>
        <v>30</v>
      </c>
      <c r="I245" s="14">
        <f>IF(E245=参数设置!$B$14,D245,0)</f>
        <v>0</v>
      </c>
      <c r="J245" s="14">
        <f>IF(M245=1,ROUND(D245*参数设置!$B$12*H245/参数设置!$B$13,参数设置!$B$16),0)</f>
        <v>64.349999999999994</v>
      </c>
      <c r="K245" s="14">
        <f t="shared" si="14"/>
        <v>64.349999999999994</v>
      </c>
      <c r="L245" s="21">
        <f>EDATE(C245,参数设置!$B$14)</f>
        <v>47218</v>
      </c>
      <c r="M245">
        <f t="shared" si="15"/>
        <v>1</v>
      </c>
    </row>
    <row r="246" spans="1:13">
      <c r="A246">
        <v>21</v>
      </c>
      <c r="B246">
        <v>21</v>
      </c>
      <c r="C246" s="21">
        <f>EDATE(参数设置!$B$4,A246-1)</f>
        <v>46853</v>
      </c>
      <c r="D246" s="14">
        <f>IF(AND(A246&lt;=参数设置!$B$6,OR(INDEX(月度资金流!$B$7:$B$42,A246)="策略一：消费贷款+买基金",INDEX(月度资金流!$B$7:$B$42,A246)="策略二：新贷偿还旧贷")),参数设置!$B$5,0)</f>
        <v>23400</v>
      </c>
      <c r="E246">
        <v>3</v>
      </c>
      <c r="F246" s="21">
        <f t="shared" si="12"/>
        <v>46939</v>
      </c>
      <c r="G246" s="21">
        <f>IF(E246&lt;参数设置!$B$14,DATE(YEAR(EDATE(C246,E246+1)),MONTH(EDATE(C246,E246+1)),参数设置!$B$15),EDATE(C246,参数设置!$B$14))</f>
        <v>46970</v>
      </c>
      <c r="H246">
        <f t="shared" si="13"/>
        <v>31</v>
      </c>
      <c r="I246" s="14">
        <f>IF(E246=参数设置!$B$14,D246,0)</f>
        <v>0</v>
      </c>
      <c r="J246" s="14">
        <f>IF(M246=1,ROUND(D246*参数设置!$B$12*H246/参数设置!$B$13,参数设置!$B$16),0)</f>
        <v>66.5</v>
      </c>
      <c r="K246" s="14">
        <f t="shared" si="14"/>
        <v>66.5</v>
      </c>
      <c r="L246" s="21">
        <f>EDATE(C246,参数设置!$B$14)</f>
        <v>47218</v>
      </c>
      <c r="M246">
        <f t="shared" si="15"/>
        <v>1</v>
      </c>
    </row>
    <row r="247" spans="1:13">
      <c r="A247">
        <v>21</v>
      </c>
      <c r="B247">
        <v>21</v>
      </c>
      <c r="C247" s="21">
        <f>EDATE(参数设置!$B$4,A247-1)</f>
        <v>46853</v>
      </c>
      <c r="D247" s="14">
        <f>IF(AND(A247&lt;=参数设置!$B$6,OR(INDEX(月度资金流!$B$7:$B$42,A247)="策略一：消费贷款+买基金",INDEX(月度资金流!$B$7:$B$42,A247)="策略二：新贷偿还旧贷")),参数设置!$B$5,0)</f>
        <v>23400</v>
      </c>
      <c r="E247">
        <v>4</v>
      </c>
      <c r="F247" s="21">
        <f t="shared" si="12"/>
        <v>46970</v>
      </c>
      <c r="G247" s="21">
        <f>IF(E247&lt;参数设置!$B$14,DATE(YEAR(EDATE(C247,E247+1)),MONTH(EDATE(C247,E247+1)),参数设置!$B$15),EDATE(C247,参数设置!$B$14))</f>
        <v>47001</v>
      </c>
      <c r="H247">
        <f t="shared" si="13"/>
        <v>31</v>
      </c>
      <c r="I247" s="14">
        <f>IF(E247=参数设置!$B$14,D247,0)</f>
        <v>0</v>
      </c>
      <c r="J247" s="14">
        <f>IF(M247=1,ROUND(D247*参数设置!$B$12*H247/参数设置!$B$13,参数设置!$B$16),0)</f>
        <v>66.5</v>
      </c>
      <c r="K247" s="14">
        <f t="shared" si="14"/>
        <v>66.5</v>
      </c>
      <c r="L247" s="21">
        <f>EDATE(C247,参数设置!$B$14)</f>
        <v>47218</v>
      </c>
      <c r="M247">
        <f t="shared" si="15"/>
        <v>1</v>
      </c>
    </row>
    <row r="248" spans="1:13">
      <c r="A248">
        <v>21</v>
      </c>
      <c r="B248">
        <v>21</v>
      </c>
      <c r="C248" s="21">
        <f>EDATE(参数设置!$B$4,A248-1)</f>
        <v>46853</v>
      </c>
      <c r="D248" s="14">
        <f>IF(AND(A248&lt;=参数设置!$B$6,OR(INDEX(月度资金流!$B$7:$B$42,A248)="策略一：消费贷款+买基金",INDEX(月度资金流!$B$7:$B$42,A248)="策略二：新贷偿还旧贷")),参数设置!$B$5,0)</f>
        <v>23400</v>
      </c>
      <c r="E248">
        <v>5</v>
      </c>
      <c r="F248" s="21">
        <f t="shared" si="12"/>
        <v>47001</v>
      </c>
      <c r="G248" s="21">
        <f>IF(E248&lt;参数设置!$B$14,DATE(YEAR(EDATE(C248,E248+1)),MONTH(EDATE(C248,E248+1)),参数设置!$B$15),EDATE(C248,参数设置!$B$14))</f>
        <v>47031</v>
      </c>
      <c r="H248">
        <f t="shared" si="13"/>
        <v>30</v>
      </c>
      <c r="I248" s="14">
        <f>IF(E248=参数设置!$B$14,D248,0)</f>
        <v>0</v>
      </c>
      <c r="J248" s="14">
        <f>IF(M248=1,ROUND(D248*参数设置!$B$12*H248/参数设置!$B$13,参数设置!$B$16),0)</f>
        <v>64.349999999999994</v>
      </c>
      <c r="K248" s="14">
        <f t="shared" si="14"/>
        <v>64.349999999999994</v>
      </c>
      <c r="L248" s="21">
        <f>EDATE(C248,参数设置!$B$14)</f>
        <v>47218</v>
      </c>
      <c r="M248">
        <f t="shared" si="15"/>
        <v>1</v>
      </c>
    </row>
    <row r="249" spans="1:13">
      <c r="A249">
        <v>21</v>
      </c>
      <c r="B249">
        <v>21</v>
      </c>
      <c r="C249" s="21">
        <f>EDATE(参数设置!$B$4,A249-1)</f>
        <v>46853</v>
      </c>
      <c r="D249" s="14">
        <f>IF(AND(A249&lt;=参数设置!$B$6,OR(INDEX(月度资金流!$B$7:$B$42,A249)="策略一：消费贷款+买基金",INDEX(月度资金流!$B$7:$B$42,A249)="策略二：新贷偿还旧贷")),参数设置!$B$5,0)</f>
        <v>23400</v>
      </c>
      <c r="E249">
        <v>6</v>
      </c>
      <c r="F249" s="21">
        <f t="shared" si="12"/>
        <v>47031</v>
      </c>
      <c r="G249" s="21">
        <f>IF(E249&lt;参数设置!$B$14,DATE(YEAR(EDATE(C249,E249+1)),MONTH(EDATE(C249,E249+1)),参数设置!$B$15),EDATE(C249,参数设置!$B$14))</f>
        <v>47062</v>
      </c>
      <c r="H249">
        <f t="shared" si="13"/>
        <v>31</v>
      </c>
      <c r="I249" s="14">
        <f>IF(E249=参数设置!$B$14,D249,0)</f>
        <v>0</v>
      </c>
      <c r="J249" s="14">
        <f>IF(M249=1,ROUND(D249*参数设置!$B$12*H249/参数设置!$B$13,参数设置!$B$16),0)</f>
        <v>66.5</v>
      </c>
      <c r="K249" s="14">
        <f t="shared" si="14"/>
        <v>66.5</v>
      </c>
      <c r="L249" s="21">
        <f>EDATE(C249,参数设置!$B$14)</f>
        <v>47218</v>
      </c>
      <c r="M249">
        <f t="shared" si="15"/>
        <v>1</v>
      </c>
    </row>
    <row r="250" spans="1:13">
      <c r="A250">
        <v>21</v>
      </c>
      <c r="B250">
        <v>21</v>
      </c>
      <c r="C250" s="21">
        <f>EDATE(参数设置!$B$4,A250-1)</f>
        <v>46853</v>
      </c>
      <c r="D250" s="14">
        <f>IF(AND(A250&lt;=参数设置!$B$6,OR(INDEX(月度资金流!$B$7:$B$42,A250)="策略一：消费贷款+买基金",INDEX(月度资金流!$B$7:$B$42,A250)="策略二：新贷偿还旧贷")),参数设置!$B$5,0)</f>
        <v>23400</v>
      </c>
      <c r="E250">
        <v>7</v>
      </c>
      <c r="F250" s="21">
        <f t="shared" si="12"/>
        <v>47062</v>
      </c>
      <c r="G250" s="21">
        <f>IF(E250&lt;参数设置!$B$14,DATE(YEAR(EDATE(C250,E250+1)),MONTH(EDATE(C250,E250+1)),参数设置!$B$15),EDATE(C250,参数设置!$B$14))</f>
        <v>47092</v>
      </c>
      <c r="H250">
        <f t="shared" si="13"/>
        <v>30</v>
      </c>
      <c r="I250" s="14">
        <f>IF(E250=参数设置!$B$14,D250,0)</f>
        <v>0</v>
      </c>
      <c r="J250" s="14">
        <f>IF(M250=1,ROUND(D250*参数设置!$B$12*H250/参数设置!$B$13,参数设置!$B$16),0)</f>
        <v>64.349999999999994</v>
      </c>
      <c r="K250" s="14">
        <f t="shared" si="14"/>
        <v>64.349999999999994</v>
      </c>
      <c r="L250" s="21">
        <f>EDATE(C250,参数设置!$B$14)</f>
        <v>47218</v>
      </c>
      <c r="M250">
        <f t="shared" si="15"/>
        <v>1</v>
      </c>
    </row>
    <row r="251" spans="1:13">
      <c r="A251">
        <v>21</v>
      </c>
      <c r="B251">
        <v>21</v>
      </c>
      <c r="C251" s="21">
        <f>EDATE(参数设置!$B$4,A251-1)</f>
        <v>46853</v>
      </c>
      <c r="D251" s="14">
        <f>IF(AND(A251&lt;=参数设置!$B$6,OR(INDEX(月度资金流!$B$7:$B$42,A251)="策略一：消费贷款+买基金",INDEX(月度资金流!$B$7:$B$42,A251)="策略二：新贷偿还旧贷")),参数设置!$B$5,0)</f>
        <v>23400</v>
      </c>
      <c r="E251">
        <v>8</v>
      </c>
      <c r="F251" s="21">
        <f t="shared" si="12"/>
        <v>47092</v>
      </c>
      <c r="G251" s="21">
        <f>IF(E251&lt;参数设置!$B$14,DATE(YEAR(EDATE(C251,E251+1)),MONTH(EDATE(C251,E251+1)),参数设置!$B$15),EDATE(C251,参数设置!$B$14))</f>
        <v>47123</v>
      </c>
      <c r="H251">
        <f t="shared" si="13"/>
        <v>31</v>
      </c>
      <c r="I251" s="14">
        <f>IF(E251=参数设置!$B$14,D251,0)</f>
        <v>0</v>
      </c>
      <c r="J251" s="14">
        <f>IF(M251=1,ROUND(D251*参数设置!$B$12*H251/参数设置!$B$13,参数设置!$B$16),0)</f>
        <v>66.5</v>
      </c>
      <c r="K251" s="14">
        <f t="shared" si="14"/>
        <v>66.5</v>
      </c>
      <c r="L251" s="21">
        <f>EDATE(C251,参数设置!$B$14)</f>
        <v>47218</v>
      </c>
      <c r="M251">
        <f t="shared" si="15"/>
        <v>1</v>
      </c>
    </row>
    <row r="252" spans="1:13">
      <c r="A252">
        <v>21</v>
      </c>
      <c r="B252">
        <v>21</v>
      </c>
      <c r="C252" s="21">
        <f>EDATE(参数设置!$B$4,A252-1)</f>
        <v>46853</v>
      </c>
      <c r="D252" s="14">
        <f>IF(AND(A252&lt;=参数设置!$B$6,OR(INDEX(月度资金流!$B$7:$B$42,A252)="策略一：消费贷款+买基金",INDEX(月度资金流!$B$7:$B$42,A252)="策略二：新贷偿还旧贷")),参数设置!$B$5,0)</f>
        <v>23400</v>
      </c>
      <c r="E252">
        <v>9</v>
      </c>
      <c r="F252" s="21">
        <f t="shared" si="12"/>
        <v>47123</v>
      </c>
      <c r="G252" s="21">
        <f>IF(E252&lt;参数设置!$B$14,DATE(YEAR(EDATE(C252,E252+1)),MONTH(EDATE(C252,E252+1)),参数设置!$B$15),EDATE(C252,参数设置!$B$14))</f>
        <v>47154</v>
      </c>
      <c r="H252">
        <f t="shared" si="13"/>
        <v>31</v>
      </c>
      <c r="I252" s="14">
        <f>IF(E252=参数设置!$B$14,D252,0)</f>
        <v>0</v>
      </c>
      <c r="J252" s="14">
        <f>IF(M252=1,ROUND(D252*参数设置!$B$12*H252/参数设置!$B$13,参数设置!$B$16),0)</f>
        <v>66.5</v>
      </c>
      <c r="K252" s="14">
        <f t="shared" si="14"/>
        <v>66.5</v>
      </c>
      <c r="L252" s="21">
        <f>EDATE(C252,参数设置!$B$14)</f>
        <v>47218</v>
      </c>
      <c r="M252">
        <f t="shared" si="15"/>
        <v>1</v>
      </c>
    </row>
    <row r="253" spans="1:13">
      <c r="A253">
        <v>21</v>
      </c>
      <c r="B253">
        <v>21</v>
      </c>
      <c r="C253" s="21">
        <f>EDATE(参数设置!$B$4,A253-1)</f>
        <v>46853</v>
      </c>
      <c r="D253" s="14">
        <f>IF(AND(A253&lt;=参数设置!$B$6,OR(INDEX(月度资金流!$B$7:$B$42,A253)="策略一：消费贷款+买基金",INDEX(月度资金流!$B$7:$B$42,A253)="策略二：新贷偿还旧贷")),参数设置!$B$5,0)</f>
        <v>23400</v>
      </c>
      <c r="E253">
        <v>10</v>
      </c>
      <c r="F253" s="21">
        <f t="shared" si="12"/>
        <v>47154</v>
      </c>
      <c r="G253" s="21">
        <f>IF(E253&lt;参数设置!$B$14,DATE(YEAR(EDATE(C253,E253+1)),MONTH(EDATE(C253,E253+1)),参数设置!$B$15),EDATE(C253,参数设置!$B$14))</f>
        <v>47182</v>
      </c>
      <c r="H253">
        <f t="shared" si="13"/>
        <v>28</v>
      </c>
      <c r="I253" s="14">
        <f>IF(E253=参数设置!$B$14,D253,0)</f>
        <v>0</v>
      </c>
      <c r="J253" s="14">
        <f>IF(M253=1,ROUND(D253*参数设置!$B$12*H253/参数设置!$B$13,参数设置!$B$16),0)</f>
        <v>60.06</v>
      </c>
      <c r="K253" s="14">
        <f t="shared" si="14"/>
        <v>60.06</v>
      </c>
      <c r="L253" s="21">
        <f>EDATE(C253,参数设置!$B$14)</f>
        <v>47218</v>
      </c>
      <c r="M253">
        <f t="shared" si="15"/>
        <v>1</v>
      </c>
    </row>
    <row r="254" spans="1:13">
      <c r="A254">
        <v>21</v>
      </c>
      <c r="B254">
        <v>21</v>
      </c>
      <c r="C254" s="21">
        <f>EDATE(参数设置!$B$4,A254-1)</f>
        <v>46853</v>
      </c>
      <c r="D254" s="14">
        <f>IF(AND(A254&lt;=参数设置!$B$6,OR(INDEX(月度资金流!$B$7:$B$42,A254)="策略一：消费贷款+买基金",INDEX(月度资金流!$B$7:$B$42,A254)="策略二：新贷偿还旧贷")),参数设置!$B$5,0)</f>
        <v>23400</v>
      </c>
      <c r="E254">
        <v>11</v>
      </c>
      <c r="F254" s="21">
        <f t="shared" si="12"/>
        <v>47182</v>
      </c>
      <c r="G254" s="21">
        <f>IF(E254&lt;参数设置!$B$14,DATE(YEAR(EDATE(C254,E254+1)),MONTH(EDATE(C254,E254+1)),参数设置!$B$15),EDATE(C254,参数设置!$B$14))</f>
        <v>47213</v>
      </c>
      <c r="H254">
        <f t="shared" si="13"/>
        <v>31</v>
      </c>
      <c r="I254" s="14">
        <f>IF(E254=参数设置!$B$14,D254,0)</f>
        <v>0</v>
      </c>
      <c r="J254" s="14">
        <f>IF(M254=1,ROUND(D254*参数设置!$B$12*H254/参数设置!$B$13,参数设置!$B$16),0)</f>
        <v>66.5</v>
      </c>
      <c r="K254" s="14">
        <f t="shared" si="14"/>
        <v>66.5</v>
      </c>
      <c r="L254" s="21">
        <f>EDATE(C254,参数设置!$B$14)</f>
        <v>47218</v>
      </c>
      <c r="M254">
        <f t="shared" si="15"/>
        <v>1</v>
      </c>
    </row>
    <row r="255" spans="1:13">
      <c r="A255">
        <v>21</v>
      </c>
      <c r="B255">
        <v>21</v>
      </c>
      <c r="C255" s="21">
        <f>EDATE(参数设置!$B$4,A255-1)</f>
        <v>46853</v>
      </c>
      <c r="D255" s="14">
        <f>IF(AND(A255&lt;=参数设置!$B$6,OR(INDEX(月度资金流!$B$7:$B$42,A255)="策略一：消费贷款+买基金",INDEX(月度资金流!$B$7:$B$42,A255)="策略二：新贷偿还旧贷")),参数设置!$B$5,0)</f>
        <v>23400</v>
      </c>
      <c r="E255">
        <v>12</v>
      </c>
      <c r="F255" s="21">
        <f t="shared" si="12"/>
        <v>47213</v>
      </c>
      <c r="G255" s="21">
        <f>IF(E255&lt;参数设置!$B$14,DATE(YEAR(EDATE(C255,E255+1)),MONTH(EDATE(C255,E255+1)),参数设置!$B$15),EDATE(C255,参数设置!$B$14))</f>
        <v>47218</v>
      </c>
      <c r="H255">
        <f t="shared" si="13"/>
        <v>5</v>
      </c>
      <c r="I255" s="14">
        <f>IF(E255=参数设置!$B$14,D255,0)</f>
        <v>23400</v>
      </c>
      <c r="J255" s="14">
        <f>IF(M255=1,ROUND(D255*参数设置!$B$12*H255/参数设置!$B$13,参数设置!$B$16),0)</f>
        <v>10.73</v>
      </c>
      <c r="K255" s="14">
        <f t="shared" si="14"/>
        <v>23410.73</v>
      </c>
      <c r="L255" s="21">
        <f>EDATE(C255,参数设置!$B$14)</f>
        <v>47218</v>
      </c>
      <c r="M255">
        <f t="shared" si="15"/>
        <v>1</v>
      </c>
    </row>
    <row r="256" spans="1:13">
      <c r="A256">
        <v>22</v>
      </c>
      <c r="B256">
        <v>22</v>
      </c>
      <c r="C256" s="21">
        <f>EDATE(参数设置!$B$4,A256-1)</f>
        <v>46883</v>
      </c>
      <c r="D256" s="14">
        <f>IF(AND(A256&lt;=参数设置!$B$6,OR(INDEX(月度资金流!$B$7:$B$42,A256)="策略一：消费贷款+买基金",INDEX(月度资金流!$B$7:$B$42,A256)="策略二：新贷偿还旧贷")),参数设置!$B$5,0)</f>
        <v>23400</v>
      </c>
      <c r="E256">
        <v>1</v>
      </c>
      <c r="F256" s="21">
        <f t="shared" si="12"/>
        <v>46883</v>
      </c>
      <c r="G256" s="21">
        <f>IF(E256&lt;参数设置!$B$14,DATE(YEAR(EDATE(C256,E256+1)),MONTH(EDATE(C256,E256+1)),参数设置!$B$15),EDATE(C256,参数设置!$B$14))</f>
        <v>46939</v>
      </c>
      <c r="H256">
        <f t="shared" si="13"/>
        <v>56</v>
      </c>
      <c r="I256" s="14">
        <f>IF(E256=参数设置!$B$14,D256,0)</f>
        <v>0</v>
      </c>
      <c r="J256" s="14">
        <f>IF(M256=1,ROUND(D256*参数设置!$B$12*H256/参数设置!$B$13,参数设置!$B$16),0)</f>
        <v>120.12</v>
      </c>
      <c r="K256" s="14">
        <f t="shared" si="14"/>
        <v>120.12</v>
      </c>
      <c r="L256" s="21">
        <f>EDATE(C256,参数设置!$B$14)</f>
        <v>47248</v>
      </c>
      <c r="M256">
        <f t="shared" si="15"/>
        <v>1</v>
      </c>
    </row>
    <row r="257" spans="1:13">
      <c r="A257">
        <v>22</v>
      </c>
      <c r="B257">
        <v>22</v>
      </c>
      <c r="C257" s="21">
        <f>EDATE(参数设置!$B$4,A257-1)</f>
        <v>46883</v>
      </c>
      <c r="D257" s="14">
        <f>IF(AND(A257&lt;=参数设置!$B$6,OR(INDEX(月度资金流!$B$7:$B$42,A257)="策略一：消费贷款+买基金",INDEX(月度资金流!$B$7:$B$42,A257)="策略二：新贷偿还旧贷")),参数设置!$B$5,0)</f>
        <v>23400</v>
      </c>
      <c r="E257">
        <v>2</v>
      </c>
      <c r="F257" s="21">
        <f t="shared" si="12"/>
        <v>46939</v>
      </c>
      <c r="G257" s="21">
        <f>IF(E257&lt;参数设置!$B$14,DATE(YEAR(EDATE(C257,E257+1)),MONTH(EDATE(C257,E257+1)),参数设置!$B$15),EDATE(C257,参数设置!$B$14))</f>
        <v>46970</v>
      </c>
      <c r="H257">
        <f t="shared" si="13"/>
        <v>31</v>
      </c>
      <c r="I257" s="14">
        <f>IF(E257=参数设置!$B$14,D257,0)</f>
        <v>0</v>
      </c>
      <c r="J257" s="14">
        <f>IF(M257=1,ROUND(D257*参数设置!$B$12*H257/参数设置!$B$13,参数设置!$B$16),0)</f>
        <v>66.5</v>
      </c>
      <c r="K257" s="14">
        <f t="shared" si="14"/>
        <v>66.5</v>
      </c>
      <c r="L257" s="21">
        <f>EDATE(C257,参数设置!$B$14)</f>
        <v>47248</v>
      </c>
      <c r="M257">
        <f t="shared" si="15"/>
        <v>1</v>
      </c>
    </row>
    <row r="258" spans="1:13">
      <c r="A258">
        <v>22</v>
      </c>
      <c r="B258">
        <v>22</v>
      </c>
      <c r="C258" s="21">
        <f>EDATE(参数设置!$B$4,A258-1)</f>
        <v>46883</v>
      </c>
      <c r="D258" s="14">
        <f>IF(AND(A258&lt;=参数设置!$B$6,OR(INDEX(月度资金流!$B$7:$B$42,A258)="策略一：消费贷款+买基金",INDEX(月度资金流!$B$7:$B$42,A258)="策略二：新贷偿还旧贷")),参数设置!$B$5,0)</f>
        <v>23400</v>
      </c>
      <c r="E258">
        <v>3</v>
      </c>
      <c r="F258" s="21">
        <f t="shared" si="12"/>
        <v>46970</v>
      </c>
      <c r="G258" s="21">
        <f>IF(E258&lt;参数设置!$B$14,DATE(YEAR(EDATE(C258,E258+1)),MONTH(EDATE(C258,E258+1)),参数设置!$B$15),EDATE(C258,参数设置!$B$14))</f>
        <v>47001</v>
      </c>
      <c r="H258">
        <f t="shared" si="13"/>
        <v>31</v>
      </c>
      <c r="I258" s="14">
        <f>IF(E258=参数设置!$B$14,D258,0)</f>
        <v>0</v>
      </c>
      <c r="J258" s="14">
        <f>IF(M258=1,ROUND(D258*参数设置!$B$12*H258/参数设置!$B$13,参数设置!$B$16),0)</f>
        <v>66.5</v>
      </c>
      <c r="K258" s="14">
        <f t="shared" si="14"/>
        <v>66.5</v>
      </c>
      <c r="L258" s="21">
        <f>EDATE(C258,参数设置!$B$14)</f>
        <v>47248</v>
      </c>
      <c r="M258">
        <f t="shared" si="15"/>
        <v>1</v>
      </c>
    </row>
    <row r="259" spans="1:13">
      <c r="A259">
        <v>22</v>
      </c>
      <c r="B259">
        <v>22</v>
      </c>
      <c r="C259" s="21">
        <f>EDATE(参数设置!$B$4,A259-1)</f>
        <v>46883</v>
      </c>
      <c r="D259" s="14">
        <f>IF(AND(A259&lt;=参数设置!$B$6,OR(INDEX(月度资金流!$B$7:$B$42,A259)="策略一：消费贷款+买基金",INDEX(月度资金流!$B$7:$B$42,A259)="策略二：新贷偿还旧贷")),参数设置!$B$5,0)</f>
        <v>23400</v>
      </c>
      <c r="E259">
        <v>4</v>
      </c>
      <c r="F259" s="21">
        <f t="shared" si="12"/>
        <v>47001</v>
      </c>
      <c r="G259" s="21">
        <f>IF(E259&lt;参数设置!$B$14,DATE(YEAR(EDATE(C259,E259+1)),MONTH(EDATE(C259,E259+1)),参数设置!$B$15),EDATE(C259,参数设置!$B$14))</f>
        <v>47031</v>
      </c>
      <c r="H259">
        <f t="shared" si="13"/>
        <v>30</v>
      </c>
      <c r="I259" s="14">
        <f>IF(E259=参数设置!$B$14,D259,0)</f>
        <v>0</v>
      </c>
      <c r="J259" s="14">
        <f>IF(M259=1,ROUND(D259*参数设置!$B$12*H259/参数设置!$B$13,参数设置!$B$16),0)</f>
        <v>64.349999999999994</v>
      </c>
      <c r="K259" s="14">
        <f t="shared" si="14"/>
        <v>64.349999999999994</v>
      </c>
      <c r="L259" s="21">
        <f>EDATE(C259,参数设置!$B$14)</f>
        <v>47248</v>
      </c>
      <c r="M259">
        <f t="shared" si="15"/>
        <v>1</v>
      </c>
    </row>
    <row r="260" spans="1:13">
      <c r="A260">
        <v>22</v>
      </c>
      <c r="B260">
        <v>22</v>
      </c>
      <c r="C260" s="21">
        <f>EDATE(参数设置!$B$4,A260-1)</f>
        <v>46883</v>
      </c>
      <c r="D260" s="14">
        <f>IF(AND(A260&lt;=参数设置!$B$6,OR(INDEX(月度资金流!$B$7:$B$42,A260)="策略一：消费贷款+买基金",INDEX(月度资金流!$B$7:$B$42,A260)="策略二：新贷偿还旧贷")),参数设置!$B$5,0)</f>
        <v>23400</v>
      </c>
      <c r="E260">
        <v>5</v>
      </c>
      <c r="F260" s="21">
        <f t="shared" ref="F260:F323" si="16">IF(E260=1,C260,G259)</f>
        <v>47031</v>
      </c>
      <c r="G260" s="21">
        <f>IF(E260&lt;参数设置!$B$14,DATE(YEAR(EDATE(C260,E260+1)),MONTH(EDATE(C260,E260+1)),参数设置!$B$15),EDATE(C260,参数设置!$B$14))</f>
        <v>47062</v>
      </c>
      <c r="H260">
        <f t="shared" ref="H260:H323" si="17">G260-F260</f>
        <v>31</v>
      </c>
      <c r="I260" s="14">
        <f>IF(E260=参数设置!$B$14,D260,0)</f>
        <v>0</v>
      </c>
      <c r="J260" s="14">
        <f>IF(M260=1,ROUND(D260*参数设置!$B$12*H260/参数设置!$B$13,参数设置!$B$16),0)</f>
        <v>66.5</v>
      </c>
      <c r="K260" s="14">
        <f t="shared" ref="K260:K323" si="18">I260+J260</f>
        <v>66.5</v>
      </c>
      <c r="L260" s="21">
        <f>EDATE(C260,参数设置!$B$14)</f>
        <v>47248</v>
      </c>
      <c r="M260">
        <f t="shared" ref="M260:M323" si="19">--(D260&gt;0)</f>
        <v>1</v>
      </c>
    </row>
    <row r="261" spans="1:13">
      <c r="A261">
        <v>22</v>
      </c>
      <c r="B261">
        <v>22</v>
      </c>
      <c r="C261" s="21">
        <f>EDATE(参数设置!$B$4,A261-1)</f>
        <v>46883</v>
      </c>
      <c r="D261" s="14">
        <f>IF(AND(A261&lt;=参数设置!$B$6,OR(INDEX(月度资金流!$B$7:$B$42,A261)="策略一：消费贷款+买基金",INDEX(月度资金流!$B$7:$B$42,A261)="策略二：新贷偿还旧贷")),参数设置!$B$5,0)</f>
        <v>23400</v>
      </c>
      <c r="E261">
        <v>6</v>
      </c>
      <c r="F261" s="21">
        <f t="shared" si="16"/>
        <v>47062</v>
      </c>
      <c r="G261" s="21">
        <f>IF(E261&lt;参数设置!$B$14,DATE(YEAR(EDATE(C261,E261+1)),MONTH(EDATE(C261,E261+1)),参数设置!$B$15),EDATE(C261,参数设置!$B$14))</f>
        <v>47092</v>
      </c>
      <c r="H261">
        <f t="shared" si="17"/>
        <v>30</v>
      </c>
      <c r="I261" s="14">
        <f>IF(E261=参数设置!$B$14,D261,0)</f>
        <v>0</v>
      </c>
      <c r="J261" s="14">
        <f>IF(M261=1,ROUND(D261*参数设置!$B$12*H261/参数设置!$B$13,参数设置!$B$16),0)</f>
        <v>64.349999999999994</v>
      </c>
      <c r="K261" s="14">
        <f t="shared" si="18"/>
        <v>64.349999999999994</v>
      </c>
      <c r="L261" s="21">
        <f>EDATE(C261,参数设置!$B$14)</f>
        <v>47248</v>
      </c>
      <c r="M261">
        <f t="shared" si="19"/>
        <v>1</v>
      </c>
    </row>
    <row r="262" spans="1:13">
      <c r="A262">
        <v>22</v>
      </c>
      <c r="B262">
        <v>22</v>
      </c>
      <c r="C262" s="21">
        <f>EDATE(参数设置!$B$4,A262-1)</f>
        <v>46883</v>
      </c>
      <c r="D262" s="14">
        <f>IF(AND(A262&lt;=参数设置!$B$6,OR(INDEX(月度资金流!$B$7:$B$42,A262)="策略一：消费贷款+买基金",INDEX(月度资金流!$B$7:$B$42,A262)="策略二：新贷偿还旧贷")),参数设置!$B$5,0)</f>
        <v>23400</v>
      </c>
      <c r="E262">
        <v>7</v>
      </c>
      <c r="F262" s="21">
        <f t="shared" si="16"/>
        <v>47092</v>
      </c>
      <c r="G262" s="21">
        <f>IF(E262&lt;参数设置!$B$14,DATE(YEAR(EDATE(C262,E262+1)),MONTH(EDATE(C262,E262+1)),参数设置!$B$15),EDATE(C262,参数设置!$B$14))</f>
        <v>47123</v>
      </c>
      <c r="H262">
        <f t="shared" si="17"/>
        <v>31</v>
      </c>
      <c r="I262" s="14">
        <f>IF(E262=参数设置!$B$14,D262,0)</f>
        <v>0</v>
      </c>
      <c r="J262" s="14">
        <f>IF(M262=1,ROUND(D262*参数设置!$B$12*H262/参数设置!$B$13,参数设置!$B$16),0)</f>
        <v>66.5</v>
      </c>
      <c r="K262" s="14">
        <f t="shared" si="18"/>
        <v>66.5</v>
      </c>
      <c r="L262" s="21">
        <f>EDATE(C262,参数设置!$B$14)</f>
        <v>47248</v>
      </c>
      <c r="M262">
        <f t="shared" si="19"/>
        <v>1</v>
      </c>
    </row>
    <row r="263" spans="1:13">
      <c r="A263">
        <v>22</v>
      </c>
      <c r="B263">
        <v>22</v>
      </c>
      <c r="C263" s="21">
        <f>EDATE(参数设置!$B$4,A263-1)</f>
        <v>46883</v>
      </c>
      <c r="D263" s="14">
        <f>IF(AND(A263&lt;=参数设置!$B$6,OR(INDEX(月度资金流!$B$7:$B$42,A263)="策略一：消费贷款+买基金",INDEX(月度资金流!$B$7:$B$42,A263)="策略二：新贷偿还旧贷")),参数设置!$B$5,0)</f>
        <v>23400</v>
      </c>
      <c r="E263">
        <v>8</v>
      </c>
      <c r="F263" s="21">
        <f t="shared" si="16"/>
        <v>47123</v>
      </c>
      <c r="G263" s="21">
        <f>IF(E263&lt;参数设置!$B$14,DATE(YEAR(EDATE(C263,E263+1)),MONTH(EDATE(C263,E263+1)),参数设置!$B$15),EDATE(C263,参数设置!$B$14))</f>
        <v>47154</v>
      </c>
      <c r="H263">
        <f t="shared" si="17"/>
        <v>31</v>
      </c>
      <c r="I263" s="14">
        <f>IF(E263=参数设置!$B$14,D263,0)</f>
        <v>0</v>
      </c>
      <c r="J263" s="14">
        <f>IF(M263=1,ROUND(D263*参数设置!$B$12*H263/参数设置!$B$13,参数设置!$B$16),0)</f>
        <v>66.5</v>
      </c>
      <c r="K263" s="14">
        <f t="shared" si="18"/>
        <v>66.5</v>
      </c>
      <c r="L263" s="21">
        <f>EDATE(C263,参数设置!$B$14)</f>
        <v>47248</v>
      </c>
      <c r="M263">
        <f t="shared" si="19"/>
        <v>1</v>
      </c>
    </row>
    <row r="264" spans="1:13">
      <c r="A264">
        <v>22</v>
      </c>
      <c r="B264">
        <v>22</v>
      </c>
      <c r="C264" s="21">
        <f>EDATE(参数设置!$B$4,A264-1)</f>
        <v>46883</v>
      </c>
      <c r="D264" s="14">
        <f>IF(AND(A264&lt;=参数设置!$B$6,OR(INDEX(月度资金流!$B$7:$B$42,A264)="策略一：消费贷款+买基金",INDEX(月度资金流!$B$7:$B$42,A264)="策略二：新贷偿还旧贷")),参数设置!$B$5,0)</f>
        <v>23400</v>
      </c>
      <c r="E264">
        <v>9</v>
      </c>
      <c r="F264" s="21">
        <f t="shared" si="16"/>
        <v>47154</v>
      </c>
      <c r="G264" s="21">
        <f>IF(E264&lt;参数设置!$B$14,DATE(YEAR(EDATE(C264,E264+1)),MONTH(EDATE(C264,E264+1)),参数设置!$B$15),EDATE(C264,参数设置!$B$14))</f>
        <v>47182</v>
      </c>
      <c r="H264">
        <f t="shared" si="17"/>
        <v>28</v>
      </c>
      <c r="I264" s="14">
        <f>IF(E264=参数设置!$B$14,D264,0)</f>
        <v>0</v>
      </c>
      <c r="J264" s="14">
        <f>IF(M264=1,ROUND(D264*参数设置!$B$12*H264/参数设置!$B$13,参数设置!$B$16),0)</f>
        <v>60.06</v>
      </c>
      <c r="K264" s="14">
        <f t="shared" si="18"/>
        <v>60.06</v>
      </c>
      <c r="L264" s="21">
        <f>EDATE(C264,参数设置!$B$14)</f>
        <v>47248</v>
      </c>
      <c r="M264">
        <f t="shared" si="19"/>
        <v>1</v>
      </c>
    </row>
    <row r="265" spans="1:13">
      <c r="A265">
        <v>22</v>
      </c>
      <c r="B265">
        <v>22</v>
      </c>
      <c r="C265" s="21">
        <f>EDATE(参数设置!$B$4,A265-1)</f>
        <v>46883</v>
      </c>
      <c r="D265" s="14">
        <f>IF(AND(A265&lt;=参数设置!$B$6,OR(INDEX(月度资金流!$B$7:$B$42,A265)="策略一：消费贷款+买基金",INDEX(月度资金流!$B$7:$B$42,A265)="策略二：新贷偿还旧贷")),参数设置!$B$5,0)</f>
        <v>23400</v>
      </c>
      <c r="E265">
        <v>10</v>
      </c>
      <c r="F265" s="21">
        <f t="shared" si="16"/>
        <v>47182</v>
      </c>
      <c r="G265" s="21">
        <f>IF(E265&lt;参数设置!$B$14,DATE(YEAR(EDATE(C265,E265+1)),MONTH(EDATE(C265,E265+1)),参数设置!$B$15),EDATE(C265,参数设置!$B$14))</f>
        <v>47213</v>
      </c>
      <c r="H265">
        <f t="shared" si="17"/>
        <v>31</v>
      </c>
      <c r="I265" s="14">
        <f>IF(E265=参数设置!$B$14,D265,0)</f>
        <v>0</v>
      </c>
      <c r="J265" s="14">
        <f>IF(M265=1,ROUND(D265*参数设置!$B$12*H265/参数设置!$B$13,参数设置!$B$16),0)</f>
        <v>66.5</v>
      </c>
      <c r="K265" s="14">
        <f t="shared" si="18"/>
        <v>66.5</v>
      </c>
      <c r="L265" s="21">
        <f>EDATE(C265,参数设置!$B$14)</f>
        <v>47248</v>
      </c>
      <c r="M265">
        <f t="shared" si="19"/>
        <v>1</v>
      </c>
    </row>
    <row r="266" spans="1:13">
      <c r="A266">
        <v>22</v>
      </c>
      <c r="B266">
        <v>22</v>
      </c>
      <c r="C266" s="21">
        <f>EDATE(参数设置!$B$4,A266-1)</f>
        <v>46883</v>
      </c>
      <c r="D266" s="14">
        <f>IF(AND(A266&lt;=参数设置!$B$6,OR(INDEX(月度资金流!$B$7:$B$42,A266)="策略一：消费贷款+买基金",INDEX(月度资金流!$B$7:$B$42,A266)="策略二：新贷偿还旧贷")),参数设置!$B$5,0)</f>
        <v>23400</v>
      </c>
      <c r="E266">
        <v>11</v>
      </c>
      <c r="F266" s="21">
        <f t="shared" si="16"/>
        <v>47213</v>
      </c>
      <c r="G266" s="21">
        <f>IF(E266&lt;参数设置!$B$14,DATE(YEAR(EDATE(C266,E266+1)),MONTH(EDATE(C266,E266+1)),参数设置!$B$15),EDATE(C266,参数设置!$B$14))</f>
        <v>47243</v>
      </c>
      <c r="H266">
        <f t="shared" si="17"/>
        <v>30</v>
      </c>
      <c r="I266" s="14">
        <f>IF(E266=参数设置!$B$14,D266,0)</f>
        <v>0</v>
      </c>
      <c r="J266" s="14">
        <f>IF(M266=1,ROUND(D266*参数设置!$B$12*H266/参数设置!$B$13,参数设置!$B$16),0)</f>
        <v>64.349999999999994</v>
      </c>
      <c r="K266" s="14">
        <f t="shared" si="18"/>
        <v>64.349999999999994</v>
      </c>
      <c r="L266" s="21">
        <f>EDATE(C266,参数设置!$B$14)</f>
        <v>47248</v>
      </c>
      <c r="M266">
        <f t="shared" si="19"/>
        <v>1</v>
      </c>
    </row>
    <row r="267" spans="1:13">
      <c r="A267">
        <v>22</v>
      </c>
      <c r="B267">
        <v>22</v>
      </c>
      <c r="C267" s="21">
        <f>EDATE(参数设置!$B$4,A267-1)</f>
        <v>46883</v>
      </c>
      <c r="D267" s="14">
        <f>IF(AND(A267&lt;=参数设置!$B$6,OR(INDEX(月度资金流!$B$7:$B$42,A267)="策略一：消费贷款+买基金",INDEX(月度资金流!$B$7:$B$42,A267)="策略二：新贷偿还旧贷")),参数设置!$B$5,0)</f>
        <v>23400</v>
      </c>
      <c r="E267">
        <v>12</v>
      </c>
      <c r="F267" s="21">
        <f t="shared" si="16"/>
        <v>47243</v>
      </c>
      <c r="G267" s="21">
        <f>IF(E267&lt;参数设置!$B$14,DATE(YEAR(EDATE(C267,E267+1)),MONTH(EDATE(C267,E267+1)),参数设置!$B$15),EDATE(C267,参数设置!$B$14))</f>
        <v>47248</v>
      </c>
      <c r="H267">
        <f t="shared" si="17"/>
        <v>5</v>
      </c>
      <c r="I267" s="14">
        <f>IF(E267=参数设置!$B$14,D267,0)</f>
        <v>23400</v>
      </c>
      <c r="J267" s="14">
        <f>IF(M267=1,ROUND(D267*参数设置!$B$12*H267/参数设置!$B$13,参数设置!$B$16),0)</f>
        <v>10.73</v>
      </c>
      <c r="K267" s="14">
        <f t="shared" si="18"/>
        <v>23410.73</v>
      </c>
      <c r="L267" s="21">
        <f>EDATE(C267,参数设置!$B$14)</f>
        <v>47248</v>
      </c>
      <c r="M267">
        <f t="shared" si="19"/>
        <v>1</v>
      </c>
    </row>
    <row r="268" spans="1:13">
      <c r="A268">
        <v>23</v>
      </c>
      <c r="B268">
        <v>23</v>
      </c>
      <c r="C268" s="21">
        <f>EDATE(参数设置!$B$4,A268-1)</f>
        <v>46914</v>
      </c>
      <c r="D268" s="14">
        <f>IF(AND(A268&lt;=参数设置!$B$6,OR(INDEX(月度资金流!$B$7:$B$42,A268)="策略一：消费贷款+买基金",INDEX(月度资金流!$B$7:$B$42,A268)="策略二：新贷偿还旧贷")),参数设置!$B$5,0)</f>
        <v>23400</v>
      </c>
      <c r="E268">
        <v>1</v>
      </c>
      <c r="F268" s="21">
        <f t="shared" si="16"/>
        <v>46914</v>
      </c>
      <c r="G268" s="21">
        <f>IF(E268&lt;参数设置!$B$14,DATE(YEAR(EDATE(C268,E268+1)),MONTH(EDATE(C268,E268+1)),参数设置!$B$15),EDATE(C268,参数设置!$B$14))</f>
        <v>46970</v>
      </c>
      <c r="H268">
        <f t="shared" si="17"/>
        <v>56</v>
      </c>
      <c r="I268" s="14">
        <f>IF(E268=参数设置!$B$14,D268,0)</f>
        <v>0</v>
      </c>
      <c r="J268" s="14">
        <f>IF(M268=1,ROUND(D268*参数设置!$B$12*H268/参数设置!$B$13,参数设置!$B$16),0)</f>
        <v>120.12</v>
      </c>
      <c r="K268" s="14">
        <f t="shared" si="18"/>
        <v>120.12</v>
      </c>
      <c r="L268" s="21">
        <f>EDATE(C268,参数设置!$B$14)</f>
        <v>47279</v>
      </c>
      <c r="M268">
        <f t="shared" si="19"/>
        <v>1</v>
      </c>
    </row>
    <row r="269" spans="1:13">
      <c r="A269">
        <v>23</v>
      </c>
      <c r="B269">
        <v>23</v>
      </c>
      <c r="C269" s="21">
        <f>EDATE(参数设置!$B$4,A269-1)</f>
        <v>46914</v>
      </c>
      <c r="D269" s="14">
        <f>IF(AND(A269&lt;=参数设置!$B$6,OR(INDEX(月度资金流!$B$7:$B$42,A269)="策略一：消费贷款+买基金",INDEX(月度资金流!$B$7:$B$42,A269)="策略二：新贷偿还旧贷")),参数设置!$B$5,0)</f>
        <v>23400</v>
      </c>
      <c r="E269">
        <v>2</v>
      </c>
      <c r="F269" s="21">
        <f t="shared" si="16"/>
        <v>46970</v>
      </c>
      <c r="G269" s="21">
        <f>IF(E269&lt;参数设置!$B$14,DATE(YEAR(EDATE(C269,E269+1)),MONTH(EDATE(C269,E269+1)),参数设置!$B$15),EDATE(C269,参数设置!$B$14))</f>
        <v>47001</v>
      </c>
      <c r="H269">
        <f t="shared" si="17"/>
        <v>31</v>
      </c>
      <c r="I269" s="14">
        <f>IF(E269=参数设置!$B$14,D269,0)</f>
        <v>0</v>
      </c>
      <c r="J269" s="14">
        <f>IF(M269=1,ROUND(D269*参数设置!$B$12*H269/参数设置!$B$13,参数设置!$B$16),0)</f>
        <v>66.5</v>
      </c>
      <c r="K269" s="14">
        <f t="shared" si="18"/>
        <v>66.5</v>
      </c>
      <c r="L269" s="21">
        <f>EDATE(C269,参数设置!$B$14)</f>
        <v>47279</v>
      </c>
      <c r="M269">
        <f t="shared" si="19"/>
        <v>1</v>
      </c>
    </row>
    <row r="270" spans="1:13">
      <c r="A270">
        <v>23</v>
      </c>
      <c r="B270">
        <v>23</v>
      </c>
      <c r="C270" s="21">
        <f>EDATE(参数设置!$B$4,A270-1)</f>
        <v>46914</v>
      </c>
      <c r="D270" s="14">
        <f>IF(AND(A270&lt;=参数设置!$B$6,OR(INDEX(月度资金流!$B$7:$B$42,A270)="策略一：消费贷款+买基金",INDEX(月度资金流!$B$7:$B$42,A270)="策略二：新贷偿还旧贷")),参数设置!$B$5,0)</f>
        <v>23400</v>
      </c>
      <c r="E270">
        <v>3</v>
      </c>
      <c r="F270" s="21">
        <f t="shared" si="16"/>
        <v>47001</v>
      </c>
      <c r="G270" s="21">
        <f>IF(E270&lt;参数设置!$B$14,DATE(YEAR(EDATE(C270,E270+1)),MONTH(EDATE(C270,E270+1)),参数设置!$B$15),EDATE(C270,参数设置!$B$14))</f>
        <v>47031</v>
      </c>
      <c r="H270">
        <f t="shared" si="17"/>
        <v>30</v>
      </c>
      <c r="I270" s="14">
        <f>IF(E270=参数设置!$B$14,D270,0)</f>
        <v>0</v>
      </c>
      <c r="J270" s="14">
        <f>IF(M270=1,ROUND(D270*参数设置!$B$12*H270/参数设置!$B$13,参数设置!$B$16),0)</f>
        <v>64.349999999999994</v>
      </c>
      <c r="K270" s="14">
        <f t="shared" si="18"/>
        <v>64.349999999999994</v>
      </c>
      <c r="L270" s="21">
        <f>EDATE(C270,参数设置!$B$14)</f>
        <v>47279</v>
      </c>
      <c r="M270">
        <f t="shared" si="19"/>
        <v>1</v>
      </c>
    </row>
    <row r="271" spans="1:13">
      <c r="A271">
        <v>23</v>
      </c>
      <c r="B271">
        <v>23</v>
      </c>
      <c r="C271" s="21">
        <f>EDATE(参数设置!$B$4,A271-1)</f>
        <v>46914</v>
      </c>
      <c r="D271" s="14">
        <f>IF(AND(A271&lt;=参数设置!$B$6,OR(INDEX(月度资金流!$B$7:$B$42,A271)="策略一：消费贷款+买基金",INDEX(月度资金流!$B$7:$B$42,A271)="策略二：新贷偿还旧贷")),参数设置!$B$5,0)</f>
        <v>23400</v>
      </c>
      <c r="E271">
        <v>4</v>
      </c>
      <c r="F271" s="21">
        <f t="shared" si="16"/>
        <v>47031</v>
      </c>
      <c r="G271" s="21">
        <f>IF(E271&lt;参数设置!$B$14,DATE(YEAR(EDATE(C271,E271+1)),MONTH(EDATE(C271,E271+1)),参数设置!$B$15),EDATE(C271,参数设置!$B$14))</f>
        <v>47062</v>
      </c>
      <c r="H271">
        <f t="shared" si="17"/>
        <v>31</v>
      </c>
      <c r="I271" s="14">
        <f>IF(E271=参数设置!$B$14,D271,0)</f>
        <v>0</v>
      </c>
      <c r="J271" s="14">
        <f>IF(M271=1,ROUND(D271*参数设置!$B$12*H271/参数设置!$B$13,参数设置!$B$16),0)</f>
        <v>66.5</v>
      </c>
      <c r="K271" s="14">
        <f t="shared" si="18"/>
        <v>66.5</v>
      </c>
      <c r="L271" s="21">
        <f>EDATE(C271,参数设置!$B$14)</f>
        <v>47279</v>
      </c>
      <c r="M271">
        <f t="shared" si="19"/>
        <v>1</v>
      </c>
    </row>
    <row r="272" spans="1:13">
      <c r="A272">
        <v>23</v>
      </c>
      <c r="B272">
        <v>23</v>
      </c>
      <c r="C272" s="21">
        <f>EDATE(参数设置!$B$4,A272-1)</f>
        <v>46914</v>
      </c>
      <c r="D272" s="14">
        <f>IF(AND(A272&lt;=参数设置!$B$6,OR(INDEX(月度资金流!$B$7:$B$42,A272)="策略一：消费贷款+买基金",INDEX(月度资金流!$B$7:$B$42,A272)="策略二：新贷偿还旧贷")),参数设置!$B$5,0)</f>
        <v>23400</v>
      </c>
      <c r="E272">
        <v>5</v>
      </c>
      <c r="F272" s="21">
        <f t="shared" si="16"/>
        <v>47062</v>
      </c>
      <c r="G272" s="21">
        <f>IF(E272&lt;参数设置!$B$14,DATE(YEAR(EDATE(C272,E272+1)),MONTH(EDATE(C272,E272+1)),参数设置!$B$15),EDATE(C272,参数设置!$B$14))</f>
        <v>47092</v>
      </c>
      <c r="H272">
        <f t="shared" si="17"/>
        <v>30</v>
      </c>
      <c r="I272" s="14">
        <f>IF(E272=参数设置!$B$14,D272,0)</f>
        <v>0</v>
      </c>
      <c r="J272" s="14">
        <f>IF(M272=1,ROUND(D272*参数设置!$B$12*H272/参数设置!$B$13,参数设置!$B$16),0)</f>
        <v>64.349999999999994</v>
      </c>
      <c r="K272" s="14">
        <f t="shared" si="18"/>
        <v>64.349999999999994</v>
      </c>
      <c r="L272" s="21">
        <f>EDATE(C272,参数设置!$B$14)</f>
        <v>47279</v>
      </c>
      <c r="M272">
        <f t="shared" si="19"/>
        <v>1</v>
      </c>
    </row>
    <row r="273" spans="1:13">
      <c r="A273">
        <v>23</v>
      </c>
      <c r="B273">
        <v>23</v>
      </c>
      <c r="C273" s="21">
        <f>EDATE(参数设置!$B$4,A273-1)</f>
        <v>46914</v>
      </c>
      <c r="D273" s="14">
        <f>IF(AND(A273&lt;=参数设置!$B$6,OR(INDEX(月度资金流!$B$7:$B$42,A273)="策略一：消费贷款+买基金",INDEX(月度资金流!$B$7:$B$42,A273)="策略二：新贷偿还旧贷")),参数设置!$B$5,0)</f>
        <v>23400</v>
      </c>
      <c r="E273">
        <v>6</v>
      </c>
      <c r="F273" s="21">
        <f t="shared" si="16"/>
        <v>47092</v>
      </c>
      <c r="G273" s="21">
        <f>IF(E273&lt;参数设置!$B$14,DATE(YEAR(EDATE(C273,E273+1)),MONTH(EDATE(C273,E273+1)),参数设置!$B$15),EDATE(C273,参数设置!$B$14))</f>
        <v>47123</v>
      </c>
      <c r="H273">
        <f t="shared" si="17"/>
        <v>31</v>
      </c>
      <c r="I273" s="14">
        <f>IF(E273=参数设置!$B$14,D273,0)</f>
        <v>0</v>
      </c>
      <c r="J273" s="14">
        <f>IF(M273=1,ROUND(D273*参数设置!$B$12*H273/参数设置!$B$13,参数设置!$B$16),0)</f>
        <v>66.5</v>
      </c>
      <c r="K273" s="14">
        <f t="shared" si="18"/>
        <v>66.5</v>
      </c>
      <c r="L273" s="21">
        <f>EDATE(C273,参数设置!$B$14)</f>
        <v>47279</v>
      </c>
      <c r="M273">
        <f t="shared" si="19"/>
        <v>1</v>
      </c>
    </row>
    <row r="274" spans="1:13">
      <c r="A274">
        <v>23</v>
      </c>
      <c r="B274">
        <v>23</v>
      </c>
      <c r="C274" s="21">
        <f>EDATE(参数设置!$B$4,A274-1)</f>
        <v>46914</v>
      </c>
      <c r="D274" s="14">
        <f>IF(AND(A274&lt;=参数设置!$B$6,OR(INDEX(月度资金流!$B$7:$B$42,A274)="策略一：消费贷款+买基金",INDEX(月度资金流!$B$7:$B$42,A274)="策略二：新贷偿还旧贷")),参数设置!$B$5,0)</f>
        <v>23400</v>
      </c>
      <c r="E274">
        <v>7</v>
      </c>
      <c r="F274" s="21">
        <f t="shared" si="16"/>
        <v>47123</v>
      </c>
      <c r="G274" s="21">
        <f>IF(E274&lt;参数设置!$B$14,DATE(YEAR(EDATE(C274,E274+1)),MONTH(EDATE(C274,E274+1)),参数设置!$B$15),EDATE(C274,参数设置!$B$14))</f>
        <v>47154</v>
      </c>
      <c r="H274">
        <f t="shared" si="17"/>
        <v>31</v>
      </c>
      <c r="I274" s="14">
        <f>IF(E274=参数设置!$B$14,D274,0)</f>
        <v>0</v>
      </c>
      <c r="J274" s="14">
        <f>IF(M274=1,ROUND(D274*参数设置!$B$12*H274/参数设置!$B$13,参数设置!$B$16),0)</f>
        <v>66.5</v>
      </c>
      <c r="K274" s="14">
        <f t="shared" si="18"/>
        <v>66.5</v>
      </c>
      <c r="L274" s="21">
        <f>EDATE(C274,参数设置!$B$14)</f>
        <v>47279</v>
      </c>
      <c r="M274">
        <f t="shared" si="19"/>
        <v>1</v>
      </c>
    </row>
    <row r="275" spans="1:13">
      <c r="A275">
        <v>23</v>
      </c>
      <c r="B275">
        <v>23</v>
      </c>
      <c r="C275" s="21">
        <f>EDATE(参数设置!$B$4,A275-1)</f>
        <v>46914</v>
      </c>
      <c r="D275" s="14">
        <f>IF(AND(A275&lt;=参数设置!$B$6,OR(INDEX(月度资金流!$B$7:$B$42,A275)="策略一：消费贷款+买基金",INDEX(月度资金流!$B$7:$B$42,A275)="策略二：新贷偿还旧贷")),参数设置!$B$5,0)</f>
        <v>23400</v>
      </c>
      <c r="E275">
        <v>8</v>
      </c>
      <c r="F275" s="21">
        <f t="shared" si="16"/>
        <v>47154</v>
      </c>
      <c r="G275" s="21">
        <f>IF(E275&lt;参数设置!$B$14,DATE(YEAR(EDATE(C275,E275+1)),MONTH(EDATE(C275,E275+1)),参数设置!$B$15),EDATE(C275,参数设置!$B$14))</f>
        <v>47182</v>
      </c>
      <c r="H275">
        <f t="shared" si="17"/>
        <v>28</v>
      </c>
      <c r="I275" s="14">
        <f>IF(E275=参数设置!$B$14,D275,0)</f>
        <v>0</v>
      </c>
      <c r="J275" s="14">
        <f>IF(M275=1,ROUND(D275*参数设置!$B$12*H275/参数设置!$B$13,参数设置!$B$16),0)</f>
        <v>60.06</v>
      </c>
      <c r="K275" s="14">
        <f t="shared" si="18"/>
        <v>60.06</v>
      </c>
      <c r="L275" s="21">
        <f>EDATE(C275,参数设置!$B$14)</f>
        <v>47279</v>
      </c>
      <c r="M275">
        <f t="shared" si="19"/>
        <v>1</v>
      </c>
    </row>
    <row r="276" spans="1:13">
      <c r="A276">
        <v>23</v>
      </c>
      <c r="B276">
        <v>23</v>
      </c>
      <c r="C276" s="21">
        <f>EDATE(参数设置!$B$4,A276-1)</f>
        <v>46914</v>
      </c>
      <c r="D276" s="14">
        <f>IF(AND(A276&lt;=参数设置!$B$6,OR(INDEX(月度资金流!$B$7:$B$42,A276)="策略一：消费贷款+买基金",INDEX(月度资金流!$B$7:$B$42,A276)="策略二：新贷偿还旧贷")),参数设置!$B$5,0)</f>
        <v>23400</v>
      </c>
      <c r="E276">
        <v>9</v>
      </c>
      <c r="F276" s="21">
        <f t="shared" si="16"/>
        <v>47182</v>
      </c>
      <c r="G276" s="21">
        <f>IF(E276&lt;参数设置!$B$14,DATE(YEAR(EDATE(C276,E276+1)),MONTH(EDATE(C276,E276+1)),参数设置!$B$15),EDATE(C276,参数设置!$B$14))</f>
        <v>47213</v>
      </c>
      <c r="H276">
        <f t="shared" si="17"/>
        <v>31</v>
      </c>
      <c r="I276" s="14">
        <f>IF(E276=参数设置!$B$14,D276,0)</f>
        <v>0</v>
      </c>
      <c r="J276" s="14">
        <f>IF(M276=1,ROUND(D276*参数设置!$B$12*H276/参数设置!$B$13,参数设置!$B$16),0)</f>
        <v>66.5</v>
      </c>
      <c r="K276" s="14">
        <f t="shared" si="18"/>
        <v>66.5</v>
      </c>
      <c r="L276" s="21">
        <f>EDATE(C276,参数设置!$B$14)</f>
        <v>47279</v>
      </c>
      <c r="M276">
        <f t="shared" si="19"/>
        <v>1</v>
      </c>
    </row>
    <row r="277" spans="1:13">
      <c r="A277">
        <v>23</v>
      </c>
      <c r="B277">
        <v>23</v>
      </c>
      <c r="C277" s="21">
        <f>EDATE(参数设置!$B$4,A277-1)</f>
        <v>46914</v>
      </c>
      <c r="D277" s="14">
        <f>IF(AND(A277&lt;=参数设置!$B$6,OR(INDEX(月度资金流!$B$7:$B$42,A277)="策略一：消费贷款+买基金",INDEX(月度资金流!$B$7:$B$42,A277)="策略二：新贷偿还旧贷")),参数设置!$B$5,0)</f>
        <v>23400</v>
      </c>
      <c r="E277">
        <v>10</v>
      </c>
      <c r="F277" s="21">
        <f t="shared" si="16"/>
        <v>47213</v>
      </c>
      <c r="G277" s="21">
        <f>IF(E277&lt;参数设置!$B$14,DATE(YEAR(EDATE(C277,E277+1)),MONTH(EDATE(C277,E277+1)),参数设置!$B$15),EDATE(C277,参数设置!$B$14))</f>
        <v>47243</v>
      </c>
      <c r="H277">
        <f t="shared" si="17"/>
        <v>30</v>
      </c>
      <c r="I277" s="14">
        <f>IF(E277=参数设置!$B$14,D277,0)</f>
        <v>0</v>
      </c>
      <c r="J277" s="14">
        <f>IF(M277=1,ROUND(D277*参数设置!$B$12*H277/参数设置!$B$13,参数设置!$B$16),0)</f>
        <v>64.349999999999994</v>
      </c>
      <c r="K277" s="14">
        <f t="shared" si="18"/>
        <v>64.349999999999994</v>
      </c>
      <c r="L277" s="21">
        <f>EDATE(C277,参数设置!$B$14)</f>
        <v>47279</v>
      </c>
      <c r="M277">
        <f t="shared" si="19"/>
        <v>1</v>
      </c>
    </row>
    <row r="278" spans="1:13">
      <c r="A278">
        <v>23</v>
      </c>
      <c r="B278">
        <v>23</v>
      </c>
      <c r="C278" s="21">
        <f>EDATE(参数设置!$B$4,A278-1)</f>
        <v>46914</v>
      </c>
      <c r="D278" s="14">
        <f>IF(AND(A278&lt;=参数设置!$B$6,OR(INDEX(月度资金流!$B$7:$B$42,A278)="策略一：消费贷款+买基金",INDEX(月度资金流!$B$7:$B$42,A278)="策略二：新贷偿还旧贷")),参数设置!$B$5,0)</f>
        <v>23400</v>
      </c>
      <c r="E278">
        <v>11</v>
      </c>
      <c r="F278" s="21">
        <f t="shared" si="16"/>
        <v>47243</v>
      </c>
      <c r="G278" s="21">
        <f>IF(E278&lt;参数设置!$B$14,DATE(YEAR(EDATE(C278,E278+1)),MONTH(EDATE(C278,E278+1)),参数设置!$B$15),EDATE(C278,参数设置!$B$14))</f>
        <v>47274</v>
      </c>
      <c r="H278">
        <f t="shared" si="17"/>
        <v>31</v>
      </c>
      <c r="I278" s="14">
        <f>IF(E278=参数设置!$B$14,D278,0)</f>
        <v>0</v>
      </c>
      <c r="J278" s="14">
        <f>IF(M278=1,ROUND(D278*参数设置!$B$12*H278/参数设置!$B$13,参数设置!$B$16),0)</f>
        <v>66.5</v>
      </c>
      <c r="K278" s="14">
        <f t="shared" si="18"/>
        <v>66.5</v>
      </c>
      <c r="L278" s="21">
        <f>EDATE(C278,参数设置!$B$14)</f>
        <v>47279</v>
      </c>
      <c r="M278">
        <f t="shared" si="19"/>
        <v>1</v>
      </c>
    </row>
    <row r="279" spans="1:13">
      <c r="A279">
        <v>23</v>
      </c>
      <c r="B279">
        <v>23</v>
      </c>
      <c r="C279" s="21">
        <f>EDATE(参数设置!$B$4,A279-1)</f>
        <v>46914</v>
      </c>
      <c r="D279" s="14">
        <f>IF(AND(A279&lt;=参数设置!$B$6,OR(INDEX(月度资金流!$B$7:$B$42,A279)="策略一：消费贷款+买基金",INDEX(月度资金流!$B$7:$B$42,A279)="策略二：新贷偿还旧贷")),参数设置!$B$5,0)</f>
        <v>23400</v>
      </c>
      <c r="E279">
        <v>12</v>
      </c>
      <c r="F279" s="21">
        <f t="shared" si="16"/>
        <v>47274</v>
      </c>
      <c r="G279" s="21">
        <f>IF(E279&lt;参数设置!$B$14,DATE(YEAR(EDATE(C279,E279+1)),MONTH(EDATE(C279,E279+1)),参数设置!$B$15),EDATE(C279,参数设置!$B$14))</f>
        <v>47279</v>
      </c>
      <c r="H279">
        <f t="shared" si="17"/>
        <v>5</v>
      </c>
      <c r="I279" s="14">
        <f>IF(E279=参数设置!$B$14,D279,0)</f>
        <v>23400</v>
      </c>
      <c r="J279" s="14">
        <f>IF(M279=1,ROUND(D279*参数设置!$B$12*H279/参数设置!$B$13,参数设置!$B$16),0)</f>
        <v>10.73</v>
      </c>
      <c r="K279" s="14">
        <f t="shared" si="18"/>
        <v>23410.73</v>
      </c>
      <c r="L279" s="21">
        <f>EDATE(C279,参数设置!$B$14)</f>
        <v>47279</v>
      </c>
      <c r="M279">
        <f t="shared" si="19"/>
        <v>1</v>
      </c>
    </row>
    <row r="280" spans="1:13">
      <c r="A280">
        <v>24</v>
      </c>
      <c r="B280">
        <v>24</v>
      </c>
      <c r="C280" s="21">
        <f>EDATE(参数设置!$B$4,A280-1)</f>
        <v>46944</v>
      </c>
      <c r="D280" s="14">
        <f>IF(AND(A280&lt;=参数设置!$B$6,OR(INDEX(月度资金流!$B$7:$B$42,A280)="策略一：消费贷款+买基金",INDEX(月度资金流!$B$7:$B$42,A280)="策略二：新贷偿还旧贷")),参数设置!$B$5,0)</f>
        <v>23400</v>
      </c>
      <c r="E280">
        <v>1</v>
      </c>
      <c r="F280" s="21">
        <f t="shared" si="16"/>
        <v>46944</v>
      </c>
      <c r="G280" s="21">
        <f>IF(E280&lt;参数设置!$B$14,DATE(YEAR(EDATE(C280,E280+1)),MONTH(EDATE(C280,E280+1)),参数设置!$B$15),EDATE(C280,参数设置!$B$14))</f>
        <v>47001</v>
      </c>
      <c r="H280">
        <f t="shared" si="17"/>
        <v>57</v>
      </c>
      <c r="I280" s="14">
        <f>IF(E280=参数设置!$B$14,D280,0)</f>
        <v>0</v>
      </c>
      <c r="J280" s="14">
        <f>IF(M280=1,ROUND(D280*参数设置!$B$12*H280/参数设置!$B$13,参数设置!$B$16),0)</f>
        <v>122.27</v>
      </c>
      <c r="K280" s="14">
        <f t="shared" si="18"/>
        <v>122.27</v>
      </c>
      <c r="L280" s="21">
        <f>EDATE(C280,参数设置!$B$14)</f>
        <v>47309</v>
      </c>
      <c r="M280">
        <f t="shared" si="19"/>
        <v>1</v>
      </c>
    </row>
    <row r="281" spans="1:13">
      <c r="A281">
        <v>24</v>
      </c>
      <c r="B281">
        <v>24</v>
      </c>
      <c r="C281" s="21">
        <f>EDATE(参数设置!$B$4,A281-1)</f>
        <v>46944</v>
      </c>
      <c r="D281" s="14">
        <f>IF(AND(A281&lt;=参数设置!$B$6,OR(INDEX(月度资金流!$B$7:$B$42,A281)="策略一：消费贷款+买基金",INDEX(月度资金流!$B$7:$B$42,A281)="策略二：新贷偿还旧贷")),参数设置!$B$5,0)</f>
        <v>23400</v>
      </c>
      <c r="E281">
        <v>2</v>
      </c>
      <c r="F281" s="21">
        <f t="shared" si="16"/>
        <v>47001</v>
      </c>
      <c r="G281" s="21">
        <f>IF(E281&lt;参数设置!$B$14,DATE(YEAR(EDATE(C281,E281+1)),MONTH(EDATE(C281,E281+1)),参数设置!$B$15),EDATE(C281,参数设置!$B$14))</f>
        <v>47031</v>
      </c>
      <c r="H281">
        <f t="shared" si="17"/>
        <v>30</v>
      </c>
      <c r="I281" s="14">
        <f>IF(E281=参数设置!$B$14,D281,0)</f>
        <v>0</v>
      </c>
      <c r="J281" s="14">
        <f>IF(M281=1,ROUND(D281*参数设置!$B$12*H281/参数设置!$B$13,参数设置!$B$16),0)</f>
        <v>64.349999999999994</v>
      </c>
      <c r="K281" s="14">
        <f t="shared" si="18"/>
        <v>64.349999999999994</v>
      </c>
      <c r="L281" s="21">
        <f>EDATE(C281,参数设置!$B$14)</f>
        <v>47309</v>
      </c>
      <c r="M281">
        <f t="shared" si="19"/>
        <v>1</v>
      </c>
    </row>
    <row r="282" spans="1:13">
      <c r="A282">
        <v>24</v>
      </c>
      <c r="B282">
        <v>24</v>
      </c>
      <c r="C282" s="21">
        <f>EDATE(参数设置!$B$4,A282-1)</f>
        <v>46944</v>
      </c>
      <c r="D282" s="14">
        <f>IF(AND(A282&lt;=参数设置!$B$6,OR(INDEX(月度资金流!$B$7:$B$42,A282)="策略一：消费贷款+买基金",INDEX(月度资金流!$B$7:$B$42,A282)="策略二：新贷偿还旧贷")),参数设置!$B$5,0)</f>
        <v>23400</v>
      </c>
      <c r="E282">
        <v>3</v>
      </c>
      <c r="F282" s="21">
        <f t="shared" si="16"/>
        <v>47031</v>
      </c>
      <c r="G282" s="21">
        <f>IF(E282&lt;参数设置!$B$14,DATE(YEAR(EDATE(C282,E282+1)),MONTH(EDATE(C282,E282+1)),参数设置!$B$15),EDATE(C282,参数设置!$B$14))</f>
        <v>47062</v>
      </c>
      <c r="H282">
        <f t="shared" si="17"/>
        <v>31</v>
      </c>
      <c r="I282" s="14">
        <f>IF(E282=参数设置!$B$14,D282,0)</f>
        <v>0</v>
      </c>
      <c r="J282" s="14">
        <f>IF(M282=1,ROUND(D282*参数设置!$B$12*H282/参数设置!$B$13,参数设置!$B$16),0)</f>
        <v>66.5</v>
      </c>
      <c r="K282" s="14">
        <f t="shared" si="18"/>
        <v>66.5</v>
      </c>
      <c r="L282" s="21">
        <f>EDATE(C282,参数设置!$B$14)</f>
        <v>47309</v>
      </c>
      <c r="M282">
        <f t="shared" si="19"/>
        <v>1</v>
      </c>
    </row>
    <row r="283" spans="1:13">
      <c r="A283">
        <v>24</v>
      </c>
      <c r="B283">
        <v>24</v>
      </c>
      <c r="C283" s="21">
        <f>EDATE(参数设置!$B$4,A283-1)</f>
        <v>46944</v>
      </c>
      <c r="D283" s="14">
        <f>IF(AND(A283&lt;=参数设置!$B$6,OR(INDEX(月度资金流!$B$7:$B$42,A283)="策略一：消费贷款+买基金",INDEX(月度资金流!$B$7:$B$42,A283)="策略二：新贷偿还旧贷")),参数设置!$B$5,0)</f>
        <v>23400</v>
      </c>
      <c r="E283">
        <v>4</v>
      </c>
      <c r="F283" s="21">
        <f t="shared" si="16"/>
        <v>47062</v>
      </c>
      <c r="G283" s="21">
        <f>IF(E283&lt;参数设置!$B$14,DATE(YEAR(EDATE(C283,E283+1)),MONTH(EDATE(C283,E283+1)),参数设置!$B$15),EDATE(C283,参数设置!$B$14))</f>
        <v>47092</v>
      </c>
      <c r="H283">
        <f t="shared" si="17"/>
        <v>30</v>
      </c>
      <c r="I283" s="14">
        <f>IF(E283=参数设置!$B$14,D283,0)</f>
        <v>0</v>
      </c>
      <c r="J283" s="14">
        <f>IF(M283=1,ROUND(D283*参数设置!$B$12*H283/参数设置!$B$13,参数设置!$B$16),0)</f>
        <v>64.349999999999994</v>
      </c>
      <c r="K283" s="14">
        <f t="shared" si="18"/>
        <v>64.349999999999994</v>
      </c>
      <c r="L283" s="21">
        <f>EDATE(C283,参数设置!$B$14)</f>
        <v>47309</v>
      </c>
      <c r="M283">
        <f t="shared" si="19"/>
        <v>1</v>
      </c>
    </row>
    <row r="284" spans="1:13">
      <c r="A284">
        <v>24</v>
      </c>
      <c r="B284">
        <v>24</v>
      </c>
      <c r="C284" s="21">
        <f>EDATE(参数设置!$B$4,A284-1)</f>
        <v>46944</v>
      </c>
      <c r="D284" s="14">
        <f>IF(AND(A284&lt;=参数设置!$B$6,OR(INDEX(月度资金流!$B$7:$B$42,A284)="策略一：消费贷款+买基金",INDEX(月度资金流!$B$7:$B$42,A284)="策略二：新贷偿还旧贷")),参数设置!$B$5,0)</f>
        <v>23400</v>
      </c>
      <c r="E284">
        <v>5</v>
      </c>
      <c r="F284" s="21">
        <f t="shared" si="16"/>
        <v>47092</v>
      </c>
      <c r="G284" s="21">
        <f>IF(E284&lt;参数设置!$B$14,DATE(YEAR(EDATE(C284,E284+1)),MONTH(EDATE(C284,E284+1)),参数设置!$B$15),EDATE(C284,参数设置!$B$14))</f>
        <v>47123</v>
      </c>
      <c r="H284">
        <f t="shared" si="17"/>
        <v>31</v>
      </c>
      <c r="I284" s="14">
        <f>IF(E284=参数设置!$B$14,D284,0)</f>
        <v>0</v>
      </c>
      <c r="J284" s="14">
        <f>IF(M284=1,ROUND(D284*参数设置!$B$12*H284/参数设置!$B$13,参数设置!$B$16),0)</f>
        <v>66.5</v>
      </c>
      <c r="K284" s="14">
        <f t="shared" si="18"/>
        <v>66.5</v>
      </c>
      <c r="L284" s="21">
        <f>EDATE(C284,参数设置!$B$14)</f>
        <v>47309</v>
      </c>
      <c r="M284">
        <f t="shared" si="19"/>
        <v>1</v>
      </c>
    </row>
    <row r="285" spans="1:13">
      <c r="A285">
        <v>24</v>
      </c>
      <c r="B285">
        <v>24</v>
      </c>
      <c r="C285" s="21">
        <f>EDATE(参数设置!$B$4,A285-1)</f>
        <v>46944</v>
      </c>
      <c r="D285" s="14">
        <f>IF(AND(A285&lt;=参数设置!$B$6,OR(INDEX(月度资金流!$B$7:$B$42,A285)="策略一：消费贷款+买基金",INDEX(月度资金流!$B$7:$B$42,A285)="策略二：新贷偿还旧贷")),参数设置!$B$5,0)</f>
        <v>23400</v>
      </c>
      <c r="E285">
        <v>6</v>
      </c>
      <c r="F285" s="21">
        <f t="shared" si="16"/>
        <v>47123</v>
      </c>
      <c r="G285" s="21">
        <f>IF(E285&lt;参数设置!$B$14,DATE(YEAR(EDATE(C285,E285+1)),MONTH(EDATE(C285,E285+1)),参数设置!$B$15),EDATE(C285,参数设置!$B$14))</f>
        <v>47154</v>
      </c>
      <c r="H285">
        <f t="shared" si="17"/>
        <v>31</v>
      </c>
      <c r="I285" s="14">
        <f>IF(E285=参数设置!$B$14,D285,0)</f>
        <v>0</v>
      </c>
      <c r="J285" s="14">
        <f>IF(M285=1,ROUND(D285*参数设置!$B$12*H285/参数设置!$B$13,参数设置!$B$16),0)</f>
        <v>66.5</v>
      </c>
      <c r="K285" s="14">
        <f t="shared" si="18"/>
        <v>66.5</v>
      </c>
      <c r="L285" s="21">
        <f>EDATE(C285,参数设置!$B$14)</f>
        <v>47309</v>
      </c>
      <c r="M285">
        <f t="shared" si="19"/>
        <v>1</v>
      </c>
    </row>
    <row r="286" spans="1:13">
      <c r="A286">
        <v>24</v>
      </c>
      <c r="B286">
        <v>24</v>
      </c>
      <c r="C286" s="21">
        <f>EDATE(参数设置!$B$4,A286-1)</f>
        <v>46944</v>
      </c>
      <c r="D286" s="14">
        <f>IF(AND(A286&lt;=参数设置!$B$6,OR(INDEX(月度资金流!$B$7:$B$42,A286)="策略一：消费贷款+买基金",INDEX(月度资金流!$B$7:$B$42,A286)="策略二：新贷偿还旧贷")),参数设置!$B$5,0)</f>
        <v>23400</v>
      </c>
      <c r="E286">
        <v>7</v>
      </c>
      <c r="F286" s="21">
        <f t="shared" si="16"/>
        <v>47154</v>
      </c>
      <c r="G286" s="21">
        <f>IF(E286&lt;参数设置!$B$14,DATE(YEAR(EDATE(C286,E286+1)),MONTH(EDATE(C286,E286+1)),参数设置!$B$15),EDATE(C286,参数设置!$B$14))</f>
        <v>47182</v>
      </c>
      <c r="H286">
        <f t="shared" si="17"/>
        <v>28</v>
      </c>
      <c r="I286" s="14">
        <f>IF(E286=参数设置!$B$14,D286,0)</f>
        <v>0</v>
      </c>
      <c r="J286" s="14">
        <f>IF(M286=1,ROUND(D286*参数设置!$B$12*H286/参数设置!$B$13,参数设置!$B$16),0)</f>
        <v>60.06</v>
      </c>
      <c r="K286" s="14">
        <f t="shared" si="18"/>
        <v>60.06</v>
      </c>
      <c r="L286" s="21">
        <f>EDATE(C286,参数设置!$B$14)</f>
        <v>47309</v>
      </c>
      <c r="M286">
        <f t="shared" si="19"/>
        <v>1</v>
      </c>
    </row>
    <row r="287" spans="1:13">
      <c r="A287">
        <v>24</v>
      </c>
      <c r="B287">
        <v>24</v>
      </c>
      <c r="C287" s="21">
        <f>EDATE(参数设置!$B$4,A287-1)</f>
        <v>46944</v>
      </c>
      <c r="D287" s="14">
        <f>IF(AND(A287&lt;=参数设置!$B$6,OR(INDEX(月度资金流!$B$7:$B$42,A287)="策略一：消费贷款+买基金",INDEX(月度资金流!$B$7:$B$42,A287)="策略二：新贷偿还旧贷")),参数设置!$B$5,0)</f>
        <v>23400</v>
      </c>
      <c r="E287">
        <v>8</v>
      </c>
      <c r="F287" s="21">
        <f t="shared" si="16"/>
        <v>47182</v>
      </c>
      <c r="G287" s="21">
        <f>IF(E287&lt;参数设置!$B$14,DATE(YEAR(EDATE(C287,E287+1)),MONTH(EDATE(C287,E287+1)),参数设置!$B$15),EDATE(C287,参数设置!$B$14))</f>
        <v>47213</v>
      </c>
      <c r="H287">
        <f t="shared" si="17"/>
        <v>31</v>
      </c>
      <c r="I287" s="14">
        <f>IF(E287=参数设置!$B$14,D287,0)</f>
        <v>0</v>
      </c>
      <c r="J287" s="14">
        <f>IF(M287=1,ROUND(D287*参数设置!$B$12*H287/参数设置!$B$13,参数设置!$B$16),0)</f>
        <v>66.5</v>
      </c>
      <c r="K287" s="14">
        <f t="shared" si="18"/>
        <v>66.5</v>
      </c>
      <c r="L287" s="21">
        <f>EDATE(C287,参数设置!$B$14)</f>
        <v>47309</v>
      </c>
      <c r="M287">
        <f t="shared" si="19"/>
        <v>1</v>
      </c>
    </row>
    <row r="288" spans="1:13">
      <c r="A288">
        <v>24</v>
      </c>
      <c r="B288">
        <v>24</v>
      </c>
      <c r="C288" s="21">
        <f>EDATE(参数设置!$B$4,A288-1)</f>
        <v>46944</v>
      </c>
      <c r="D288" s="14">
        <f>IF(AND(A288&lt;=参数设置!$B$6,OR(INDEX(月度资金流!$B$7:$B$42,A288)="策略一：消费贷款+买基金",INDEX(月度资金流!$B$7:$B$42,A288)="策略二：新贷偿还旧贷")),参数设置!$B$5,0)</f>
        <v>23400</v>
      </c>
      <c r="E288">
        <v>9</v>
      </c>
      <c r="F288" s="21">
        <f t="shared" si="16"/>
        <v>47213</v>
      </c>
      <c r="G288" s="21">
        <f>IF(E288&lt;参数设置!$B$14,DATE(YEAR(EDATE(C288,E288+1)),MONTH(EDATE(C288,E288+1)),参数设置!$B$15),EDATE(C288,参数设置!$B$14))</f>
        <v>47243</v>
      </c>
      <c r="H288">
        <f t="shared" si="17"/>
        <v>30</v>
      </c>
      <c r="I288" s="14">
        <f>IF(E288=参数设置!$B$14,D288,0)</f>
        <v>0</v>
      </c>
      <c r="J288" s="14">
        <f>IF(M288=1,ROUND(D288*参数设置!$B$12*H288/参数设置!$B$13,参数设置!$B$16),0)</f>
        <v>64.349999999999994</v>
      </c>
      <c r="K288" s="14">
        <f t="shared" si="18"/>
        <v>64.349999999999994</v>
      </c>
      <c r="L288" s="21">
        <f>EDATE(C288,参数设置!$B$14)</f>
        <v>47309</v>
      </c>
      <c r="M288">
        <f t="shared" si="19"/>
        <v>1</v>
      </c>
    </row>
    <row r="289" spans="1:13">
      <c r="A289">
        <v>24</v>
      </c>
      <c r="B289">
        <v>24</v>
      </c>
      <c r="C289" s="21">
        <f>EDATE(参数设置!$B$4,A289-1)</f>
        <v>46944</v>
      </c>
      <c r="D289" s="14">
        <f>IF(AND(A289&lt;=参数设置!$B$6,OR(INDEX(月度资金流!$B$7:$B$42,A289)="策略一：消费贷款+买基金",INDEX(月度资金流!$B$7:$B$42,A289)="策略二：新贷偿还旧贷")),参数设置!$B$5,0)</f>
        <v>23400</v>
      </c>
      <c r="E289">
        <v>10</v>
      </c>
      <c r="F289" s="21">
        <f t="shared" si="16"/>
        <v>47243</v>
      </c>
      <c r="G289" s="21">
        <f>IF(E289&lt;参数设置!$B$14,DATE(YEAR(EDATE(C289,E289+1)),MONTH(EDATE(C289,E289+1)),参数设置!$B$15),EDATE(C289,参数设置!$B$14))</f>
        <v>47274</v>
      </c>
      <c r="H289">
        <f t="shared" si="17"/>
        <v>31</v>
      </c>
      <c r="I289" s="14">
        <f>IF(E289=参数设置!$B$14,D289,0)</f>
        <v>0</v>
      </c>
      <c r="J289" s="14">
        <f>IF(M289=1,ROUND(D289*参数设置!$B$12*H289/参数设置!$B$13,参数设置!$B$16),0)</f>
        <v>66.5</v>
      </c>
      <c r="K289" s="14">
        <f t="shared" si="18"/>
        <v>66.5</v>
      </c>
      <c r="L289" s="21">
        <f>EDATE(C289,参数设置!$B$14)</f>
        <v>47309</v>
      </c>
      <c r="M289">
        <f t="shared" si="19"/>
        <v>1</v>
      </c>
    </row>
    <row r="290" spans="1:13">
      <c r="A290">
        <v>24</v>
      </c>
      <c r="B290">
        <v>24</v>
      </c>
      <c r="C290" s="21">
        <f>EDATE(参数设置!$B$4,A290-1)</f>
        <v>46944</v>
      </c>
      <c r="D290" s="14">
        <f>IF(AND(A290&lt;=参数设置!$B$6,OR(INDEX(月度资金流!$B$7:$B$42,A290)="策略一：消费贷款+买基金",INDEX(月度资金流!$B$7:$B$42,A290)="策略二：新贷偿还旧贷")),参数设置!$B$5,0)</f>
        <v>23400</v>
      </c>
      <c r="E290">
        <v>11</v>
      </c>
      <c r="F290" s="21">
        <f t="shared" si="16"/>
        <v>47274</v>
      </c>
      <c r="G290" s="21">
        <f>IF(E290&lt;参数设置!$B$14,DATE(YEAR(EDATE(C290,E290+1)),MONTH(EDATE(C290,E290+1)),参数设置!$B$15),EDATE(C290,参数设置!$B$14))</f>
        <v>47304</v>
      </c>
      <c r="H290">
        <f t="shared" si="17"/>
        <v>30</v>
      </c>
      <c r="I290" s="14">
        <f>IF(E290=参数设置!$B$14,D290,0)</f>
        <v>0</v>
      </c>
      <c r="J290" s="14">
        <f>IF(M290=1,ROUND(D290*参数设置!$B$12*H290/参数设置!$B$13,参数设置!$B$16),0)</f>
        <v>64.349999999999994</v>
      </c>
      <c r="K290" s="14">
        <f t="shared" si="18"/>
        <v>64.349999999999994</v>
      </c>
      <c r="L290" s="21">
        <f>EDATE(C290,参数设置!$B$14)</f>
        <v>47309</v>
      </c>
      <c r="M290">
        <f t="shared" si="19"/>
        <v>1</v>
      </c>
    </row>
    <row r="291" spans="1:13">
      <c r="A291">
        <v>24</v>
      </c>
      <c r="B291">
        <v>24</v>
      </c>
      <c r="C291" s="21">
        <f>EDATE(参数设置!$B$4,A291-1)</f>
        <v>46944</v>
      </c>
      <c r="D291" s="14">
        <f>IF(AND(A291&lt;=参数设置!$B$6,OR(INDEX(月度资金流!$B$7:$B$42,A291)="策略一：消费贷款+买基金",INDEX(月度资金流!$B$7:$B$42,A291)="策略二：新贷偿还旧贷")),参数设置!$B$5,0)</f>
        <v>23400</v>
      </c>
      <c r="E291">
        <v>12</v>
      </c>
      <c r="F291" s="21">
        <f t="shared" si="16"/>
        <v>47304</v>
      </c>
      <c r="G291" s="21">
        <f>IF(E291&lt;参数设置!$B$14,DATE(YEAR(EDATE(C291,E291+1)),MONTH(EDATE(C291,E291+1)),参数设置!$B$15),EDATE(C291,参数设置!$B$14))</f>
        <v>47309</v>
      </c>
      <c r="H291">
        <f t="shared" si="17"/>
        <v>5</v>
      </c>
      <c r="I291" s="14">
        <f>IF(E291=参数设置!$B$14,D291,0)</f>
        <v>23400</v>
      </c>
      <c r="J291" s="14">
        <f>IF(M291=1,ROUND(D291*参数设置!$B$12*H291/参数设置!$B$13,参数设置!$B$16),0)</f>
        <v>10.73</v>
      </c>
      <c r="K291" s="14">
        <f t="shared" si="18"/>
        <v>23410.73</v>
      </c>
      <c r="L291" s="21">
        <f>EDATE(C291,参数设置!$B$14)</f>
        <v>47309</v>
      </c>
      <c r="M291">
        <f t="shared" si="19"/>
        <v>1</v>
      </c>
    </row>
    <row r="292" spans="1:13">
      <c r="A292">
        <v>25</v>
      </c>
      <c r="B292">
        <v>25</v>
      </c>
      <c r="C292" s="21">
        <f>EDATE(参数设置!$B$4,A292-1)</f>
        <v>46975</v>
      </c>
      <c r="D292" s="14">
        <f>IF(AND(A292&lt;=参数设置!$B$6,OR(INDEX(月度资金流!$B$7:$B$42,A292)="策略一：消费贷款+买基金",INDEX(月度资金流!$B$7:$B$42,A292)="策略二：新贷偿还旧贷")),参数设置!$B$5,0)</f>
        <v>0</v>
      </c>
      <c r="E292">
        <v>1</v>
      </c>
      <c r="F292" s="21">
        <f t="shared" si="16"/>
        <v>46975</v>
      </c>
      <c r="G292" s="21">
        <f>IF(E292&lt;参数设置!$B$14,DATE(YEAR(EDATE(C292,E292+1)),MONTH(EDATE(C292,E292+1)),参数设置!$B$15),EDATE(C292,参数设置!$B$14))</f>
        <v>47031</v>
      </c>
      <c r="H292">
        <f t="shared" si="17"/>
        <v>56</v>
      </c>
      <c r="I292" s="14">
        <f>IF(E292=参数设置!$B$14,D292,0)</f>
        <v>0</v>
      </c>
      <c r="J292" s="14">
        <f>IF(M292=1,ROUND(D292*参数设置!$B$12*H292/参数设置!$B$13,参数设置!$B$16),0)</f>
        <v>0</v>
      </c>
      <c r="K292" s="14">
        <f t="shared" si="18"/>
        <v>0</v>
      </c>
      <c r="L292" s="21">
        <f>EDATE(C292,参数设置!$B$14)</f>
        <v>47340</v>
      </c>
      <c r="M292">
        <f t="shared" si="19"/>
        <v>0</v>
      </c>
    </row>
    <row r="293" spans="1:13">
      <c r="A293">
        <v>25</v>
      </c>
      <c r="B293">
        <v>25</v>
      </c>
      <c r="C293" s="21">
        <f>EDATE(参数设置!$B$4,A293-1)</f>
        <v>46975</v>
      </c>
      <c r="D293" s="14">
        <f>IF(AND(A293&lt;=参数设置!$B$6,OR(INDEX(月度资金流!$B$7:$B$42,A293)="策略一：消费贷款+买基金",INDEX(月度资金流!$B$7:$B$42,A293)="策略二：新贷偿还旧贷")),参数设置!$B$5,0)</f>
        <v>0</v>
      </c>
      <c r="E293">
        <v>2</v>
      </c>
      <c r="F293" s="21">
        <f t="shared" si="16"/>
        <v>47031</v>
      </c>
      <c r="G293" s="21">
        <f>IF(E293&lt;参数设置!$B$14,DATE(YEAR(EDATE(C293,E293+1)),MONTH(EDATE(C293,E293+1)),参数设置!$B$15),EDATE(C293,参数设置!$B$14))</f>
        <v>47062</v>
      </c>
      <c r="H293">
        <f t="shared" si="17"/>
        <v>31</v>
      </c>
      <c r="I293" s="14">
        <f>IF(E293=参数设置!$B$14,D293,0)</f>
        <v>0</v>
      </c>
      <c r="J293" s="14">
        <f>IF(M293=1,ROUND(D293*参数设置!$B$12*H293/参数设置!$B$13,参数设置!$B$16),0)</f>
        <v>0</v>
      </c>
      <c r="K293" s="14">
        <f t="shared" si="18"/>
        <v>0</v>
      </c>
      <c r="L293" s="21">
        <f>EDATE(C293,参数设置!$B$14)</f>
        <v>47340</v>
      </c>
      <c r="M293">
        <f t="shared" si="19"/>
        <v>0</v>
      </c>
    </row>
    <row r="294" spans="1:13">
      <c r="A294">
        <v>25</v>
      </c>
      <c r="B294">
        <v>25</v>
      </c>
      <c r="C294" s="21">
        <f>EDATE(参数设置!$B$4,A294-1)</f>
        <v>46975</v>
      </c>
      <c r="D294" s="14">
        <f>IF(AND(A294&lt;=参数设置!$B$6,OR(INDEX(月度资金流!$B$7:$B$42,A294)="策略一：消费贷款+买基金",INDEX(月度资金流!$B$7:$B$42,A294)="策略二：新贷偿还旧贷")),参数设置!$B$5,0)</f>
        <v>0</v>
      </c>
      <c r="E294">
        <v>3</v>
      </c>
      <c r="F294" s="21">
        <f t="shared" si="16"/>
        <v>47062</v>
      </c>
      <c r="G294" s="21">
        <f>IF(E294&lt;参数设置!$B$14,DATE(YEAR(EDATE(C294,E294+1)),MONTH(EDATE(C294,E294+1)),参数设置!$B$15),EDATE(C294,参数设置!$B$14))</f>
        <v>47092</v>
      </c>
      <c r="H294">
        <f t="shared" si="17"/>
        <v>30</v>
      </c>
      <c r="I294" s="14">
        <f>IF(E294=参数设置!$B$14,D294,0)</f>
        <v>0</v>
      </c>
      <c r="J294" s="14">
        <f>IF(M294=1,ROUND(D294*参数设置!$B$12*H294/参数设置!$B$13,参数设置!$B$16),0)</f>
        <v>0</v>
      </c>
      <c r="K294" s="14">
        <f t="shared" si="18"/>
        <v>0</v>
      </c>
      <c r="L294" s="21">
        <f>EDATE(C294,参数设置!$B$14)</f>
        <v>47340</v>
      </c>
      <c r="M294">
        <f t="shared" si="19"/>
        <v>0</v>
      </c>
    </row>
    <row r="295" spans="1:13">
      <c r="A295">
        <v>25</v>
      </c>
      <c r="B295">
        <v>25</v>
      </c>
      <c r="C295" s="21">
        <f>EDATE(参数设置!$B$4,A295-1)</f>
        <v>46975</v>
      </c>
      <c r="D295" s="14">
        <f>IF(AND(A295&lt;=参数设置!$B$6,OR(INDEX(月度资金流!$B$7:$B$42,A295)="策略一：消费贷款+买基金",INDEX(月度资金流!$B$7:$B$42,A295)="策略二：新贷偿还旧贷")),参数设置!$B$5,0)</f>
        <v>0</v>
      </c>
      <c r="E295">
        <v>4</v>
      </c>
      <c r="F295" s="21">
        <f t="shared" si="16"/>
        <v>47092</v>
      </c>
      <c r="G295" s="21">
        <f>IF(E295&lt;参数设置!$B$14,DATE(YEAR(EDATE(C295,E295+1)),MONTH(EDATE(C295,E295+1)),参数设置!$B$15),EDATE(C295,参数设置!$B$14))</f>
        <v>47123</v>
      </c>
      <c r="H295">
        <f t="shared" si="17"/>
        <v>31</v>
      </c>
      <c r="I295" s="14">
        <f>IF(E295=参数设置!$B$14,D295,0)</f>
        <v>0</v>
      </c>
      <c r="J295" s="14">
        <f>IF(M295=1,ROUND(D295*参数设置!$B$12*H295/参数设置!$B$13,参数设置!$B$16),0)</f>
        <v>0</v>
      </c>
      <c r="K295" s="14">
        <f t="shared" si="18"/>
        <v>0</v>
      </c>
      <c r="L295" s="21">
        <f>EDATE(C295,参数设置!$B$14)</f>
        <v>47340</v>
      </c>
      <c r="M295">
        <f t="shared" si="19"/>
        <v>0</v>
      </c>
    </row>
    <row r="296" spans="1:13">
      <c r="A296">
        <v>25</v>
      </c>
      <c r="B296">
        <v>25</v>
      </c>
      <c r="C296" s="21">
        <f>EDATE(参数设置!$B$4,A296-1)</f>
        <v>46975</v>
      </c>
      <c r="D296" s="14">
        <f>IF(AND(A296&lt;=参数设置!$B$6,OR(INDEX(月度资金流!$B$7:$B$42,A296)="策略一：消费贷款+买基金",INDEX(月度资金流!$B$7:$B$42,A296)="策略二：新贷偿还旧贷")),参数设置!$B$5,0)</f>
        <v>0</v>
      </c>
      <c r="E296">
        <v>5</v>
      </c>
      <c r="F296" s="21">
        <f t="shared" si="16"/>
        <v>47123</v>
      </c>
      <c r="G296" s="21">
        <f>IF(E296&lt;参数设置!$B$14,DATE(YEAR(EDATE(C296,E296+1)),MONTH(EDATE(C296,E296+1)),参数设置!$B$15),EDATE(C296,参数设置!$B$14))</f>
        <v>47154</v>
      </c>
      <c r="H296">
        <f t="shared" si="17"/>
        <v>31</v>
      </c>
      <c r="I296" s="14">
        <f>IF(E296=参数设置!$B$14,D296,0)</f>
        <v>0</v>
      </c>
      <c r="J296" s="14">
        <f>IF(M296=1,ROUND(D296*参数设置!$B$12*H296/参数设置!$B$13,参数设置!$B$16),0)</f>
        <v>0</v>
      </c>
      <c r="K296" s="14">
        <f t="shared" si="18"/>
        <v>0</v>
      </c>
      <c r="L296" s="21">
        <f>EDATE(C296,参数设置!$B$14)</f>
        <v>47340</v>
      </c>
      <c r="M296">
        <f t="shared" si="19"/>
        <v>0</v>
      </c>
    </row>
    <row r="297" spans="1:13">
      <c r="A297">
        <v>25</v>
      </c>
      <c r="B297">
        <v>25</v>
      </c>
      <c r="C297" s="21">
        <f>EDATE(参数设置!$B$4,A297-1)</f>
        <v>46975</v>
      </c>
      <c r="D297" s="14">
        <f>IF(AND(A297&lt;=参数设置!$B$6,OR(INDEX(月度资金流!$B$7:$B$42,A297)="策略一：消费贷款+买基金",INDEX(月度资金流!$B$7:$B$42,A297)="策略二：新贷偿还旧贷")),参数设置!$B$5,0)</f>
        <v>0</v>
      </c>
      <c r="E297">
        <v>6</v>
      </c>
      <c r="F297" s="21">
        <f t="shared" si="16"/>
        <v>47154</v>
      </c>
      <c r="G297" s="21">
        <f>IF(E297&lt;参数设置!$B$14,DATE(YEAR(EDATE(C297,E297+1)),MONTH(EDATE(C297,E297+1)),参数设置!$B$15),EDATE(C297,参数设置!$B$14))</f>
        <v>47182</v>
      </c>
      <c r="H297">
        <f t="shared" si="17"/>
        <v>28</v>
      </c>
      <c r="I297" s="14">
        <f>IF(E297=参数设置!$B$14,D297,0)</f>
        <v>0</v>
      </c>
      <c r="J297" s="14">
        <f>IF(M297=1,ROUND(D297*参数设置!$B$12*H297/参数设置!$B$13,参数设置!$B$16),0)</f>
        <v>0</v>
      </c>
      <c r="K297" s="14">
        <f t="shared" si="18"/>
        <v>0</v>
      </c>
      <c r="L297" s="21">
        <f>EDATE(C297,参数设置!$B$14)</f>
        <v>47340</v>
      </c>
      <c r="M297">
        <f t="shared" si="19"/>
        <v>0</v>
      </c>
    </row>
    <row r="298" spans="1:13">
      <c r="A298">
        <v>25</v>
      </c>
      <c r="B298">
        <v>25</v>
      </c>
      <c r="C298" s="21">
        <f>EDATE(参数设置!$B$4,A298-1)</f>
        <v>46975</v>
      </c>
      <c r="D298" s="14">
        <f>IF(AND(A298&lt;=参数设置!$B$6,OR(INDEX(月度资金流!$B$7:$B$42,A298)="策略一：消费贷款+买基金",INDEX(月度资金流!$B$7:$B$42,A298)="策略二：新贷偿还旧贷")),参数设置!$B$5,0)</f>
        <v>0</v>
      </c>
      <c r="E298">
        <v>7</v>
      </c>
      <c r="F298" s="21">
        <f t="shared" si="16"/>
        <v>47182</v>
      </c>
      <c r="G298" s="21">
        <f>IF(E298&lt;参数设置!$B$14,DATE(YEAR(EDATE(C298,E298+1)),MONTH(EDATE(C298,E298+1)),参数设置!$B$15),EDATE(C298,参数设置!$B$14))</f>
        <v>47213</v>
      </c>
      <c r="H298">
        <f t="shared" si="17"/>
        <v>31</v>
      </c>
      <c r="I298" s="14">
        <f>IF(E298=参数设置!$B$14,D298,0)</f>
        <v>0</v>
      </c>
      <c r="J298" s="14">
        <f>IF(M298=1,ROUND(D298*参数设置!$B$12*H298/参数设置!$B$13,参数设置!$B$16),0)</f>
        <v>0</v>
      </c>
      <c r="K298" s="14">
        <f t="shared" si="18"/>
        <v>0</v>
      </c>
      <c r="L298" s="21">
        <f>EDATE(C298,参数设置!$B$14)</f>
        <v>47340</v>
      </c>
      <c r="M298">
        <f t="shared" si="19"/>
        <v>0</v>
      </c>
    </row>
    <row r="299" spans="1:13">
      <c r="A299">
        <v>25</v>
      </c>
      <c r="B299">
        <v>25</v>
      </c>
      <c r="C299" s="21">
        <f>EDATE(参数设置!$B$4,A299-1)</f>
        <v>46975</v>
      </c>
      <c r="D299" s="14">
        <f>IF(AND(A299&lt;=参数设置!$B$6,OR(INDEX(月度资金流!$B$7:$B$42,A299)="策略一：消费贷款+买基金",INDEX(月度资金流!$B$7:$B$42,A299)="策略二：新贷偿还旧贷")),参数设置!$B$5,0)</f>
        <v>0</v>
      </c>
      <c r="E299">
        <v>8</v>
      </c>
      <c r="F299" s="21">
        <f t="shared" si="16"/>
        <v>47213</v>
      </c>
      <c r="G299" s="21">
        <f>IF(E299&lt;参数设置!$B$14,DATE(YEAR(EDATE(C299,E299+1)),MONTH(EDATE(C299,E299+1)),参数设置!$B$15),EDATE(C299,参数设置!$B$14))</f>
        <v>47243</v>
      </c>
      <c r="H299">
        <f t="shared" si="17"/>
        <v>30</v>
      </c>
      <c r="I299" s="14">
        <f>IF(E299=参数设置!$B$14,D299,0)</f>
        <v>0</v>
      </c>
      <c r="J299" s="14">
        <f>IF(M299=1,ROUND(D299*参数设置!$B$12*H299/参数设置!$B$13,参数设置!$B$16),0)</f>
        <v>0</v>
      </c>
      <c r="K299" s="14">
        <f t="shared" si="18"/>
        <v>0</v>
      </c>
      <c r="L299" s="21">
        <f>EDATE(C299,参数设置!$B$14)</f>
        <v>47340</v>
      </c>
      <c r="M299">
        <f t="shared" si="19"/>
        <v>0</v>
      </c>
    </row>
    <row r="300" spans="1:13">
      <c r="A300">
        <v>25</v>
      </c>
      <c r="B300">
        <v>25</v>
      </c>
      <c r="C300" s="21">
        <f>EDATE(参数设置!$B$4,A300-1)</f>
        <v>46975</v>
      </c>
      <c r="D300" s="14">
        <f>IF(AND(A300&lt;=参数设置!$B$6,OR(INDEX(月度资金流!$B$7:$B$42,A300)="策略一：消费贷款+买基金",INDEX(月度资金流!$B$7:$B$42,A300)="策略二：新贷偿还旧贷")),参数设置!$B$5,0)</f>
        <v>0</v>
      </c>
      <c r="E300">
        <v>9</v>
      </c>
      <c r="F300" s="21">
        <f t="shared" si="16"/>
        <v>47243</v>
      </c>
      <c r="G300" s="21">
        <f>IF(E300&lt;参数设置!$B$14,DATE(YEAR(EDATE(C300,E300+1)),MONTH(EDATE(C300,E300+1)),参数设置!$B$15),EDATE(C300,参数设置!$B$14))</f>
        <v>47274</v>
      </c>
      <c r="H300">
        <f t="shared" si="17"/>
        <v>31</v>
      </c>
      <c r="I300" s="14">
        <f>IF(E300=参数设置!$B$14,D300,0)</f>
        <v>0</v>
      </c>
      <c r="J300" s="14">
        <f>IF(M300=1,ROUND(D300*参数设置!$B$12*H300/参数设置!$B$13,参数设置!$B$16),0)</f>
        <v>0</v>
      </c>
      <c r="K300" s="14">
        <f t="shared" si="18"/>
        <v>0</v>
      </c>
      <c r="L300" s="21">
        <f>EDATE(C300,参数设置!$B$14)</f>
        <v>47340</v>
      </c>
      <c r="M300">
        <f t="shared" si="19"/>
        <v>0</v>
      </c>
    </row>
    <row r="301" spans="1:13">
      <c r="A301">
        <v>25</v>
      </c>
      <c r="B301">
        <v>25</v>
      </c>
      <c r="C301" s="21">
        <f>EDATE(参数设置!$B$4,A301-1)</f>
        <v>46975</v>
      </c>
      <c r="D301" s="14">
        <f>IF(AND(A301&lt;=参数设置!$B$6,OR(INDEX(月度资金流!$B$7:$B$42,A301)="策略一：消费贷款+买基金",INDEX(月度资金流!$B$7:$B$42,A301)="策略二：新贷偿还旧贷")),参数设置!$B$5,0)</f>
        <v>0</v>
      </c>
      <c r="E301">
        <v>10</v>
      </c>
      <c r="F301" s="21">
        <f t="shared" si="16"/>
        <v>47274</v>
      </c>
      <c r="G301" s="21">
        <f>IF(E301&lt;参数设置!$B$14,DATE(YEAR(EDATE(C301,E301+1)),MONTH(EDATE(C301,E301+1)),参数设置!$B$15),EDATE(C301,参数设置!$B$14))</f>
        <v>47304</v>
      </c>
      <c r="H301">
        <f t="shared" si="17"/>
        <v>30</v>
      </c>
      <c r="I301" s="14">
        <f>IF(E301=参数设置!$B$14,D301,0)</f>
        <v>0</v>
      </c>
      <c r="J301" s="14">
        <f>IF(M301=1,ROUND(D301*参数设置!$B$12*H301/参数设置!$B$13,参数设置!$B$16),0)</f>
        <v>0</v>
      </c>
      <c r="K301" s="14">
        <f t="shared" si="18"/>
        <v>0</v>
      </c>
      <c r="L301" s="21">
        <f>EDATE(C301,参数设置!$B$14)</f>
        <v>47340</v>
      </c>
      <c r="M301">
        <f t="shared" si="19"/>
        <v>0</v>
      </c>
    </row>
    <row r="302" spans="1:13">
      <c r="A302">
        <v>25</v>
      </c>
      <c r="B302">
        <v>25</v>
      </c>
      <c r="C302" s="21">
        <f>EDATE(参数设置!$B$4,A302-1)</f>
        <v>46975</v>
      </c>
      <c r="D302" s="14">
        <f>IF(AND(A302&lt;=参数设置!$B$6,OR(INDEX(月度资金流!$B$7:$B$42,A302)="策略一：消费贷款+买基金",INDEX(月度资金流!$B$7:$B$42,A302)="策略二：新贷偿还旧贷")),参数设置!$B$5,0)</f>
        <v>0</v>
      </c>
      <c r="E302">
        <v>11</v>
      </c>
      <c r="F302" s="21">
        <f t="shared" si="16"/>
        <v>47304</v>
      </c>
      <c r="G302" s="21">
        <f>IF(E302&lt;参数设置!$B$14,DATE(YEAR(EDATE(C302,E302+1)),MONTH(EDATE(C302,E302+1)),参数设置!$B$15),EDATE(C302,参数设置!$B$14))</f>
        <v>47335</v>
      </c>
      <c r="H302">
        <f t="shared" si="17"/>
        <v>31</v>
      </c>
      <c r="I302" s="14">
        <f>IF(E302=参数设置!$B$14,D302,0)</f>
        <v>0</v>
      </c>
      <c r="J302" s="14">
        <f>IF(M302=1,ROUND(D302*参数设置!$B$12*H302/参数设置!$B$13,参数设置!$B$16),0)</f>
        <v>0</v>
      </c>
      <c r="K302" s="14">
        <f t="shared" si="18"/>
        <v>0</v>
      </c>
      <c r="L302" s="21">
        <f>EDATE(C302,参数设置!$B$14)</f>
        <v>47340</v>
      </c>
      <c r="M302">
        <f t="shared" si="19"/>
        <v>0</v>
      </c>
    </row>
    <row r="303" spans="1:13">
      <c r="A303">
        <v>25</v>
      </c>
      <c r="B303">
        <v>25</v>
      </c>
      <c r="C303" s="21">
        <f>EDATE(参数设置!$B$4,A303-1)</f>
        <v>46975</v>
      </c>
      <c r="D303" s="14">
        <f>IF(AND(A303&lt;=参数设置!$B$6,OR(INDEX(月度资金流!$B$7:$B$42,A303)="策略一：消费贷款+买基金",INDEX(月度资金流!$B$7:$B$42,A303)="策略二：新贷偿还旧贷")),参数设置!$B$5,0)</f>
        <v>0</v>
      </c>
      <c r="E303">
        <v>12</v>
      </c>
      <c r="F303" s="21">
        <f t="shared" si="16"/>
        <v>47335</v>
      </c>
      <c r="G303" s="21">
        <f>IF(E303&lt;参数设置!$B$14,DATE(YEAR(EDATE(C303,E303+1)),MONTH(EDATE(C303,E303+1)),参数设置!$B$15),EDATE(C303,参数设置!$B$14))</f>
        <v>47340</v>
      </c>
      <c r="H303">
        <f t="shared" si="17"/>
        <v>5</v>
      </c>
      <c r="I303" s="14">
        <f>IF(E303=参数设置!$B$14,D303,0)</f>
        <v>0</v>
      </c>
      <c r="J303" s="14">
        <f>IF(M303=1,ROUND(D303*参数设置!$B$12*H303/参数设置!$B$13,参数设置!$B$16),0)</f>
        <v>0</v>
      </c>
      <c r="K303" s="14">
        <f t="shared" si="18"/>
        <v>0</v>
      </c>
      <c r="L303" s="21">
        <f>EDATE(C303,参数设置!$B$14)</f>
        <v>47340</v>
      </c>
      <c r="M303">
        <f t="shared" si="19"/>
        <v>0</v>
      </c>
    </row>
    <row r="304" spans="1:13">
      <c r="A304">
        <v>26</v>
      </c>
      <c r="B304">
        <v>26</v>
      </c>
      <c r="C304" s="21">
        <f>EDATE(参数设置!$B$4,A304-1)</f>
        <v>47006</v>
      </c>
      <c r="D304" s="14">
        <f>IF(AND(A304&lt;=参数设置!$B$6,OR(INDEX(月度资金流!$B$7:$B$42,A304)="策略一：消费贷款+买基金",INDEX(月度资金流!$B$7:$B$42,A304)="策略二：新贷偿还旧贷")),参数设置!$B$5,0)</f>
        <v>0</v>
      </c>
      <c r="E304">
        <v>1</v>
      </c>
      <c r="F304" s="21">
        <f t="shared" si="16"/>
        <v>47006</v>
      </c>
      <c r="G304" s="21">
        <f>IF(E304&lt;参数设置!$B$14,DATE(YEAR(EDATE(C304,E304+1)),MONTH(EDATE(C304,E304+1)),参数设置!$B$15),EDATE(C304,参数设置!$B$14))</f>
        <v>47062</v>
      </c>
      <c r="H304">
        <f t="shared" si="17"/>
        <v>56</v>
      </c>
      <c r="I304" s="14">
        <f>IF(E304=参数设置!$B$14,D304,0)</f>
        <v>0</v>
      </c>
      <c r="J304" s="14">
        <f>IF(M304=1,ROUND(D304*参数设置!$B$12*H304/参数设置!$B$13,参数设置!$B$16),0)</f>
        <v>0</v>
      </c>
      <c r="K304" s="14">
        <f t="shared" si="18"/>
        <v>0</v>
      </c>
      <c r="L304" s="21">
        <f>EDATE(C304,参数设置!$B$14)</f>
        <v>47371</v>
      </c>
      <c r="M304">
        <f t="shared" si="19"/>
        <v>0</v>
      </c>
    </row>
    <row r="305" spans="1:13">
      <c r="A305">
        <v>26</v>
      </c>
      <c r="B305">
        <v>26</v>
      </c>
      <c r="C305" s="21">
        <f>EDATE(参数设置!$B$4,A305-1)</f>
        <v>47006</v>
      </c>
      <c r="D305" s="14">
        <f>IF(AND(A305&lt;=参数设置!$B$6,OR(INDEX(月度资金流!$B$7:$B$42,A305)="策略一：消费贷款+买基金",INDEX(月度资金流!$B$7:$B$42,A305)="策略二：新贷偿还旧贷")),参数设置!$B$5,0)</f>
        <v>0</v>
      </c>
      <c r="E305">
        <v>2</v>
      </c>
      <c r="F305" s="21">
        <f t="shared" si="16"/>
        <v>47062</v>
      </c>
      <c r="G305" s="21">
        <f>IF(E305&lt;参数设置!$B$14,DATE(YEAR(EDATE(C305,E305+1)),MONTH(EDATE(C305,E305+1)),参数设置!$B$15),EDATE(C305,参数设置!$B$14))</f>
        <v>47092</v>
      </c>
      <c r="H305">
        <f t="shared" si="17"/>
        <v>30</v>
      </c>
      <c r="I305" s="14">
        <f>IF(E305=参数设置!$B$14,D305,0)</f>
        <v>0</v>
      </c>
      <c r="J305" s="14">
        <f>IF(M305=1,ROUND(D305*参数设置!$B$12*H305/参数设置!$B$13,参数设置!$B$16),0)</f>
        <v>0</v>
      </c>
      <c r="K305" s="14">
        <f t="shared" si="18"/>
        <v>0</v>
      </c>
      <c r="L305" s="21">
        <f>EDATE(C305,参数设置!$B$14)</f>
        <v>47371</v>
      </c>
      <c r="M305">
        <f t="shared" si="19"/>
        <v>0</v>
      </c>
    </row>
    <row r="306" spans="1:13">
      <c r="A306">
        <v>26</v>
      </c>
      <c r="B306">
        <v>26</v>
      </c>
      <c r="C306" s="21">
        <f>EDATE(参数设置!$B$4,A306-1)</f>
        <v>47006</v>
      </c>
      <c r="D306" s="14">
        <f>IF(AND(A306&lt;=参数设置!$B$6,OR(INDEX(月度资金流!$B$7:$B$42,A306)="策略一：消费贷款+买基金",INDEX(月度资金流!$B$7:$B$42,A306)="策略二：新贷偿还旧贷")),参数设置!$B$5,0)</f>
        <v>0</v>
      </c>
      <c r="E306">
        <v>3</v>
      </c>
      <c r="F306" s="21">
        <f t="shared" si="16"/>
        <v>47092</v>
      </c>
      <c r="G306" s="21">
        <f>IF(E306&lt;参数设置!$B$14,DATE(YEAR(EDATE(C306,E306+1)),MONTH(EDATE(C306,E306+1)),参数设置!$B$15),EDATE(C306,参数设置!$B$14))</f>
        <v>47123</v>
      </c>
      <c r="H306">
        <f t="shared" si="17"/>
        <v>31</v>
      </c>
      <c r="I306" s="14">
        <f>IF(E306=参数设置!$B$14,D306,0)</f>
        <v>0</v>
      </c>
      <c r="J306" s="14">
        <f>IF(M306=1,ROUND(D306*参数设置!$B$12*H306/参数设置!$B$13,参数设置!$B$16),0)</f>
        <v>0</v>
      </c>
      <c r="K306" s="14">
        <f t="shared" si="18"/>
        <v>0</v>
      </c>
      <c r="L306" s="21">
        <f>EDATE(C306,参数设置!$B$14)</f>
        <v>47371</v>
      </c>
      <c r="M306">
        <f t="shared" si="19"/>
        <v>0</v>
      </c>
    </row>
    <row r="307" spans="1:13">
      <c r="A307">
        <v>26</v>
      </c>
      <c r="B307">
        <v>26</v>
      </c>
      <c r="C307" s="21">
        <f>EDATE(参数设置!$B$4,A307-1)</f>
        <v>47006</v>
      </c>
      <c r="D307" s="14">
        <f>IF(AND(A307&lt;=参数设置!$B$6,OR(INDEX(月度资金流!$B$7:$B$42,A307)="策略一：消费贷款+买基金",INDEX(月度资金流!$B$7:$B$42,A307)="策略二：新贷偿还旧贷")),参数设置!$B$5,0)</f>
        <v>0</v>
      </c>
      <c r="E307">
        <v>4</v>
      </c>
      <c r="F307" s="21">
        <f t="shared" si="16"/>
        <v>47123</v>
      </c>
      <c r="G307" s="21">
        <f>IF(E307&lt;参数设置!$B$14,DATE(YEAR(EDATE(C307,E307+1)),MONTH(EDATE(C307,E307+1)),参数设置!$B$15),EDATE(C307,参数设置!$B$14))</f>
        <v>47154</v>
      </c>
      <c r="H307">
        <f t="shared" si="17"/>
        <v>31</v>
      </c>
      <c r="I307" s="14">
        <f>IF(E307=参数设置!$B$14,D307,0)</f>
        <v>0</v>
      </c>
      <c r="J307" s="14">
        <f>IF(M307=1,ROUND(D307*参数设置!$B$12*H307/参数设置!$B$13,参数设置!$B$16),0)</f>
        <v>0</v>
      </c>
      <c r="K307" s="14">
        <f t="shared" si="18"/>
        <v>0</v>
      </c>
      <c r="L307" s="21">
        <f>EDATE(C307,参数设置!$B$14)</f>
        <v>47371</v>
      </c>
      <c r="M307">
        <f t="shared" si="19"/>
        <v>0</v>
      </c>
    </row>
    <row r="308" spans="1:13">
      <c r="A308">
        <v>26</v>
      </c>
      <c r="B308">
        <v>26</v>
      </c>
      <c r="C308" s="21">
        <f>EDATE(参数设置!$B$4,A308-1)</f>
        <v>47006</v>
      </c>
      <c r="D308" s="14">
        <f>IF(AND(A308&lt;=参数设置!$B$6,OR(INDEX(月度资金流!$B$7:$B$42,A308)="策略一：消费贷款+买基金",INDEX(月度资金流!$B$7:$B$42,A308)="策略二：新贷偿还旧贷")),参数设置!$B$5,0)</f>
        <v>0</v>
      </c>
      <c r="E308">
        <v>5</v>
      </c>
      <c r="F308" s="21">
        <f t="shared" si="16"/>
        <v>47154</v>
      </c>
      <c r="G308" s="21">
        <f>IF(E308&lt;参数设置!$B$14,DATE(YEAR(EDATE(C308,E308+1)),MONTH(EDATE(C308,E308+1)),参数设置!$B$15),EDATE(C308,参数设置!$B$14))</f>
        <v>47182</v>
      </c>
      <c r="H308">
        <f t="shared" si="17"/>
        <v>28</v>
      </c>
      <c r="I308" s="14">
        <f>IF(E308=参数设置!$B$14,D308,0)</f>
        <v>0</v>
      </c>
      <c r="J308" s="14">
        <f>IF(M308=1,ROUND(D308*参数设置!$B$12*H308/参数设置!$B$13,参数设置!$B$16),0)</f>
        <v>0</v>
      </c>
      <c r="K308" s="14">
        <f t="shared" si="18"/>
        <v>0</v>
      </c>
      <c r="L308" s="21">
        <f>EDATE(C308,参数设置!$B$14)</f>
        <v>47371</v>
      </c>
      <c r="M308">
        <f t="shared" si="19"/>
        <v>0</v>
      </c>
    </row>
    <row r="309" spans="1:13">
      <c r="A309">
        <v>26</v>
      </c>
      <c r="B309">
        <v>26</v>
      </c>
      <c r="C309" s="21">
        <f>EDATE(参数设置!$B$4,A309-1)</f>
        <v>47006</v>
      </c>
      <c r="D309" s="14">
        <f>IF(AND(A309&lt;=参数设置!$B$6,OR(INDEX(月度资金流!$B$7:$B$42,A309)="策略一：消费贷款+买基金",INDEX(月度资金流!$B$7:$B$42,A309)="策略二：新贷偿还旧贷")),参数设置!$B$5,0)</f>
        <v>0</v>
      </c>
      <c r="E309">
        <v>6</v>
      </c>
      <c r="F309" s="21">
        <f t="shared" si="16"/>
        <v>47182</v>
      </c>
      <c r="G309" s="21">
        <f>IF(E309&lt;参数设置!$B$14,DATE(YEAR(EDATE(C309,E309+1)),MONTH(EDATE(C309,E309+1)),参数设置!$B$15),EDATE(C309,参数设置!$B$14))</f>
        <v>47213</v>
      </c>
      <c r="H309">
        <f t="shared" si="17"/>
        <v>31</v>
      </c>
      <c r="I309" s="14">
        <f>IF(E309=参数设置!$B$14,D309,0)</f>
        <v>0</v>
      </c>
      <c r="J309" s="14">
        <f>IF(M309=1,ROUND(D309*参数设置!$B$12*H309/参数设置!$B$13,参数设置!$B$16),0)</f>
        <v>0</v>
      </c>
      <c r="K309" s="14">
        <f t="shared" si="18"/>
        <v>0</v>
      </c>
      <c r="L309" s="21">
        <f>EDATE(C309,参数设置!$B$14)</f>
        <v>47371</v>
      </c>
      <c r="M309">
        <f t="shared" si="19"/>
        <v>0</v>
      </c>
    </row>
    <row r="310" spans="1:13">
      <c r="A310">
        <v>26</v>
      </c>
      <c r="B310">
        <v>26</v>
      </c>
      <c r="C310" s="21">
        <f>EDATE(参数设置!$B$4,A310-1)</f>
        <v>47006</v>
      </c>
      <c r="D310" s="14">
        <f>IF(AND(A310&lt;=参数设置!$B$6,OR(INDEX(月度资金流!$B$7:$B$42,A310)="策略一：消费贷款+买基金",INDEX(月度资金流!$B$7:$B$42,A310)="策略二：新贷偿还旧贷")),参数设置!$B$5,0)</f>
        <v>0</v>
      </c>
      <c r="E310">
        <v>7</v>
      </c>
      <c r="F310" s="21">
        <f t="shared" si="16"/>
        <v>47213</v>
      </c>
      <c r="G310" s="21">
        <f>IF(E310&lt;参数设置!$B$14,DATE(YEAR(EDATE(C310,E310+1)),MONTH(EDATE(C310,E310+1)),参数设置!$B$15),EDATE(C310,参数设置!$B$14))</f>
        <v>47243</v>
      </c>
      <c r="H310">
        <f t="shared" si="17"/>
        <v>30</v>
      </c>
      <c r="I310" s="14">
        <f>IF(E310=参数设置!$B$14,D310,0)</f>
        <v>0</v>
      </c>
      <c r="J310" s="14">
        <f>IF(M310=1,ROUND(D310*参数设置!$B$12*H310/参数设置!$B$13,参数设置!$B$16),0)</f>
        <v>0</v>
      </c>
      <c r="K310" s="14">
        <f t="shared" si="18"/>
        <v>0</v>
      </c>
      <c r="L310" s="21">
        <f>EDATE(C310,参数设置!$B$14)</f>
        <v>47371</v>
      </c>
      <c r="M310">
        <f t="shared" si="19"/>
        <v>0</v>
      </c>
    </row>
    <row r="311" spans="1:13">
      <c r="A311">
        <v>26</v>
      </c>
      <c r="B311">
        <v>26</v>
      </c>
      <c r="C311" s="21">
        <f>EDATE(参数设置!$B$4,A311-1)</f>
        <v>47006</v>
      </c>
      <c r="D311" s="14">
        <f>IF(AND(A311&lt;=参数设置!$B$6,OR(INDEX(月度资金流!$B$7:$B$42,A311)="策略一：消费贷款+买基金",INDEX(月度资金流!$B$7:$B$42,A311)="策略二：新贷偿还旧贷")),参数设置!$B$5,0)</f>
        <v>0</v>
      </c>
      <c r="E311">
        <v>8</v>
      </c>
      <c r="F311" s="21">
        <f t="shared" si="16"/>
        <v>47243</v>
      </c>
      <c r="G311" s="21">
        <f>IF(E311&lt;参数设置!$B$14,DATE(YEAR(EDATE(C311,E311+1)),MONTH(EDATE(C311,E311+1)),参数设置!$B$15),EDATE(C311,参数设置!$B$14))</f>
        <v>47274</v>
      </c>
      <c r="H311">
        <f t="shared" si="17"/>
        <v>31</v>
      </c>
      <c r="I311" s="14">
        <f>IF(E311=参数设置!$B$14,D311,0)</f>
        <v>0</v>
      </c>
      <c r="J311" s="14">
        <f>IF(M311=1,ROUND(D311*参数设置!$B$12*H311/参数设置!$B$13,参数设置!$B$16),0)</f>
        <v>0</v>
      </c>
      <c r="K311" s="14">
        <f t="shared" si="18"/>
        <v>0</v>
      </c>
      <c r="L311" s="21">
        <f>EDATE(C311,参数设置!$B$14)</f>
        <v>47371</v>
      </c>
      <c r="M311">
        <f t="shared" si="19"/>
        <v>0</v>
      </c>
    </row>
    <row r="312" spans="1:13">
      <c r="A312">
        <v>26</v>
      </c>
      <c r="B312">
        <v>26</v>
      </c>
      <c r="C312" s="21">
        <f>EDATE(参数设置!$B$4,A312-1)</f>
        <v>47006</v>
      </c>
      <c r="D312" s="14">
        <f>IF(AND(A312&lt;=参数设置!$B$6,OR(INDEX(月度资金流!$B$7:$B$42,A312)="策略一：消费贷款+买基金",INDEX(月度资金流!$B$7:$B$42,A312)="策略二：新贷偿还旧贷")),参数设置!$B$5,0)</f>
        <v>0</v>
      </c>
      <c r="E312">
        <v>9</v>
      </c>
      <c r="F312" s="21">
        <f t="shared" si="16"/>
        <v>47274</v>
      </c>
      <c r="G312" s="21">
        <f>IF(E312&lt;参数设置!$B$14,DATE(YEAR(EDATE(C312,E312+1)),MONTH(EDATE(C312,E312+1)),参数设置!$B$15),EDATE(C312,参数设置!$B$14))</f>
        <v>47304</v>
      </c>
      <c r="H312">
        <f t="shared" si="17"/>
        <v>30</v>
      </c>
      <c r="I312" s="14">
        <f>IF(E312=参数设置!$B$14,D312,0)</f>
        <v>0</v>
      </c>
      <c r="J312" s="14">
        <f>IF(M312=1,ROUND(D312*参数设置!$B$12*H312/参数设置!$B$13,参数设置!$B$16),0)</f>
        <v>0</v>
      </c>
      <c r="K312" s="14">
        <f t="shared" si="18"/>
        <v>0</v>
      </c>
      <c r="L312" s="21">
        <f>EDATE(C312,参数设置!$B$14)</f>
        <v>47371</v>
      </c>
      <c r="M312">
        <f t="shared" si="19"/>
        <v>0</v>
      </c>
    </row>
    <row r="313" spans="1:13">
      <c r="A313">
        <v>26</v>
      </c>
      <c r="B313">
        <v>26</v>
      </c>
      <c r="C313" s="21">
        <f>EDATE(参数设置!$B$4,A313-1)</f>
        <v>47006</v>
      </c>
      <c r="D313" s="14">
        <f>IF(AND(A313&lt;=参数设置!$B$6,OR(INDEX(月度资金流!$B$7:$B$42,A313)="策略一：消费贷款+买基金",INDEX(月度资金流!$B$7:$B$42,A313)="策略二：新贷偿还旧贷")),参数设置!$B$5,0)</f>
        <v>0</v>
      </c>
      <c r="E313">
        <v>10</v>
      </c>
      <c r="F313" s="21">
        <f t="shared" si="16"/>
        <v>47304</v>
      </c>
      <c r="G313" s="21">
        <f>IF(E313&lt;参数设置!$B$14,DATE(YEAR(EDATE(C313,E313+1)),MONTH(EDATE(C313,E313+1)),参数设置!$B$15),EDATE(C313,参数设置!$B$14))</f>
        <v>47335</v>
      </c>
      <c r="H313">
        <f t="shared" si="17"/>
        <v>31</v>
      </c>
      <c r="I313" s="14">
        <f>IF(E313=参数设置!$B$14,D313,0)</f>
        <v>0</v>
      </c>
      <c r="J313" s="14">
        <f>IF(M313=1,ROUND(D313*参数设置!$B$12*H313/参数设置!$B$13,参数设置!$B$16),0)</f>
        <v>0</v>
      </c>
      <c r="K313" s="14">
        <f t="shared" si="18"/>
        <v>0</v>
      </c>
      <c r="L313" s="21">
        <f>EDATE(C313,参数设置!$B$14)</f>
        <v>47371</v>
      </c>
      <c r="M313">
        <f t="shared" si="19"/>
        <v>0</v>
      </c>
    </row>
    <row r="314" spans="1:13">
      <c r="A314">
        <v>26</v>
      </c>
      <c r="B314">
        <v>26</v>
      </c>
      <c r="C314" s="21">
        <f>EDATE(参数设置!$B$4,A314-1)</f>
        <v>47006</v>
      </c>
      <c r="D314" s="14">
        <f>IF(AND(A314&lt;=参数设置!$B$6,OR(INDEX(月度资金流!$B$7:$B$42,A314)="策略一：消费贷款+买基金",INDEX(月度资金流!$B$7:$B$42,A314)="策略二：新贷偿还旧贷")),参数设置!$B$5,0)</f>
        <v>0</v>
      </c>
      <c r="E314">
        <v>11</v>
      </c>
      <c r="F314" s="21">
        <f t="shared" si="16"/>
        <v>47335</v>
      </c>
      <c r="G314" s="21">
        <f>IF(E314&lt;参数设置!$B$14,DATE(YEAR(EDATE(C314,E314+1)),MONTH(EDATE(C314,E314+1)),参数设置!$B$15),EDATE(C314,参数设置!$B$14))</f>
        <v>47366</v>
      </c>
      <c r="H314">
        <f t="shared" si="17"/>
        <v>31</v>
      </c>
      <c r="I314" s="14">
        <f>IF(E314=参数设置!$B$14,D314,0)</f>
        <v>0</v>
      </c>
      <c r="J314" s="14">
        <f>IF(M314=1,ROUND(D314*参数设置!$B$12*H314/参数设置!$B$13,参数设置!$B$16),0)</f>
        <v>0</v>
      </c>
      <c r="K314" s="14">
        <f t="shared" si="18"/>
        <v>0</v>
      </c>
      <c r="L314" s="21">
        <f>EDATE(C314,参数设置!$B$14)</f>
        <v>47371</v>
      </c>
      <c r="M314">
        <f t="shared" si="19"/>
        <v>0</v>
      </c>
    </row>
    <row r="315" spans="1:13">
      <c r="A315">
        <v>26</v>
      </c>
      <c r="B315">
        <v>26</v>
      </c>
      <c r="C315" s="21">
        <f>EDATE(参数设置!$B$4,A315-1)</f>
        <v>47006</v>
      </c>
      <c r="D315" s="14">
        <f>IF(AND(A315&lt;=参数设置!$B$6,OR(INDEX(月度资金流!$B$7:$B$42,A315)="策略一：消费贷款+买基金",INDEX(月度资金流!$B$7:$B$42,A315)="策略二：新贷偿还旧贷")),参数设置!$B$5,0)</f>
        <v>0</v>
      </c>
      <c r="E315">
        <v>12</v>
      </c>
      <c r="F315" s="21">
        <f t="shared" si="16"/>
        <v>47366</v>
      </c>
      <c r="G315" s="21">
        <f>IF(E315&lt;参数设置!$B$14,DATE(YEAR(EDATE(C315,E315+1)),MONTH(EDATE(C315,E315+1)),参数设置!$B$15),EDATE(C315,参数设置!$B$14))</f>
        <v>47371</v>
      </c>
      <c r="H315">
        <f t="shared" si="17"/>
        <v>5</v>
      </c>
      <c r="I315" s="14">
        <f>IF(E315=参数设置!$B$14,D315,0)</f>
        <v>0</v>
      </c>
      <c r="J315" s="14">
        <f>IF(M315=1,ROUND(D315*参数设置!$B$12*H315/参数设置!$B$13,参数设置!$B$16),0)</f>
        <v>0</v>
      </c>
      <c r="K315" s="14">
        <f t="shared" si="18"/>
        <v>0</v>
      </c>
      <c r="L315" s="21">
        <f>EDATE(C315,参数设置!$B$14)</f>
        <v>47371</v>
      </c>
      <c r="M315">
        <f t="shared" si="19"/>
        <v>0</v>
      </c>
    </row>
    <row r="316" spans="1:13">
      <c r="A316">
        <v>27</v>
      </c>
      <c r="B316">
        <v>27</v>
      </c>
      <c r="C316" s="21">
        <f>EDATE(参数设置!$B$4,A316-1)</f>
        <v>47036</v>
      </c>
      <c r="D316" s="14">
        <f>IF(AND(A316&lt;=参数设置!$B$6,OR(INDEX(月度资金流!$B$7:$B$42,A316)="策略一：消费贷款+买基金",INDEX(月度资金流!$B$7:$B$42,A316)="策略二：新贷偿还旧贷")),参数设置!$B$5,0)</f>
        <v>0</v>
      </c>
      <c r="E316">
        <v>1</v>
      </c>
      <c r="F316" s="21">
        <f t="shared" si="16"/>
        <v>47036</v>
      </c>
      <c r="G316" s="21">
        <f>IF(E316&lt;参数设置!$B$14,DATE(YEAR(EDATE(C316,E316+1)),MONTH(EDATE(C316,E316+1)),参数设置!$B$15),EDATE(C316,参数设置!$B$14))</f>
        <v>47092</v>
      </c>
      <c r="H316">
        <f t="shared" si="17"/>
        <v>56</v>
      </c>
      <c r="I316" s="14">
        <f>IF(E316=参数设置!$B$14,D316,0)</f>
        <v>0</v>
      </c>
      <c r="J316" s="14">
        <f>IF(M316=1,ROUND(D316*参数设置!$B$12*H316/参数设置!$B$13,参数设置!$B$16),0)</f>
        <v>0</v>
      </c>
      <c r="K316" s="14">
        <f t="shared" si="18"/>
        <v>0</v>
      </c>
      <c r="L316" s="21">
        <f>EDATE(C316,参数设置!$B$14)</f>
        <v>47401</v>
      </c>
      <c r="M316">
        <f t="shared" si="19"/>
        <v>0</v>
      </c>
    </row>
    <row r="317" spans="1:13">
      <c r="A317">
        <v>27</v>
      </c>
      <c r="B317">
        <v>27</v>
      </c>
      <c r="C317" s="21">
        <f>EDATE(参数设置!$B$4,A317-1)</f>
        <v>47036</v>
      </c>
      <c r="D317" s="14">
        <f>IF(AND(A317&lt;=参数设置!$B$6,OR(INDEX(月度资金流!$B$7:$B$42,A317)="策略一：消费贷款+买基金",INDEX(月度资金流!$B$7:$B$42,A317)="策略二：新贷偿还旧贷")),参数设置!$B$5,0)</f>
        <v>0</v>
      </c>
      <c r="E317">
        <v>2</v>
      </c>
      <c r="F317" s="21">
        <f t="shared" si="16"/>
        <v>47092</v>
      </c>
      <c r="G317" s="21">
        <f>IF(E317&lt;参数设置!$B$14,DATE(YEAR(EDATE(C317,E317+1)),MONTH(EDATE(C317,E317+1)),参数设置!$B$15),EDATE(C317,参数设置!$B$14))</f>
        <v>47123</v>
      </c>
      <c r="H317">
        <f t="shared" si="17"/>
        <v>31</v>
      </c>
      <c r="I317" s="14">
        <f>IF(E317=参数设置!$B$14,D317,0)</f>
        <v>0</v>
      </c>
      <c r="J317" s="14">
        <f>IF(M317=1,ROUND(D317*参数设置!$B$12*H317/参数设置!$B$13,参数设置!$B$16),0)</f>
        <v>0</v>
      </c>
      <c r="K317" s="14">
        <f t="shared" si="18"/>
        <v>0</v>
      </c>
      <c r="L317" s="21">
        <f>EDATE(C317,参数设置!$B$14)</f>
        <v>47401</v>
      </c>
      <c r="M317">
        <f t="shared" si="19"/>
        <v>0</v>
      </c>
    </row>
    <row r="318" spans="1:13">
      <c r="A318">
        <v>27</v>
      </c>
      <c r="B318">
        <v>27</v>
      </c>
      <c r="C318" s="21">
        <f>EDATE(参数设置!$B$4,A318-1)</f>
        <v>47036</v>
      </c>
      <c r="D318" s="14">
        <f>IF(AND(A318&lt;=参数设置!$B$6,OR(INDEX(月度资金流!$B$7:$B$42,A318)="策略一：消费贷款+买基金",INDEX(月度资金流!$B$7:$B$42,A318)="策略二：新贷偿还旧贷")),参数设置!$B$5,0)</f>
        <v>0</v>
      </c>
      <c r="E318">
        <v>3</v>
      </c>
      <c r="F318" s="21">
        <f t="shared" si="16"/>
        <v>47123</v>
      </c>
      <c r="G318" s="21">
        <f>IF(E318&lt;参数设置!$B$14,DATE(YEAR(EDATE(C318,E318+1)),MONTH(EDATE(C318,E318+1)),参数设置!$B$15),EDATE(C318,参数设置!$B$14))</f>
        <v>47154</v>
      </c>
      <c r="H318">
        <f t="shared" si="17"/>
        <v>31</v>
      </c>
      <c r="I318" s="14">
        <f>IF(E318=参数设置!$B$14,D318,0)</f>
        <v>0</v>
      </c>
      <c r="J318" s="14">
        <f>IF(M318=1,ROUND(D318*参数设置!$B$12*H318/参数设置!$B$13,参数设置!$B$16),0)</f>
        <v>0</v>
      </c>
      <c r="K318" s="14">
        <f t="shared" si="18"/>
        <v>0</v>
      </c>
      <c r="L318" s="21">
        <f>EDATE(C318,参数设置!$B$14)</f>
        <v>47401</v>
      </c>
      <c r="M318">
        <f t="shared" si="19"/>
        <v>0</v>
      </c>
    </row>
    <row r="319" spans="1:13">
      <c r="A319">
        <v>27</v>
      </c>
      <c r="B319">
        <v>27</v>
      </c>
      <c r="C319" s="21">
        <f>EDATE(参数设置!$B$4,A319-1)</f>
        <v>47036</v>
      </c>
      <c r="D319" s="14">
        <f>IF(AND(A319&lt;=参数设置!$B$6,OR(INDEX(月度资金流!$B$7:$B$42,A319)="策略一：消费贷款+买基金",INDEX(月度资金流!$B$7:$B$42,A319)="策略二：新贷偿还旧贷")),参数设置!$B$5,0)</f>
        <v>0</v>
      </c>
      <c r="E319">
        <v>4</v>
      </c>
      <c r="F319" s="21">
        <f t="shared" si="16"/>
        <v>47154</v>
      </c>
      <c r="G319" s="21">
        <f>IF(E319&lt;参数设置!$B$14,DATE(YEAR(EDATE(C319,E319+1)),MONTH(EDATE(C319,E319+1)),参数设置!$B$15),EDATE(C319,参数设置!$B$14))</f>
        <v>47182</v>
      </c>
      <c r="H319">
        <f t="shared" si="17"/>
        <v>28</v>
      </c>
      <c r="I319" s="14">
        <f>IF(E319=参数设置!$B$14,D319,0)</f>
        <v>0</v>
      </c>
      <c r="J319" s="14">
        <f>IF(M319=1,ROUND(D319*参数设置!$B$12*H319/参数设置!$B$13,参数设置!$B$16),0)</f>
        <v>0</v>
      </c>
      <c r="K319" s="14">
        <f t="shared" si="18"/>
        <v>0</v>
      </c>
      <c r="L319" s="21">
        <f>EDATE(C319,参数设置!$B$14)</f>
        <v>47401</v>
      </c>
      <c r="M319">
        <f t="shared" si="19"/>
        <v>0</v>
      </c>
    </row>
    <row r="320" spans="1:13">
      <c r="A320">
        <v>27</v>
      </c>
      <c r="B320">
        <v>27</v>
      </c>
      <c r="C320" s="21">
        <f>EDATE(参数设置!$B$4,A320-1)</f>
        <v>47036</v>
      </c>
      <c r="D320" s="14">
        <f>IF(AND(A320&lt;=参数设置!$B$6,OR(INDEX(月度资金流!$B$7:$B$42,A320)="策略一：消费贷款+买基金",INDEX(月度资金流!$B$7:$B$42,A320)="策略二：新贷偿还旧贷")),参数设置!$B$5,0)</f>
        <v>0</v>
      </c>
      <c r="E320">
        <v>5</v>
      </c>
      <c r="F320" s="21">
        <f t="shared" si="16"/>
        <v>47182</v>
      </c>
      <c r="G320" s="21">
        <f>IF(E320&lt;参数设置!$B$14,DATE(YEAR(EDATE(C320,E320+1)),MONTH(EDATE(C320,E320+1)),参数设置!$B$15),EDATE(C320,参数设置!$B$14))</f>
        <v>47213</v>
      </c>
      <c r="H320">
        <f t="shared" si="17"/>
        <v>31</v>
      </c>
      <c r="I320" s="14">
        <f>IF(E320=参数设置!$B$14,D320,0)</f>
        <v>0</v>
      </c>
      <c r="J320" s="14">
        <f>IF(M320=1,ROUND(D320*参数设置!$B$12*H320/参数设置!$B$13,参数设置!$B$16),0)</f>
        <v>0</v>
      </c>
      <c r="K320" s="14">
        <f t="shared" si="18"/>
        <v>0</v>
      </c>
      <c r="L320" s="21">
        <f>EDATE(C320,参数设置!$B$14)</f>
        <v>47401</v>
      </c>
      <c r="M320">
        <f t="shared" si="19"/>
        <v>0</v>
      </c>
    </row>
    <row r="321" spans="1:13">
      <c r="A321">
        <v>27</v>
      </c>
      <c r="B321">
        <v>27</v>
      </c>
      <c r="C321" s="21">
        <f>EDATE(参数设置!$B$4,A321-1)</f>
        <v>47036</v>
      </c>
      <c r="D321" s="14">
        <f>IF(AND(A321&lt;=参数设置!$B$6,OR(INDEX(月度资金流!$B$7:$B$42,A321)="策略一：消费贷款+买基金",INDEX(月度资金流!$B$7:$B$42,A321)="策略二：新贷偿还旧贷")),参数设置!$B$5,0)</f>
        <v>0</v>
      </c>
      <c r="E321">
        <v>6</v>
      </c>
      <c r="F321" s="21">
        <f t="shared" si="16"/>
        <v>47213</v>
      </c>
      <c r="G321" s="21">
        <f>IF(E321&lt;参数设置!$B$14,DATE(YEAR(EDATE(C321,E321+1)),MONTH(EDATE(C321,E321+1)),参数设置!$B$15),EDATE(C321,参数设置!$B$14))</f>
        <v>47243</v>
      </c>
      <c r="H321">
        <f t="shared" si="17"/>
        <v>30</v>
      </c>
      <c r="I321" s="14">
        <f>IF(E321=参数设置!$B$14,D321,0)</f>
        <v>0</v>
      </c>
      <c r="J321" s="14">
        <f>IF(M321=1,ROUND(D321*参数设置!$B$12*H321/参数设置!$B$13,参数设置!$B$16),0)</f>
        <v>0</v>
      </c>
      <c r="K321" s="14">
        <f t="shared" si="18"/>
        <v>0</v>
      </c>
      <c r="L321" s="21">
        <f>EDATE(C321,参数设置!$B$14)</f>
        <v>47401</v>
      </c>
      <c r="M321">
        <f t="shared" si="19"/>
        <v>0</v>
      </c>
    </row>
    <row r="322" spans="1:13">
      <c r="A322">
        <v>27</v>
      </c>
      <c r="B322">
        <v>27</v>
      </c>
      <c r="C322" s="21">
        <f>EDATE(参数设置!$B$4,A322-1)</f>
        <v>47036</v>
      </c>
      <c r="D322" s="14">
        <f>IF(AND(A322&lt;=参数设置!$B$6,OR(INDEX(月度资金流!$B$7:$B$42,A322)="策略一：消费贷款+买基金",INDEX(月度资金流!$B$7:$B$42,A322)="策略二：新贷偿还旧贷")),参数设置!$B$5,0)</f>
        <v>0</v>
      </c>
      <c r="E322">
        <v>7</v>
      </c>
      <c r="F322" s="21">
        <f t="shared" si="16"/>
        <v>47243</v>
      </c>
      <c r="G322" s="21">
        <f>IF(E322&lt;参数设置!$B$14,DATE(YEAR(EDATE(C322,E322+1)),MONTH(EDATE(C322,E322+1)),参数设置!$B$15),EDATE(C322,参数设置!$B$14))</f>
        <v>47274</v>
      </c>
      <c r="H322">
        <f t="shared" si="17"/>
        <v>31</v>
      </c>
      <c r="I322" s="14">
        <f>IF(E322=参数设置!$B$14,D322,0)</f>
        <v>0</v>
      </c>
      <c r="J322" s="14">
        <f>IF(M322=1,ROUND(D322*参数设置!$B$12*H322/参数设置!$B$13,参数设置!$B$16),0)</f>
        <v>0</v>
      </c>
      <c r="K322" s="14">
        <f t="shared" si="18"/>
        <v>0</v>
      </c>
      <c r="L322" s="21">
        <f>EDATE(C322,参数设置!$B$14)</f>
        <v>47401</v>
      </c>
      <c r="M322">
        <f t="shared" si="19"/>
        <v>0</v>
      </c>
    </row>
    <row r="323" spans="1:13">
      <c r="A323">
        <v>27</v>
      </c>
      <c r="B323">
        <v>27</v>
      </c>
      <c r="C323" s="21">
        <f>EDATE(参数设置!$B$4,A323-1)</f>
        <v>47036</v>
      </c>
      <c r="D323" s="14">
        <f>IF(AND(A323&lt;=参数设置!$B$6,OR(INDEX(月度资金流!$B$7:$B$42,A323)="策略一：消费贷款+买基金",INDEX(月度资金流!$B$7:$B$42,A323)="策略二：新贷偿还旧贷")),参数设置!$B$5,0)</f>
        <v>0</v>
      </c>
      <c r="E323">
        <v>8</v>
      </c>
      <c r="F323" s="21">
        <f t="shared" si="16"/>
        <v>47274</v>
      </c>
      <c r="G323" s="21">
        <f>IF(E323&lt;参数设置!$B$14,DATE(YEAR(EDATE(C323,E323+1)),MONTH(EDATE(C323,E323+1)),参数设置!$B$15),EDATE(C323,参数设置!$B$14))</f>
        <v>47304</v>
      </c>
      <c r="H323">
        <f t="shared" si="17"/>
        <v>30</v>
      </c>
      <c r="I323" s="14">
        <f>IF(E323=参数设置!$B$14,D323,0)</f>
        <v>0</v>
      </c>
      <c r="J323" s="14">
        <f>IF(M323=1,ROUND(D323*参数设置!$B$12*H323/参数设置!$B$13,参数设置!$B$16),0)</f>
        <v>0</v>
      </c>
      <c r="K323" s="14">
        <f t="shared" si="18"/>
        <v>0</v>
      </c>
      <c r="L323" s="21">
        <f>EDATE(C323,参数设置!$B$14)</f>
        <v>47401</v>
      </c>
      <c r="M323">
        <f t="shared" si="19"/>
        <v>0</v>
      </c>
    </row>
    <row r="324" spans="1:13">
      <c r="A324">
        <v>27</v>
      </c>
      <c r="B324">
        <v>27</v>
      </c>
      <c r="C324" s="21">
        <f>EDATE(参数设置!$B$4,A324-1)</f>
        <v>47036</v>
      </c>
      <c r="D324" s="14">
        <f>IF(AND(A324&lt;=参数设置!$B$6,OR(INDEX(月度资金流!$B$7:$B$42,A324)="策略一：消费贷款+买基金",INDEX(月度资金流!$B$7:$B$42,A324)="策略二：新贷偿还旧贷")),参数设置!$B$5,0)</f>
        <v>0</v>
      </c>
      <c r="E324">
        <v>9</v>
      </c>
      <c r="F324" s="21">
        <f t="shared" ref="F324:F387" si="20">IF(E324=1,C324,G323)</f>
        <v>47304</v>
      </c>
      <c r="G324" s="21">
        <f>IF(E324&lt;参数设置!$B$14,DATE(YEAR(EDATE(C324,E324+1)),MONTH(EDATE(C324,E324+1)),参数设置!$B$15),EDATE(C324,参数设置!$B$14))</f>
        <v>47335</v>
      </c>
      <c r="H324">
        <f t="shared" ref="H324:H387" si="21">G324-F324</f>
        <v>31</v>
      </c>
      <c r="I324" s="14">
        <f>IF(E324=参数设置!$B$14,D324,0)</f>
        <v>0</v>
      </c>
      <c r="J324" s="14">
        <f>IF(M324=1,ROUND(D324*参数设置!$B$12*H324/参数设置!$B$13,参数设置!$B$16),0)</f>
        <v>0</v>
      </c>
      <c r="K324" s="14">
        <f t="shared" ref="K324:K387" si="22">I324+J324</f>
        <v>0</v>
      </c>
      <c r="L324" s="21">
        <f>EDATE(C324,参数设置!$B$14)</f>
        <v>47401</v>
      </c>
      <c r="M324">
        <f t="shared" ref="M324:M387" si="23">--(D324&gt;0)</f>
        <v>0</v>
      </c>
    </row>
    <row r="325" spans="1:13">
      <c r="A325">
        <v>27</v>
      </c>
      <c r="B325">
        <v>27</v>
      </c>
      <c r="C325" s="21">
        <f>EDATE(参数设置!$B$4,A325-1)</f>
        <v>47036</v>
      </c>
      <c r="D325" s="14">
        <f>IF(AND(A325&lt;=参数设置!$B$6,OR(INDEX(月度资金流!$B$7:$B$42,A325)="策略一：消费贷款+买基金",INDEX(月度资金流!$B$7:$B$42,A325)="策略二：新贷偿还旧贷")),参数设置!$B$5,0)</f>
        <v>0</v>
      </c>
      <c r="E325">
        <v>10</v>
      </c>
      <c r="F325" s="21">
        <f t="shared" si="20"/>
        <v>47335</v>
      </c>
      <c r="G325" s="21">
        <f>IF(E325&lt;参数设置!$B$14,DATE(YEAR(EDATE(C325,E325+1)),MONTH(EDATE(C325,E325+1)),参数设置!$B$15),EDATE(C325,参数设置!$B$14))</f>
        <v>47366</v>
      </c>
      <c r="H325">
        <f t="shared" si="21"/>
        <v>31</v>
      </c>
      <c r="I325" s="14">
        <f>IF(E325=参数设置!$B$14,D325,0)</f>
        <v>0</v>
      </c>
      <c r="J325" s="14">
        <f>IF(M325=1,ROUND(D325*参数设置!$B$12*H325/参数设置!$B$13,参数设置!$B$16),0)</f>
        <v>0</v>
      </c>
      <c r="K325" s="14">
        <f t="shared" si="22"/>
        <v>0</v>
      </c>
      <c r="L325" s="21">
        <f>EDATE(C325,参数设置!$B$14)</f>
        <v>47401</v>
      </c>
      <c r="M325">
        <f t="shared" si="23"/>
        <v>0</v>
      </c>
    </row>
    <row r="326" spans="1:13">
      <c r="A326">
        <v>27</v>
      </c>
      <c r="B326">
        <v>27</v>
      </c>
      <c r="C326" s="21">
        <f>EDATE(参数设置!$B$4,A326-1)</f>
        <v>47036</v>
      </c>
      <c r="D326" s="14">
        <f>IF(AND(A326&lt;=参数设置!$B$6,OR(INDEX(月度资金流!$B$7:$B$42,A326)="策略一：消费贷款+买基金",INDEX(月度资金流!$B$7:$B$42,A326)="策略二：新贷偿还旧贷")),参数设置!$B$5,0)</f>
        <v>0</v>
      </c>
      <c r="E326">
        <v>11</v>
      </c>
      <c r="F326" s="21">
        <f t="shared" si="20"/>
        <v>47366</v>
      </c>
      <c r="G326" s="21">
        <f>IF(E326&lt;参数设置!$B$14,DATE(YEAR(EDATE(C326,E326+1)),MONTH(EDATE(C326,E326+1)),参数设置!$B$15),EDATE(C326,参数设置!$B$14))</f>
        <v>47396</v>
      </c>
      <c r="H326">
        <f t="shared" si="21"/>
        <v>30</v>
      </c>
      <c r="I326" s="14">
        <f>IF(E326=参数设置!$B$14,D326,0)</f>
        <v>0</v>
      </c>
      <c r="J326" s="14">
        <f>IF(M326=1,ROUND(D326*参数设置!$B$12*H326/参数设置!$B$13,参数设置!$B$16),0)</f>
        <v>0</v>
      </c>
      <c r="K326" s="14">
        <f t="shared" si="22"/>
        <v>0</v>
      </c>
      <c r="L326" s="21">
        <f>EDATE(C326,参数设置!$B$14)</f>
        <v>47401</v>
      </c>
      <c r="M326">
        <f t="shared" si="23"/>
        <v>0</v>
      </c>
    </row>
    <row r="327" spans="1:13">
      <c r="A327">
        <v>27</v>
      </c>
      <c r="B327">
        <v>27</v>
      </c>
      <c r="C327" s="21">
        <f>EDATE(参数设置!$B$4,A327-1)</f>
        <v>47036</v>
      </c>
      <c r="D327" s="14">
        <f>IF(AND(A327&lt;=参数设置!$B$6,OR(INDEX(月度资金流!$B$7:$B$42,A327)="策略一：消费贷款+买基金",INDEX(月度资金流!$B$7:$B$42,A327)="策略二：新贷偿还旧贷")),参数设置!$B$5,0)</f>
        <v>0</v>
      </c>
      <c r="E327">
        <v>12</v>
      </c>
      <c r="F327" s="21">
        <f t="shared" si="20"/>
        <v>47396</v>
      </c>
      <c r="G327" s="21">
        <f>IF(E327&lt;参数设置!$B$14,DATE(YEAR(EDATE(C327,E327+1)),MONTH(EDATE(C327,E327+1)),参数设置!$B$15),EDATE(C327,参数设置!$B$14))</f>
        <v>47401</v>
      </c>
      <c r="H327">
        <f t="shared" si="21"/>
        <v>5</v>
      </c>
      <c r="I327" s="14">
        <f>IF(E327=参数设置!$B$14,D327,0)</f>
        <v>0</v>
      </c>
      <c r="J327" s="14">
        <f>IF(M327=1,ROUND(D327*参数设置!$B$12*H327/参数设置!$B$13,参数设置!$B$16),0)</f>
        <v>0</v>
      </c>
      <c r="K327" s="14">
        <f t="shared" si="22"/>
        <v>0</v>
      </c>
      <c r="L327" s="21">
        <f>EDATE(C327,参数设置!$B$14)</f>
        <v>47401</v>
      </c>
      <c r="M327">
        <f t="shared" si="23"/>
        <v>0</v>
      </c>
    </row>
    <row r="328" spans="1:13">
      <c r="A328">
        <v>28</v>
      </c>
      <c r="B328">
        <v>28</v>
      </c>
      <c r="C328" s="21">
        <f>EDATE(参数设置!$B$4,A328-1)</f>
        <v>47067</v>
      </c>
      <c r="D328" s="14">
        <f>IF(AND(A328&lt;=参数设置!$B$6,OR(INDEX(月度资金流!$B$7:$B$42,A328)="策略一：消费贷款+买基金",INDEX(月度资金流!$B$7:$B$42,A328)="策略二：新贷偿还旧贷")),参数设置!$B$5,0)</f>
        <v>0</v>
      </c>
      <c r="E328">
        <v>1</v>
      </c>
      <c r="F328" s="21">
        <f t="shared" si="20"/>
        <v>47067</v>
      </c>
      <c r="G328" s="21">
        <f>IF(E328&lt;参数设置!$B$14,DATE(YEAR(EDATE(C328,E328+1)),MONTH(EDATE(C328,E328+1)),参数设置!$B$15),EDATE(C328,参数设置!$B$14))</f>
        <v>47123</v>
      </c>
      <c r="H328">
        <f t="shared" si="21"/>
        <v>56</v>
      </c>
      <c r="I328" s="14">
        <f>IF(E328=参数设置!$B$14,D328,0)</f>
        <v>0</v>
      </c>
      <c r="J328" s="14">
        <f>IF(M328=1,ROUND(D328*参数设置!$B$12*H328/参数设置!$B$13,参数设置!$B$16),0)</f>
        <v>0</v>
      </c>
      <c r="K328" s="14">
        <f t="shared" si="22"/>
        <v>0</v>
      </c>
      <c r="L328" s="21">
        <f>EDATE(C328,参数设置!$B$14)</f>
        <v>47432</v>
      </c>
      <c r="M328">
        <f t="shared" si="23"/>
        <v>0</v>
      </c>
    </row>
    <row r="329" spans="1:13">
      <c r="A329">
        <v>28</v>
      </c>
      <c r="B329">
        <v>28</v>
      </c>
      <c r="C329" s="21">
        <f>EDATE(参数设置!$B$4,A329-1)</f>
        <v>47067</v>
      </c>
      <c r="D329" s="14">
        <f>IF(AND(A329&lt;=参数设置!$B$6,OR(INDEX(月度资金流!$B$7:$B$42,A329)="策略一：消费贷款+买基金",INDEX(月度资金流!$B$7:$B$42,A329)="策略二：新贷偿还旧贷")),参数设置!$B$5,0)</f>
        <v>0</v>
      </c>
      <c r="E329">
        <v>2</v>
      </c>
      <c r="F329" s="21">
        <f t="shared" si="20"/>
        <v>47123</v>
      </c>
      <c r="G329" s="21">
        <f>IF(E329&lt;参数设置!$B$14,DATE(YEAR(EDATE(C329,E329+1)),MONTH(EDATE(C329,E329+1)),参数设置!$B$15),EDATE(C329,参数设置!$B$14))</f>
        <v>47154</v>
      </c>
      <c r="H329">
        <f t="shared" si="21"/>
        <v>31</v>
      </c>
      <c r="I329" s="14">
        <f>IF(E329=参数设置!$B$14,D329,0)</f>
        <v>0</v>
      </c>
      <c r="J329" s="14">
        <f>IF(M329=1,ROUND(D329*参数设置!$B$12*H329/参数设置!$B$13,参数设置!$B$16),0)</f>
        <v>0</v>
      </c>
      <c r="K329" s="14">
        <f t="shared" si="22"/>
        <v>0</v>
      </c>
      <c r="L329" s="21">
        <f>EDATE(C329,参数设置!$B$14)</f>
        <v>47432</v>
      </c>
      <c r="M329">
        <f t="shared" si="23"/>
        <v>0</v>
      </c>
    </row>
    <row r="330" spans="1:13">
      <c r="A330">
        <v>28</v>
      </c>
      <c r="B330">
        <v>28</v>
      </c>
      <c r="C330" s="21">
        <f>EDATE(参数设置!$B$4,A330-1)</f>
        <v>47067</v>
      </c>
      <c r="D330" s="14">
        <f>IF(AND(A330&lt;=参数设置!$B$6,OR(INDEX(月度资金流!$B$7:$B$42,A330)="策略一：消费贷款+买基金",INDEX(月度资金流!$B$7:$B$42,A330)="策略二：新贷偿还旧贷")),参数设置!$B$5,0)</f>
        <v>0</v>
      </c>
      <c r="E330">
        <v>3</v>
      </c>
      <c r="F330" s="21">
        <f t="shared" si="20"/>
        <v>47154</v>
      </c>
      <c r="G330" s="21">
        <f>IF(E330&lt;参数设置!$B$14,DATE(YEAR(EDATE(C330,E330+1)),MONTH(EDATE(C330,E330+1)),参数设置!$B$15),EDATE(C330,参数设置!$B$14))</f>
        <v>47182</v>
      </c>
      <c r="H330">
        <f t="shared" si="21"/>
        <v>28</v>
      </c>
      <c r="I330" s="14">
        <f>IF(E330=参数设置!$B$14,D330,0)</f>
        <v>0</v>
      </c>
      <c r="J330" s="14">
        <f>IF(M330=1,ROUND(D330*参数设置!$B$12*H330/参数设置!$B$13,参数设置!$B$16),0)</f>
        <v>0</v>
      </c>
      <c r="K330" s="14">
        <f t="shared" si="22"/>
        <v>0</v>
      </c>
      <c r="L330" s="21">
        <f>EDATE(C330,参数设置!$B$14)</f>
        <v>47432</v>
      </c>
      <c r="M330">
        <f t="shared" si="23"/>
        <v>0</v>
      </c>
    </row>
    <row r="331" spans="1:13">
      <c r="A331">
        <v>28</v>
      </c>
      <c r="B331">
        <v>28</v>
      </c>
      <c r="C331" s="21">
        <f>EDATE(参数设置!$B$4,A331-1)</f>
        <v>47067</v>
      </c>
      <c r="D331" s="14">
        <f>IF(AND(A331&lt;=参数设置!$B$6,OR(INDEX(月度资金流!$B$7:$B$42,A331)="策略一：消费贷款+买基金",INDEX(月度资金流!$B$7:$B$42,A331)="策略二：新贷偿还旧贷")),参数设置!$B$5,0)</f>
        <v>0</v>
      </c>
      <c r="E331">
        <v>4</v>
      </c>
      <c r="F331" s="21">
        <f t="shared" si="20"/>
        <v>47182</v>
      </c>
      <c r="G331" s="21">
        <f>IF(E331&lt;参数设置!$B$14,DATE(YEAR(EDATE(C331,E331+1)),MONTH(EDATE(C331,E331+1)),参数设置!$B$15),EDATE(C331,参数设置!$B$14))</f>
        <v>47213</v>
      </c>
      <c r="H331">
        <f t="shared" si="21"/>
        <v>31</v>
      </c>
      <c r="I331" s="14">
        <f>IF(E331=参数设置!$B$14,D331,0)</f>
        <v>0</v>
      </c>
      <c r="J331" s="14">
        <f>IF(M331=1,ROUND(D331*参数设置!$B$12*H331/参数设置!$B$13,参数设置!$B$16),0)</f>
        <v>0</v>
      </c>
      <c r="K331" s="14">
        <f t="shared" si="22"/>
        <v>0</v>
      </c>
      <c r="L331" s="21">
        <f>EDATE(C331,参数设置!$B$14)</f>
        <v>47432</v>
      </c>
      <c r="M331">
        <f t="shared" si="23"/>
        <v>0</v>
      </c>
    </row>
    <row r="332" spans="1:13">
      <c r="A332">
        <v>28</v>
      </c>
      <c r="B332">
        <v>28</v>
      </c>
      <c r="C332" s="21">
        <f>EDATE(参数设置!$B$4,A332-1)</f>
        <v>47067</v>
      </c>
      <c r="D332" s="14">
        <f>IF(AND(A332&lt;=参数设置!$B$6,OR(INDEX(月度资金流!$B$7:$B$42,A332)="策略一：消费贷款+买基金",INDEX(月度资金流!$B$7:$B$42,A332)="策略二：新贷偿还旧贷")),参数设置!$B$5,0)</f>
        <v>0</v>
      </c>
      <c r="E332">
        <v>5</v>
      </c>
      <c r="F332" s="21">
        <f t="shared" si="20"/>
        <v>47213</v>
      </c>
      <c r="G332" s="21">
        <f>IF(E332&lt;参数设置!$B$14,DATE(YEAR(EDATE(C332,E332+1)),MONTH(EDATE(C332,E332+1)),参数设置!$B$15),EDATE(C332,参数设置!$B$14))</f>
        <v>47243</v>
      </c>
      <c r="H332">
        <f t="shared" si="21"/>
        <v>30</v>
      </c>
      <c r="I332" s="14">
        <f>IF(E332=参数设置!$B$14,D332,0)</f>
        <v>0</v>
      </c>
      <c r="J332" s="14">
        <f>IF(M332=1,ROUND(D332*参数设置!$B$12*H332/参数设置!$B$13,参数设置!$B$16),0)</f>
        <v>0</v>
      </c>
      <c r="K332" s="14">
        <f t="shared" si="22"/>
        <v>0</v>
      </c>
      <c r="L332" s="21">
        <f>EDATE(C332,参数设置!$B$14)</f>
        <v>47432</v>
      </c>
      <c r="M332">
        <f t="shared" si="23"/>
        <v>0</v>
      </c>
    </row>
    <row r="333" spans="1:13">
      <c r="A333">
        <v>28</v>
      </c>
      <c r="B333">
        <v>28</v>
      </c>
      <c r="C333" s="21">
        <f>EDATE(参数设置!$B$4,A333-1)</f>
        <v>47067</v>
      </c>
      <c r="D333" s="14">
        <f>IF(AND(A333&lt;=参数设置!$B$6,OR(INDEX(月度资金流!$B$7:$B$42,A333)="策略一：消费贷款+买基金",INDEX(月度资金流!$B$7:$B$42,A333)="策略二：新贷偿还旧贷")),参数设置!$B$5,0)</f>
        <v>0</v>
      </c>
      <c r="E333">
        <v>6</v>
      </c>
      <c r="F333" s="21">
        <f t="shared" si="20"/>
        <v>47243</v>
      </c>
      <c r="G333" s="21">
        <f>IF(E333&lt;参数设置!$B$14,DATE(YEAR(EDATE(C333,E333+1)),MONTH(EDATE(C333,E333+1)),参数设置!$B$15),EDATE(C333,参数设置!$B$14))</f>
        <v>47274</v>
      </c>
      <c r="H333">
        <f t="shared" si="21"/>
        <v>31</v>
      </c>
      <c r="I333" s="14">
        <f>IF(E333=参数设置!$B$14,D333,0)</f>
        <v>0</v>
      </c>
      <c r="J333" s="14">
        <f>IF(M333=1,ROUND(D333*参数设置!$B$12*H333/参数设置!$B$13,参数设置!$B$16),0)</f>
        <v>0</v>
      </c>
      <c r="K333" s="14">
        <f t="shared" si="22"/>
        <v>0</v>
      </c>
      <c r="L333" s="21">
        <f>EDATE(C333,参数设置!$B$14)</f>
        <v>47432</v>
      </c>
      <c r="M333">
        <f t="shared" si="23"/>
        <v>0</v>
      </c>
    </row>
    <row r="334" spans="1:13">
      <c r="A334">
        <v>28</v>
      </c>
      <c r="B334">
        <v>28</v>
      </c>
      <c r="C334" s="21">
        <f>EDATE(参数设置!$B$4,A334-1)</f>
        <v>47067</v>
      </c>
      <c r="D334" s="14">
        <f>IF(AND(A334&lt;=参数设置!$B$6,OR(INDEX(月度资金流!$B$7:$B$42,A334)="策略一：消费贷款+买基金",INDEX(月度资金流!$B$7:$B$42,A334)="策略二：新贷偿还旧贷")),参数设置!$B$5,0)</f>
        <v>0</v>
      </c>
      <c r="E334">
        <v>7</v>
      </c>
      <c r="F334" s="21">
        <f t="shared" si="20"/>
        <v>47274</v>
      </c>
      <c r="G334" s="21">
        <f>IF(E334&lt;参数设置!$B$14,DATE(YEAR(EDATE(C334,E334+1)),MONTH(EDATE(C334,E334+1)),参数设置!$B$15),EDATE(C334,参数设置!$B$14))</f>
        <v>47304</v>
      </c>
      <c r="H334">
        <f t="shared" si="21"/>
        <v>30</v>
      </c>
      <c r="I334" s="14">
        <f>IF(E334=参数设置!$B$14,D334,0)</f>
        <v>0</v>
      </c>
      <c r="J334" s="14">
        <f>IF(M334=1,ROUND(D334*参数设置!$B$12*H334/参数设置!$B$13,参数设置!$B$16),0)</f>
        <v>0</v>
      </c>
      <c r="K334" s="14">
        <f t="shared" si="22"/>
        <v>0</v>
      </c>
      <c r="L334" s="21">
        <f>EDATE(C334,参数设置!$B$14)</f>
        <v>47432</v>
      </c>
      <c r="M334">
        <f t="shared" si="23"/>
        <v>0</v>
      </c>
    </row>
    <row r="335" spans="1:13">
      <c r="A335">
        <v>28</v>
      </c>
      <c r="B335">
        <v>28</v>
      </c>
      <c r="C335" s="21">
        <f>EDATE(参数设置!$B$4,A335-1)</f>
        <v>47067</v>
      </c>
      <c r="D335" s="14">
        <f>IF(AND(A335&lt;=参数设置!$B$6,OR(INDEX(月度资金流!$B$7:$B$42,A335)="策略一：消费贷款+买基金",INDEX(月度资金流!$B$7:$B$42,A335)="策略二：新贷偿还旧贷")),参数设置!$B$5,0)</f>
        <v>0</v>
      </c>
      <c r="E335">
        <v>8</v>
      </c>
      <c r="F335" s="21">
        <f t="shared" si="20"/>
        <v>47304</v>
      </c>
      <c r="G335" s="21">
        <f>IF(E335&lt;参数设置!$B$14,DATE(YEAR(EDATE(C335,E335+1)),MONTH(EDATE(C335,E335+1)),参数设置!$B$15),EDATE(C335,参数设置!$B$14))</f>
        <v>47335</v>
      </c>
      <c r="H335">
        <f t="shared" si="21"/>
        <v>31</v>
      </c>
      <c r="I335" s="14">
        <f>IF(E335=参数设置!$B$14,D335,0)</f>
        <v>0</v>
      </c>
      <c r="J335" s="14">
        <f>IF(M335=1,ROUND(D335*参数设置!$B$12*H335/参数设置!$B$13,参数设置!$B$16),0)</f>
        <v>0</v>
      </c>
      <c r="K335" s="14">
        <f t="shared" si="22"/>
        <v>0</v>
      </c>
      <c r="L335" s="21">
        <f>EDATE(C335,参数设置!$B$14)</f>
        <v>47432</v>
      </c>
      <c r="M335">
        <f t="shared" si="23"/>
        <v>0</v>
      </c>
    </row>
    <row r="336" spans="1:13">
      <c r="A336">
        <v>28</v>
      </c>
      <c r="B336">
        <v>28</v>
      </c>
      <c r="C336" s="21">
        <f>EDATE(参数设置!$B$4,A336-1)</f>
        <v>47067</v>
      </c>
      <c r="D336" s="14">
        <f>IF(AND(A336&lt;=参数设置!$B$6,OR(INDEX(月度资金流!$B$7:$B$42,A336)="策略一：消费贷款+买基金",INDEX(月度资金流!$B$7:$B$42,A336)="策略二：新贷偿还旧贷")),参数设置!$B$5,0)</f>
        <v>0</v>
      </c>
      <c r="E336">
        <v>9</v>
      </c>
      <c r="F336" s="21">
        <f t="shared" si="20"/>
        <v>47335</v>
      </c>
      <c r="G336" s="21">
        <f>IF(E336&lt;参数设置!$B$14,DATE(YEAR(EDATE(C336,E336+1)),MONTH(EDATE(C336,E336+1)),参数设置!$B$15),EDATE(C336,参数设置!$B$14))</f>
        <v>47366</v>
      </c>
      <c r="H336">
        <f t="shared" si="21"/>
        <v>31</v>
      </c>
      <c r="I336" s="14">
        <f>IF(E336=参数设置!$B$14,D336,0)</f>
        <v>0</v>
      </c>
      <c r="J336" s="14">
        <f>IF(M336=1,ROUND(D336*参数设置!$B$12*H336/参数设置!$B$13,参数设置!$B$16),0)</f>
        <v>0</v>
      </c>
      <c r="K336" s="14">
        <f t="shared" si="22"/>
        <v>0</v>
      </c>
      <c r="L336" s="21">
        <f>EDATE(C336,参数设置!$B$14)</f>
        <v>47432</v>
      </c>
      <c r="M336">
        <f t="shared" si="23"/>
        <v>0</v>
      </c>
    </row>
    <row r="337" spans="1:13">
      <c r="A337">
        <v>28</v>
      </c>
      <c r="B337">
        <v>28</v>
      </c>
      <c r="C337" s="21">
        <f>EDATE(参数设置!$B$4,A337-1)</f>
        <v>47067</v>
      </c>
      <c r="D337" s="14">
        <f>IF(AND(A337&lt;=参数设置!$B$6,OR(INDEX(月度资金流!$B$7:$B$42,A337)="策略一：消费贷款+买基金",INDEX(月度资金流!$B$7:$B$42,A337)="策略二：新贷偿还旧贷")),参数设置!$B$5,0)</f>
        <v>0</v>
      </c>
      <c r="E337">
        <v>10</v>
      </c>
      <c r="F337" s="21">
        <f t="shared" si="20"/>
        <v>47366</v>
      </c>
      <c r="G337" s="21">
        <f>IF(E337&lt;参数设置!$B$14,DATE(YEAR(EDATE(C337,E337+1)),MONTH(EDATE(C337,E337+1)),参数设置!$B$15),EDATE(C337,参数设置!$B$14))</f>
        <v>47396</v>
      </c>
      <c r="H337">
        <f t="shared" si="21"/>
        <v>30</v>
      </c>
      <c r="I337" s="14">
        <f>IF(E337=参数设置!$B$14,D337,0)</f>
        <v>0</v>
      </c>
      <c r="J337" s="14">
        <f>IF(M337=1,ROUND(D337*参数设置!$B$12*H337/参数设置!$B$13,参数设置!$B$16),0)</f>
        <v>0</v>
      </c>
      <c r="K337" s="14">
        <f t="shared" si="22"/>
        <v>0</v>
      </c>
      <c r="L337" s="21">
        <f>EDATE(C337,参数设置!$B$14)</f>
        <v>47432</v>
      </c>
      <c r="M337">
        <f t="shared" si="23"/>
        <v>0</v>
      </c>
    </row>
    <row r="338" spans="1:13">
      <c r="A338">
        <v>28</v>
      </c>
      <c r="B338">
        <v>28</v>
      </c>
      <c r="C338" s="21">
        <f>EDATE(参数设置!$B$4,A338-1)</f>
        <v>47067</v>
      </c>
      <c r="D338" s="14">
        <f>IF(AND(A338&lt;=参数设置!$B$6,OR(INDEX(月度资金流!$B$7:$B$42,A338)="策略一：消费贷款+买基金",INDEX(月度资金流!$B$7:$B$42,A338)="策略二：新贷偿还旧贷")),参数设置!$B$5,0)</f>
        <v>0</v>
      </c>
      <c r="E338">
        <v>11</v>
      </c>
      <c r="F338" s="21">
        <f t="shared" si="20"/>
        <v>47396</v>
      </c>
      <c r="G338" s="21">
        <f>IF(E338&lt;参数设置!$B$14,DATE(YEAR(EDATE(C338,E338+1)),MONTH(EDATE(C338,E338+1)),参数设置!$B$15),EDATE(C338,参数设置!$B$14))</f>
        <v>47427</v>
      </c>
      <c r="H338">
        <f t="shared" si="21"/>
        <v>31</v>
      </c>
      <c r="I338" s="14">
        <f>IF(E338=参数设置!$B$14,D338,0)</f>
        <v>0</v>
      </c>
      <c r="J338" s="14">
        <f>IF(M338=1,ROUND(D338*参数设置!$B$12*H338/参数设置!$B$13,参数设置!$B$16),0)</f>
        <v>0</v>
      </c>
      <c r="K338" s="14">
        <f t="shared" si="22"/>
        <v>0</v>
      </c>
      <c r="L338" s="21">
        <f>EDATE(C338,参数设置!$B$14)</f>
        <v>47432</v>
      </c>
      <c r="M338">
        <f t="shared" si="23"/>
        <v>0</v>
      </c>
    </row>
    <row r="339" spans="1:13">
      <c r="A339">
        <v>28</v>
      </c>
      <c r="B339">
        <v>28</v>
      </c>
      <c r="C339" s="21">
        <f>EDATE(参数设置!$B$4,A339-1)</f>
        <v>47067</v>
      </c>
      <c r="D339" s="14">
        <f>IF(AND(A339&lt;=参数设置!$B$6,OR(INDEX(月度资金流!$B$7:$B$42,A339)="策略一：消费贷款+买基金",INDEX(月度资金流!$B$7:$B$42,A339)="策略二：新贷偿还旧贷")),参数设置!$B$5,0)</f>
        <v>0</v>
      </c>
      <c r="E339">
        <v>12</v>
      </c>
      <c r="F339" s="21">
        <f t="shared" si="20"/>
        <v>47427</v>
      </c>
      <c r="G339" s="21">
        <f>IF(E339&lt;参数设置!$B$14,DATE(YEAR(EDATE(C339,E339+1)),MONTH(EDATE(C339,E339+1)),参数设置!$B$15),EDATE(C339,参数设置!$B$14))</f>
        <v>47432</v>
      </c>
      <c r="H339">
        <f t="shared" si="21"/>
        <v>5</v>
      </c>
      <c r="I339" s="14">
        <f>IF(E339=参数设置!$B$14,D339,0)</f>
        <v>0</v>
      </c>
      <c r="J339" s="14">
        <f>IF(M339=1,ROUND(D339*参数设置!$B$12*H339/参数设置!$B$13,参数设置!$B$16),0)</f>
        <v>0</v>
      </c>
      <c r="K339" s="14">
        <f t="shared" si="22"/>
        <v>0</v>
      </c>
      <c r="L339" s="21">
        <f>EDATE(C339,参数设置!$B$14)</f>
        <v>47432</v>
      </c>
      <c r="M339">
        <f t="shared" si="23"/>
        <v>0</v>
      </c>
    </row>
    <row r="340" spans="1:13">
      <c r="A340">
        <v>29</v>
      </c>
      <c r="B340">
        <v>29</v>
      </c>
      <c r="C340" s="21">
        <f>EDATE(参数设置!$B$4,A340-1)</f>
        <v>47097</v>
      </c>
      <c r="D340" s="14">
        <f>IF(AND(A340&lt;=参数设置!$B$6,OR(INDEX(月度资金流!$B$7:$B$42,A340)="策略一：消费贷款+买基金",INDEX(月度资金流!$B$7:$B$42,A340)="策略二：新贷偿还旧贷")),参数设置!$B$5,0)</f>
        <v>0</v>
      </c>
      <c r="E340">
        <v>1</v>
      </c>
      <c r="F340" s="21">
        <f t="shared" si="20"/>
        <v>47097</v>
      </c>
      <c r="G340" s="21">
        <f>IF(E340&lt;参数设置!$B$14,DATE(YEAR(EDATE(C340,E340+1)),MONTH(EDATE(C340,E340+1)),参数设置!$B$15),EDATE(C340,参数设置!$B$14))</f>
        <v>47154</v>
      </c>
      <c r="H340">
        <f t="shared" si="21"/>
        <v>57</v>
      </c>
      <c r="I340" s="14">
        <f>IF(E340=参数设置!$B$14,D340,0)</f>
        <v>0</v>
      </c>
      <c r="J340" s="14">
        <f>IF(M340=1,ROUND(D340*参数设置!$B$12*H340/参数设置!$B$13,参数设置!$B$16),0)</f>
        <v>0</v>
      </c>
      <c r="K340" s="14">
        <f t="shared" si="22"/>
        <v>0</v>
      </c>
      <c r="L340" s="21">
        <f>EDATE(C340,参数设置!$B$14)</f>
        <v>47462</v>
      </c>
      <c r="M340">
        <f t="shared" si="23"/>
        <v>0</v>
      </c>
    </row>
    <row r="341" spans="1:13">
      <c r="A341">
        <v>29</v>
      </c>
      <c r="B341">
        <v>29</v>
      </c>
      <c r="C341" s="21">
        <f>EDATE(参数设置!$B$4,A341-1)</f>
        <v>47097</v>
      </c>
      <c r="D341" s="14">
        <f>IF(AND(A341&lt;=参数设置!$B$6,OR(INDEX(月度资金流!$B$7:$B$42,A341)="策略一：消费贷款+买基金",INDEX(月度资金流!$B$7:$B$42,A341)="策略二：新贷偿还旧贷")),参数设置!$B$5,0)</f>
        <v>0</v>
      </c>
      <c r="E341">
        <v>2</v>
      </c>
      <c r="F341" s="21">
        <f t="shared" si="20"/>
        <v>47154</v>
      </c>
      <c r="G341" s="21">
        <f>IF(E341&lt;参数设置!$B$14,DATE(YEAR(EDATE(C341,E341+1)),MONTH(EDATE(C341,E341+1)),参数设置!$B$15),EDATE(C341,参数设置!$B$14))</f>
        <v>47182</v>
      </c>
      <c r="H341">
        <f t="shared" si="21"/>
        <v>28</v>
      </c>
      <c r="I341" s="14">
        <f>IF(E341=参数设置!$B$14,D341,0)</f>
        <v>0</v>
      </c>
      <c r="J341" s="14">
        <f>IF(M341=1,ROUND(D341*参数设置!$B$12*H341/参数设置!$B$13,参数设置!$B$16),0)</f>
        <v>0</v>
      </c>
      <c r="K341" s="14">
        <f t="shared" si="22"/>
        <v>0</v>
      </c>
      <c r="L341" s="21">
        <f>EDATE(C341,参数设置!$B$14)</f>
        <v>47462</v>
      </c>
      <c r="M341">
        <f t="shared" si="23"/>
        <v>0</v>
      </c>
    </row>
    <row r="342" spans="1:13">
      <c r="A342">
        <v>29</v>
      </c>
      <c r="B342">
        <v>29</v>
      </c>
      <c r="C342" s="21">
        <f>EDATE(参数设置!$B$4,A342-1)</f>
        <v>47097</v>
      </c>
      <c r="D342" s="14">
        <f>IF(AND(A342&lt;=参数设置!$B$6,OR(INDEX(月度资金流!$B$7:$B$42,A342)="策略一：消费贷款+买基金",INDEX(月度资金流!$B$7:$B$42,A342)="策略二：新贷偿还旧贷")),参数设置!$B$5,0)</f>
        <v>0</v>
      </c>
      <c r="E342">
        <v>3</v>
      </c>
      <c r="F342" s="21">
        <f t="shared" si="20"/>
        <v>47182</v>
      </c>
      <c r="G342" s="21">
        <f>IF(E342&lt;参数设置!$B$14,DATE(YEAR(EDATE(C342,E342+1)),MONTH(EDATE(C342,E342+1)),参数设置!$B$15),EDATE(C342,参数设置!$B$14))</f>
        <v>47213</v>
      </c>
      <c r="H342">
        <f t="shared" si="21"/>
        <v>31</v>
      </c>
      <c r="I342" s="14">
        <f>IF(E342=参数设置!$B$14,D342,0)</f>
        <v>0</v>
      </c>
      <c r="J342" s="14">
        <f>IF(M342=1,ROUND(D342*参数设置!$B$12*H342/参数设置!$B$13,参数设置!$B$16),0)</f>
        <v>0</v>
      </c>
      <c r="K342" s="14">
        <f t="shared" si="22"/>
        <v>0</v>
      </c>
      <c r="L342" s="21">
        <f>EDATE(C342,参数设置!$B$14)</f>
        <v>47462</v>
      </c>
      <c r="M342">
        <f t="shared" si="23"/>
        <v>0</v>
      </c>
    </row>
    <row r="343" spans="1:13">
      <c r="A343">
        <v>29</v>
      </c>
      <c r="B343">
        <v>29</v>
      </c>
      <c r="C343" s="21">
        <f>EDATE(参数设置!$B$4,A343-1)</f>
        <v>47097</v>
      </c>
      <c r="D343" s="14">
        <f>IF(AND(A343&lt;=参数设置!$B$6,OR(INDEX(月度资金流!$B$7:$B$42,A343)="策略一：消费贷款+买基金",INDEX(月度资金流!$B$7:$B$42,A343)="策略二：新贷偿还旧贷")),参数设置!$B$5,0)</f>
        <v>0</v>
      </c>
      <c r="E343">
        <v>4</v>
      </c>
      <c r="F343" s="21">
        <f t="shared" si="20"/>
        <v>47213</v>
      </c>
      <c r="G343" s="21">
        <f>IF(E343&lt;参数设置!$B$14,DATE(YEAR(EDATE(C343,E343+1)),MONTH(EDATE(C343,E343+1)),参数设置!$B$15),EDATE(C343,参数设置!$B$14))</f>
        <v>47243</v>
      </c>
      <c r="H343">
        <f t="shared" si="21"/>
        <v>30</v>
      </c>
      <c r="I343" s="14">
        <f>IF(E343=参数设置!$B$14,D343,0)</f>
        <v>0</v>
      </c>
      <c r="J343" s="14">
        <f>IF(M343=1,ROUND(D343*参数设置!$B$12*H343/参数设置!$B$13,参数设置!$B$16),0)</f>
        <v>0</v>
      </c>
      <c r="K343" s="14">
        <f t="shared" si="22"/>
        <v>0</v>
      </c>
      <c r="L343" s="21">
        <f>EDATE(C343,参数设置!$B$14)</f>
        <v>47462</v>
      </c>
      <c r="M343">
        <f t="shared" si="23"/>
        <v>0</v>
      </c>
    </row>
    <row r="344" spans="1:13">
      <c r="A344">
        <v>29</v>
      </c>
      <c r="B344">
        <v>29</v>
      </c>
      <c r="C344" s="21">
        <f>EDATE(参数设置!$B$4,A344-1)</f>
        <v>47097</v>
      </c>
      <c r="D344" s="14">
        <f>IF(AND(A344&lt;=参数设置!$B$6,OR(INDEX(月度资金流!$B$7:$B$42,A344)="策略一：消费贷款+买基金",INDEX(月度资金流!$B$7:$B$42,A344)="策略二：新贷偿还旧贷")),参数设置!$B$5,0)</f>
        <v>0</v>
      </c>
      <c r="E344">
        <v>5</v>
      </c>
      <c r="F344" s="21">
        <f t="shared" si="20"/>
        <v>47243</v>
      </c>
      <c r="G344" s="21">
        <f>IF(E344&lt;参数设置!$B$14,DATE(YEAR(EDATE(C344,E344+1)),MONTH(EDATE(C344,E344+1)),参数设置!$B$15),EDATE(C344,参数设置!$B$14))</f>
        <v>47274</v>
      </c>
      <c r="H344">
        <f t="shared" si="21"/>
        <v>31</v>
      </c>
      <c r="I344" s="14">
        <f>IF(E344=参数设置!$B$14,D344,0)</f>
        <v>0</v>
      </c>
      <c r="J344" s="14">
        <f>IF(M344=1,ROUND(D344*参数设置!$B$12*H344/参数设置!$B$13,参数设置!$B$16),0)</f>
        <v>0</v>
      </c>
      <c r="K344" s="14">
        <f t="shared" si="22"/>
        <v>0</v>
      </c>
      <c r="L344" s="21">
        <f>EDATE(C344,参数设置!$B$14)</f>
        <v>47462</v>
      </c>
      <c r="M344">
        <f t="shared" si="23"/>
        <v>0</v>
      </c>
    </row>
    <row r="345" spans="1:13">
      <c r="A345">
        <v>29</v>
      </c>
      <c r="B345">
        <v>29</v>
      </c>
      <c r="C345" s="21">
        <f>EDATE(参数设置!$B$4,A345-1)</f>
        <v>47097</v>
      </c>
      <c r="D345" s="14">
        <f>IF(AND(A345&lt;=参数设置!$B$6,OR(INDEX(月度资金流!$B$7:$B$42,A345)="策略一：消费贷款+买基金",INDEX(月度资金流!$B$7:$B$42,A345)="策略二：新贷偿还旧贷")),参数设置!$B$5,0)</f>
        <v>0</v>
      </c>
      <c r="E345">
        <v>6</v>
      </c>
      <c r="F345" s="21">
        <f t="shared" si="20"/>
        <v>47274</v>
      </c>
      <c r="G345" s="21">
        <f>IF(E345&lt;参数设置!$B$14,DATE(YEAR(EDATE(C345,E345+1)),MONTH(EDATE(C345,E345+1)),参数设置!$B$15),EDATE(C345,参数设置!$B$14))</f>
        <v>47304</v>
      </c>
      <c r="H345">
        <f t="shared" si="21"/>
        <v>30</v>
      </c>
      <c r="I345" s="14">
        <f>IF(E345=参数设置!$B$14,D345,0)</f>
        <v>0</v>
      </c>
      <c r="J345" s="14">
        <f>IF(M345=1,ROUND(D345*参数设置!$B$12*H345/参数设置!$B$13,参数设置!$B$16),0)</f>
        <v>0</v>
      </c>
      <c r="K345" s="14">
        <f t="shared" si="22"/>
        <v>0</v>
      </c>
      <c r="L345" s="21">
        <f>EDATE(C345,参数设置!$B$14)</f>
        <v>47462</v>
      </c>
      <c r="M345">
        <f t="shared" si="23"/>
        <v>0</v>
      </c>
    </row>
    <row r="346" spans="1:13">
      <c r="A346">
        <v>29</v>
      </c>
      <c r="B346">
        <v>29</v>
      </c>
      <c r="C346" s="21">
        <f>EDATE(参数设置!$B$4,A346-1)</f>
        <v>47097</v>
      </c>
      <c r="D346" s="14">
        <f>IF(AND(A346&lt;=参数设置!$B$6,OR(INDEX(月度资金流!$B$7:$B$42,A346)="策略一：消费贷款+买基金",INDEX(月度资金流!$B$7:$B$42,A346)="策略二：新贷偿还旧贷")),参数设置!$B$5,0)</f>
        <v>0</v>
      </c>
      <c r="E346">
        <v>7</v>
      </c>
      <c r="F346" s="21">
        <f t="shared" si="20"/>
        <v>47304</v>
      </c>
      <c r="G346" s="21">
        <f>IF(E346&lt;参数设置!$B$14,DATE(YEAR(EDATE(C346,E346+1)),MONTH(EDATE(C346,E346+1)),参数设置!$B$15),EDATE(C346,参数设置!$B$14))</f>
        <v>47335</v>
      </c>
      <c r="H346">
        <f t="shared" si="21"/>
        <v>31</v>
      </c>
      <c r="I346" s="14">
        <f>IF(E346=参数设置!$B$14,D346,0)</f>
        <v>0</v>
      </c>
      <c r="J346" s="14">
        <f>IF(M346=1,ROUND(D346*参数设置!$B$12*H346/参数设置!$B$13,参数设置!$B$16),0)</f>
        <v>0</v>
      </c>
      <c r="K346" s="14">
        <f t="shared" si="22"/>
        <v>0</v>
      </c>
      <c r="L346" s="21">
        <f>EDATE(C346,参数设置!$B$14)</f>
        <v>47462</v>
      </c>
      <c r="M346">
        <f t="shared" si="23"/>
        <v>0</v>
      </c>
    </row>
    <row r="347" spans="1:13">
      <c r="A347">
        <v>29</v>
      </c>
      <c r="B347">
        <v>29</v>
      </c>
      <c r="C347" s="21">
        <f>EDATE(参数设置!$B$4,A347-1)</f>
        <v>47097</v>
      </c>
      <c r="D347" s="14">
        <f>IF(AND(A347&lt;=参数设置!$B$6,OR(INDEX(月度资金流!$B$7:$B$42,A347)="策略一：消费贷款+买基金",INDEX(月度资金流!$B$7:$B$42,A347)="策略二：新贷偿还旧贷")),参数设置!$B$5,0)</f>
        <v>0</v>
      </c>
      <c r="E347">
        <v>8</v>
      </c>
      <c r="F347" s="21">
        <f t="shared" si="20"/>
        <v>47335</v>
      </c>
      <c r="G347" s="21">
        <f>IF(E347&lt;参数设置!$B$14,DATE(YEAR(EDATE(C347,E347+1)),MONTH(EDATE(C347,E347+1)),参数设置!$B$15),EDATE(C347,参数设置!$B$14))</f>
        <v>47366</v>
      </c>
      <c r="H347">
        <f t="shared" si="21"/>
        <v>31</v>
      </c>
      <c r="I347" s="14">
        <f>IF(E347=参数设置!$B$14,D347,0)</f>
        <v>0</v>
      </c>
      <c r="J347" s="14">
        <f>IF(M347=1,ROUND(D347*参数设置!$B$12*H347/参数设置!$B$13,参数设置!$B$16),0)</f>
        <v>0</v>
      </c>
      <c r="K347" s="14">
        <f t="shared" si="22"/>
        <v>0</v>
      </c>
      <c r="L347" s="21">
        <f>EDATE(C347,参数设置!$B$14)</f>
        <v>47462</v>
      </c>
      <c r="M347">
        <f t="shared" si="23"/>
        <v>0</v>
      </c>
    </row>
    <row r="348" spans="1:13">
      <c r="A348">
        <v>29</v>
      </c>
      <c r="B348">
        <v>29</v>
      </c>
      <c r="C348" s="21">
        <f>EDATE(参数设置!$B$4,A348-1)</f>
        <v>47097</v>
      </c>
      <c r="D348" s="14">
        <f>IF(AND(A348&lt;=参数设置!$B$6,OR(INDEX(月度资金流!$B$7:$B$42,A348)="策略一：消费贷款+买基金",INDEX(月度资金流!$B$7:$B$42,A348)="策略二：新贷偿还旧贷")),参数设置!$B$5,0)</f>
        <v>0</v>
      </c>
      <c r="E348">
        <v>9</v>
      </c>
      <c r="F348" s="21">
        <f t="shared" si="20"/>
        <v>47366</v>
      </c>
      <c r="G348" s="21">
        <f>IF(E348&lt;参数设置!$B$14,DATE(YEAR(EDATE(C348,E348+1)),MONTH(EDATE(C348,E348+1)),参数设置!$B$15),EDATE(C348,参数设置!$B$14))</f>
        <v>47396</v>
      </c>
      <c r="H348">
        <f t="shared" si="21"/>
        <v>30</v>
      </c>
      <c r="I348" s="14">
        <f>IF(E348=参数设置!$B$14,D348,0)</f>
        <v>0</v>
      </c>
      <c r="J348" s="14">
        <f>IF(M348=1,ROUND(D348*参数设置!$B$12*H348/参数设置!$B$13,参数设置!$B$16),0)</f>
        <v>0</v>
      </c>
      <c r="K348" s="14">
        <f t="shared" si="22"/>
        <v>0</v>
      </c>
      <c r="L348" s="21">
        <f>EDATE(C348,参数设置!$B$14)</f>
        <v>47462</v>
      </c>
      <c r="M348">
        <f t="shared" si="23"/>
        <v>0</v>
      </c>
    </row>
    <row r="349" spans="1:13">
      <c r="A349">
        <v>29</v>
      </c>
      <c r="B349">
        <v>29</v>
      </c>
      <c r="C349" s="21">
        <f>EDATE(参数设置!$B$4,A349-1)</f>
        <v>47097</v>
      </c>
      <c r="D349" s="14">
        <f>IF(AND(A349&lt;=参数设置!$B$6,OR(INDEX(月度资金流!$B$7:$B$42,A349)="策略一：消费贷款+买基金",INDEX(月度资金流!$B$7:$B$42,A349)="策略二：新贷偿还旧贷")),参数设置!$B$5,0)</f>
        <v>0</v>
      </c>
      <c r="E349">
        <v>10</v>
      </c>
      <c r="F349" s="21">
        <f t="shared" si="20"/>
        <v>47396</v>
      </c>
      <c r="G349" s="21">
        <f>IF(E349&lt;参数设置!$B$14,DATE(YEAR(EDATE(C349,E349+1)),MONTH(EDATE(C349,E349+1)),参数设置!$B$15),EDATE(C349,参数设置!$B$14))</f>
        <v>47427</v>
      </c>
      <c r="H349">
        <f t="shared" si="21"/>
        <v>31</v>
      </c>
      <c r="I349" s="14">
        <f>IF(E349=参数设置!$B$14,D349,0)</f>
        <v>0</v>
      </c>
      <c r="J349" s="14">
        <f>IF(M349=1,ROUND(D349*参数设置!$B$12*H349/参数设置!$B$13,参数设置!$B$16),0)</f>
        <v>0</v>
      </c>
      <c r="K349" s="14">
        <f t="shared" si="22"/>
        <v>0</v>
      </c>
      <c r="L349" s="21">
        <f>EDATE(C349,参数设置!$B$14)</f>
        <v>47462</v>
      </c>
      <c r="M349">
        <f t="shared" si="23"/>
        <v>0</v>
      </c>
    </row>
    <row r="350" spans="1:13">
      <c r="A350">
        <v>29</v>
      </c>
      <c r="B350">
        <v>29</v>
      </c>
      <c r="C350" s="21">
        <f>EDATE(参数设置!$B$4,A350-1)</f>
        <v>47097</v>
      </c>
      <c r="D350" s="14">
        <f>IF(AND(A350&lt;=参数设置!$B$6,OR(INDEX(月度资金流!$B$7:$B$42,A350)="策略一：消费贷款+买基金",INDEX(月度资金流!$B$7:$B$42,A350)="策略二：新贷偿还旧贷")),参数设置!$B$5,0)</f>
        <v>0</v>
      </c>
      <c r="E350">
        <v>11</v>
      </c>
      <c r="F350" s="21">
        <f t="shared" si="20"/>
        <v>47427</v>
      </c>
      <c r="G350" s="21">
        <f>IF(E350&lt;参数设置!$B$14,DATE(YEAR(EDATE(C350,E350+1)),MONTH(EDATE(C350,E350+1)),参数设置!$B$15),EDATE(C350,参数设置!$B$14))</f>
        <v>47457</v>
      </c>
      <c r="H350">
        <f t="shared" si="21"/>
        <v>30</v>
      </c>
      <c r="I350" s="14">
        <f>IF(E350=参数设置!$B$14,D350,0)</f>
        <v>0</v>
      </c>
      <c r="J350" s="14">
        <f>IF(M350=1,ROUND(D350*参数设置!$B$12*H350/参数设置!$B$13,参数设置!$B$16),0)</f>
        <v>0</v>
      </c>
      <c r="K350" s="14">
        <f t="shared" si="22"/>
        <v>0</v>
      </c>
      <c r="L350" s="21">
        <f>EDATE(C350,参数设置!$B$14)</f>
        <v>47462</v>
      </c>
      <c r="M350">
        <f t="shared" si="23"/>
        <v>0</v>
      </c>
    </row>
    <row r="351" spans="1:13">
      <c r="A351">
        <v>29</v>
      </c>
      <c r="B351">
        <v>29</v>
      </c>
      <c r="C351" s="21">
        <f>EDATE(参数设置!$B$4,A351-1)</f>
        <v>47097</v>
      </c>
      <c r="D351" s="14">
        <f>IF(AND(A351&lt;=参数设置!$B$6,OR(INDEX(月度资金流!$B$7:$B$42,A351)="策略一：消费贷款+买基金",INDEX(月度资金流!$B$7:$B$42,A351)="策略二：新贷偿还旧贷")),参数设置!$B$5,0)</f>
        <v>0</v>
      </c>
      <c r="E351">
        <v>12</v>
      </c>
      <c r="F351" s="21">
        <f t="shared" si="20"/>
        <v>47457</v>
      </c>
      <c r="G351" s="21">
        <f>IF(E351&lt;参数设置!$B$14,DATE(YEAR(EDATE(C351,E351+1)),MONTH(EDATE(C351,E351+1)),参数设置!$B$15),EDATE(C351,参数设置!$B$14))</f>
        <v>47462</v>
      </c>
      <c r="H351">
        <f t="shared" si="21"/>
        <v>5</v>
      </c>
      <c r="I351" s="14">
        <f>IF(E351=参数设置!$B$14,D351,0)</f>
        <v>0</v>
      </c>
      <c r="J351" s="14">
        <f>IF(M351=1,ROUND(D351*参数设置!$B$12*H351/参数设置!$B$13,参数设置!$B$16),0)</f>
        <v>0</v>
      </c>
      <c r="K351" s="14">
        <f t="shared" si="22"/>
        <v>0</v>
      </c>
      <c r="L351" s="21">
        <f>EDATE(C351,参数设置!$B$14)</f>
        <v>47462</v>
      </c>
      <c r="M351">
        <f t="shared" si="23"/>
        <v>0</v>
      </c>
    </row>
    <row r="352" spans="1:13">
      <c r="A352">
        <v>30</v>
      </c>
      <c r="B352">
        <v>30</v>
      </c>
      <c r="C352" s="21">
        <f>EDATE(参数设置!$B$4,A352-1)</f>
        <v>47128</v>
      </c>
      <c r="D352" s="14">
        <f>IF(AND(A352&lt;=参数设置!$B$6,OR(INDEX(月度资金流!$B$7:$B$42,A352)="策略一：消费贷款+买基金",INDEX(月度资金流!$B$7:$B$42,A352)="策略二：新贷偿还旧贷")),参数设置!$B$5,0)</f>
        <v>0</v>
      </c>
      <c r="E352">
        <v>1</v>
      </c>
      <c r="F352" s="21">
        <f t="shared" si="20"/>
        <v>47128</v>
      </c>
      <c r="G352" s="21">
        <f>IF(E352&lt;参数设置!$B$14,DATE(YEAR(EDATE(C352,E352+1)),MONTH(EDATE(C352,E352+1)),参数设置!$B$15),EDATE(C352,参数设置!$B$14))</f>
        <v>47182</v>
      </c>
      <c r="H352">
        <f t="shared" si="21"/>
        <v>54</v>
      </c>
      <c r="I352" s="14">
        <f>IF(E352=参数设置!$B$14,D352,0)</f>
        <v>0</v>
      </c>
      <c r="J352" s="14">
        <f>IF(M352=1,ROUND(D352*参数设置!$B$12*H352/参数设置!$B$13,参数设置!$B$16),0)</f>
        <v>0</v>
      </c>
      <c r="K352" s="14">
        <f t="shared" si="22"/>
        <v>0</v>
      </c>
      <c r="L352" s="21">
        <f>EDATE(C352,参数设置!$B$14)</f>
        <v>47493</v>
      </c>
      <c r="M352">
        <f t="shared" si="23"/>
        <v>0</v>
      </c>
    </row>
    <row r="353" spans="1:13">
      <c r="A353">
        <v>30</v>
      </c>
      <c r="B353">
        <v>30</v>
      </c>
      <c r="C353" s="21">
        <f>EDATE(参数设置!$B$4,A353-1)</f>
        <v>47128</v>
      </c>
      <c r="D353" s="14">
        <f>IF(AND(A353&lt;=参数设置!$B$6,OR(INDEX(月度资金流!$B$7:$B$42,A353)="策略一：消费贷款+买基金",INDEX(月度资金流!$B$7:$B$42,A353)="策略二：新贷偿还旧贷")),参数设置!$B$5,0)</f>
        <v>0</v>
      </c>
      <c r="E353">
        <v>2</v>
      </c>
      <c r="F353" s="21">
        <f t="shared" si="20"/>
        <v>47182</v>
      </c>
      <c r="G353" s="21">
        <f>IF(E353&lt;参数设置!$B$14,DATE(YEAR(EDATE(C353,E353+1)),MONTH(EDATE(C353,E353+1)),参数设置!$B$15),EDATE(C353,参数设置!$B$14))</f>
        <v>47213</v>
      </c>
      <c r="H353">
        <f t="shared" si="21"/>
        <v>31</v>
      </c>
      <c r="I353" s="14">
        <f>IF(E353=参数设置!$B$14,D353,0)</f>
        <v>0</v>
      </c>
      <c r="J353" s="14">
        <f>IF(M353=1,ROUND(D353*参数设置!$B$12*H353/参数设置!$B$13,参数设置!$B$16),0)</f>
        <v>0</v>
      </c>
      <c r="K353" s="14">
        <f t="shared" si="22"/>
        <v>0</v>
      </c>
      <c r="L353" s="21">
        <f>EDATE(C353,参数设置!$B$14)</f>
        <v>47493</v>
      </c>
      <c r="M353">
        <f t="shared" si="23"/>
        <v>0</v>
      </c>
    </row>
    <row r="354" spans="1:13">
      <c r="A354">
        <v>30</v>
      </c>
      <c r="B354">
        <v>30</v>
      </c>
      <c r="C354" s="21">
        <f>EDATE(参数设置!$B$4,A354-1)</f>
        <v>47128</v>
      </c>
      <c r="D354" s="14">
        <f>IF(AND(A354&lt;=参数设置!$B$6,OR(INDEX(月度资金流!$B$7:$B$42,A354)="策略一：消费贷款+买基金",INDEX(月度资金流!$B$7:$B$42,A354)="策略二：新贷偿还旧贷")),参数设置!$B$5,0)</f>
        <v>0</v>
      </c>
      <c r="E354">
        <v>3</v>
      </c>
      <c r="F354" s="21">
        <f t="shared" si="20"/>
        <v>47213</v>
      </c>
      <c r="G354" s="21">
        <f>IF(E354&lt;参数设置!$B$14,DATE(YEAR(EDATE(C354,E354+1)),MONTH(EDATE(C354,E354+1)),参数设置!$B$15),EDATE(C354,参数设置!$B$14))</f>
        <v>47243</v>
      </c>
      <c r="H354">
        <f t="shared" si="21"/>
        <v>30</v>
      </c>
      <c r="I354" s="14">
        <f>IF(E354=参数设置!$B$14,D354,0)</f>
        <v>0</v>
      </c>
      <c r="J354" s="14">
        <f>IF(M354=1,ROUND(D354*参数设置!$B$12*H354/参数设置!$B$13,参数设置!$B$16),0)</f>
        <v>0</v>
      </c>
      <c r="K354" s="14">
        <f t="shared" si="22"/>
        <v>0</v>
      </c>
      <c r="L354" s="21">
        <f>EDATE(C354,参数设置!$B$14)</f>
        <v>47493</v>
      </c>
      <c r="M354">
        <f t="shared" si="23"/>
        <v>0</v>
      </c>
    </row>
    <row r="355" spans="1:13">
      <c r="A355">
        <v>30</v>
      </c>
      <c r="B355">
        <v>30</v>
      </c>
      <c r="C355" s="21">
        <f>EDATE(参数设置!$B$4,A355-1)</f>
        <v>47128</v>
      </c>
      <c r="D355" s="14">
        <f>IF(AND(A355&lt;=参数设置!$B$6,OR(INDEX(月度资金流!$B$7:$B$42,A355)="策略一：消费贷款+买基金",INDEX(月度资金流!$B$7:$B$42,A355)="策略二：新贷偿还旧贷")),参数设置!$B$5,0)</f>
        <v>0</v>
      </c>
      <c r="E355">
        <v>4</v>
      </c>
      <c r="F355" s="21">
        <f t="shared" si="20"/>
        <v>47243</v>
      </c>
      <c r="G355" s="21">
        <f>IF(E355&lt;参数设置!$B$14,DATE(YEAR(EDATE(C355,E355+1)),MONTH(EDATE(C355,E355+1)),参数设置!$B$15),EDATE(C355,参数设置!$B$14))</f>
        <v>47274</v>
      </c>
      <c r="H355">
        <f t="shared" si="21"/>
        <v>31</v>
      </c>
      <c r="I355" s="14">
        <f>IF(E355=参数设置!$B$14,D355,0)</f>
        <v>0</v>
      </c>
      <c r="J355" s="14">
        <f>IF(M355=1,ROUND(D355*参数设置!$B$12*H355/参数设置!$B$13,参数设置!$B$16),0)</f>
        <v>0</v>
      </c>
      <c r="K355" s="14">
        <f t="shared" si="22"/>
        <v>0</v>
      </c>
      <c r="L355" s="21">
        <f>EDATE(C355,参数设置!$B$14)</f>
        <v>47493</v>
      </c>
      <c r="M355">
        <f t="shared" si="23"/>
        <v>0</v>
      </c>
    </row>
    <row r="356" spans="1:13">
      <c r="A356">
        <v>30</v>
      </c>
      <c r="B356">
        <v>30</v>
      </c>
      <c r="C356" s="21">
        <f>EDATE(参数设置!$B$4,A356-1)</f>
        <v>47128</v>
      </c>
      <c r="D356" s="14">
        <f>IF(AND(A356&lt;=参数设置!$B$6,OR(INDEX(月度资金流!$B$7:$B$42,A356)="策略一：消费贷款+买基金",INDEX(月度资金流!$B$7:$B$42,A356)="策略二：新贷偿还旧贷")),参数设置!$B$5,0)</f>
        <v>0</v>
      </c>
      <c r="E356">
        <v>5</v>
      </c>
      <c r="F356" s="21">
        <f t="shared" si="20"/>
        <v>47274</v>
      </c>
      <c r="G356" s="21">
        <f>IF(E356&lt;参数设置!$B$14,DATE(YEAR(EDATE(C356,E356+1)),MONTH(EDATE(C356,E356+1)),参数设置!$B$15),EDATE(C356,参数设置!$B$14))</f>
        <v>47304</v>
      </c>
      <c r="H356">
        <f t="shared" si="21"/>
        <v>30</v>
      </c>
      <c r="I356" s="14">
        <f>IF(E356=参数设置!$B$14,D356,0)</f>
        <v>0</v>
      </c>
      <c r="J356" s="14">
        <f>IF(M356=1,ROUND(D356*参数设置!$B$12*H356/参数设置!$B$13,参数设置!$B$16),0)</f>
        <v>0</v>
      </c>
      <c r="K356" s="14">
        <f t="shared" si="22"/>
        <v>0</v>
      </c>
      <c r="L356" s="21">
        <f>EDATE(C356,参数设置!$B$14)</f>
        <v>47493</v>
      </c>
      <c r="M356">
        <f t="shared" si="23"/>
        <v>0</v>
      </c>
    </row>
    <row r="357" spans="1:13">
      <c r="A357">
        <v>30</v>
      </c>
      <c r="B357">
        <v>30</v>
      </c>
      <c r="C357" s="21">
        <f>EDATE(参数设置!$B$4,A357-1)</f>
        <v>47128</v>
      </c>
      <c r="D357" s="14">
        <f>IF(AND(A357&lt;=参数设置!$B$6,OR(INDEX(月度资金流!$B$7:$B$42,A357)="策略一：消费贷款+买基金",INDEX(月度资金流!$B$7:$B$42,A357)="策略二：新贷偿还旧贷")),参数设置!$B$5,0)</f>
        <v>0</v>
      </c>
      <c r="E357">
        <v>6</v>
      </c>
      <c r="F357" s="21">
        <f t="shared" si="20"/>
        <v>47304</v>
      </c>
      <c r="G357" s="21">
        <f>IF(E357&lt;参数设置!$B$14,DATE(YEAR(EDATE(C357,E357+1)),MONTH(EDATE(C357,E357+1)),参数设置!$B$15),EDATE(C357,参数设置!$B$14))</f>
        <v>47335</v>
      </c>
      <c r="H357">
        <f t="shared" si="21"/>
        <v>31</v>
      </c>
      <c r="I357" s="14">
        <f>IF(E357=参数设置!$B$14,D357,0)</f>
        <v>0</v>
      </c>
      <c r="J357" s="14">
        <f>IF(M357=1,ROUND(D357*参数设置!$B$12*H357/参数设置!$B$13,参数设置!$B$16),0)</f>
        <v>0</v>
      </c>
      <c r="K357" s="14">
        <f t="shared" si="22"/>
        <v>0</v>
      </c>
      <c r="L357" s="21">
        <f>EDATE(C357,参数设置!$B$14)</f>
        <v>47493</v>
      </c>
      <c r="M357">
        <f t="shared" si="23"/>
        <v>0</v>
      </c>
    </row>
    <row r="358" spans="1:13">
      <c r="A358">
        <v>30</v>
      </c>
      <c r="B358">
        <v>30</v>
      </c>
      <c r="C358" s="21">
        <f>EDATE(参数设置!$B$4,A358-1)</f>
        <v>47128</v>
      </c>
      <c r="D358" s="14">
        <f>IF(AND(A358&lt;=参数设置!$B$6,OR(INDEX(月度资金流!$B$7:$B$42,A358)="策略一：消费贷款+买基金",INDEX(月度资金流!$B$7:$B$42,A358)="策略二：新贷偿还旧贷")),参数设置!$B$5,0)</f>
        <v>0</v>
      </c>
      <c r="E358">
        <v>7</v>
      </c>
      <c r="F358" s="21">
        <f t="shared" si="20"/>
        <v>47335</v>
      </c>
      <c r="G358" s="21">
        <f>IF(E358&lt;参数设置!$B$14,DATE(YEAR(EDATE(C358,E358+1)),MONTH(EDATE(C358,E358+1)),参数设置!$B$15),EDATE(C358,参数设置!$B$14))</f>
        <v>47366</v>
      </c>
      <c r="H358">
        <f t="shared" si="21"/>
        <v>31</v>
      </c>
      <c r="I358" s="14">
        <f>IF(E358=参数设置!$B$14,D358,0)</f>
        <v>0</v>
      </c>
      <c r="J358" s="14">
        <f>IF(M358=1,ROUND(D358*参数设置!$B$12*H358/参数设置!$B$13,参数设置!$B$16),0)</f>
        <v>0</v>
      </c>
      <c r="K358" s="14">
        <f t="shared" si="22"/>
        <v>0</v>
      </c>
      <c r="L358" s="21">
        <f>EDATE(C358,参数设置!$B$14)</f>
        <v>47493</v>
      </c>
      <c r="M358">
        <f t="shared" si="23"/>
        <v>0</v>
      </c>
    </row>
    <row r="359" spans="1:13">
      <c r="A359">
        <v>30</v>
      </c>
      <c r="B359">
        <v>30</v>
      </c>
      <c r="C359" s="21">
        <f>EDATE(参数设置!$B$4,A359-1)</f>
        <v>47128</v>
      </c>
      <c r="D359" s="14">
        <f>IF(AND(A359&lt;=参数设置!$B$6,OR(INDEX(月度资金流!$B$7:$B$42,A359)="策略一：消费贷款+买基金",INDEX(月度资金流!$B$7:$B$42,A359)="策略二：新贷偿还旧贷")),参数设置!$B$5,0)</f>
        <v>0</v>
      </c>
      <c r="E359">
        <v>8</v>
      </c>
      <c r="F359" s="21">
        <f t="shared" si="20"/>
        <v>47366</v>
      </c>
      <c r="G359" s="21">
        <f>IF(E359&lt;参数设置!$B$14,DATE(YEAR(EDATE(C359,E359+1)),MONTH(EDATE(C359,E359+1)),参数设置!$B$15),EDATE(C359,参数设置!$B$14))</f>
        <v>47396</v>
      </c>
      <c r="H359">
        <f t="shared" si="21"/>
        <v>30</v>
      </c>
      <c r="I359" s="14">
        <f>IF(E359=参数设置!$B$14,D359,0)</f>
        <v>0</v>
      </c>
      <c r="J359" s="14">
        <f>IF(M359=1,ROUND(D359*参数设置!$B$12*H359/参数设置!$B$13,参数设置!$B$16),0)</f>
        <v>0</v>
      </c>
      <c r="K359" s="14">
        <f t="shared" si="22"/>
        <v>0</v>
      </c>
      <c r="L359" s="21">
        <f>EDATE(C359,参数设置!$B$14)</f>
        <v>47493</v>
      </c>
      <c r="M359">
        <f t="shared" si="23"/>
        <v>0</v>
      </c>
    </row>
    <row r="360" spans="1:13">
      <c r="A360">
        <v>30</v>
      </c>
      <c r="B360">
        <v>30</v>
      </c>
      <c r="C360" s="21">
        <f>EDATE(参数设置!$B$4,A360-1)</f>
        <v>47128</v>
      </c>
      <c r="D360" s="14">
        <f>IF(AND(A360&lt;=参数设置!$B$6,OR(INDEX(月度资金流!$B$7:$B$42,A360)="策略一：消费贷款+买基金",INDEX(月度资金流!$B$7:$B$42,A360)="策略二：新贷偿还旧贷")),参数设置!$B$5,0)</f>
        <v>0</v>
      </c>
      <c r="E360">
        <v>9</v>
      </c>
      <c r="F360" s="21">
        <f t="shared" si="20"/>
        <v>47396</v>
      </c>
      <c r="G360" s="21">
        <f>IF(E360&lt;参数设置!$B$14,DATE(YEAR(EDATE(C360,E360+1)),MONTH(EDATE(C360,E360+1)),参数设置!$B$15),EDATE(C360,参数设置!$B$14))</f>
        <v>47427</v>
      </c>
      <c r="H360">
        <f t="shared" si="21"/>
        <v>31</v>
      </c>
      <c r="I360" s="14">
        <f>IF(E360=参数设置!$B$14,D360,0)</f>
        <v>0</v>
      </c>
      <c r="J360" s="14">
        <f>IF(M360=1,ROUND(D360*参数设置!$B$12*H360/参数设置!$B$13,参数设置!$B$16),0)</f>
        <v>0</v>
      </c>
      <c r="K360" s="14">
        <f t="shared" si="22"/>
        <v>0</v>
      </c>
      <c r="L360" s="21">
        <f>EDATE(C360,参数设置!$B$14)</f>
        <v>47493</v>
      </c>
      <c r="M360">
        <f t="shared" si="23"/>
        <v>0</v>
      </c>
    </row>
    <row r="361" spans="1:13">
      <c r="A361">
        <v>30</v>
      </c>
      <c r="B361">
        <v>30</v>
      </c>
      <c r="C361" s="21">
        <f>EDATE(参数设置!$B$4,A361-1)</f>
        <v>47128</v>
      </c>
      <c r="D361" s="14">
        <f>IF(AND(A361&lt;=参数设置!$B$6,OR(INDEX(月度资金流!$B$7:$B$42,A361)="策略一：消费贷款+买基金",INDEX(月度资金流!$B$7:$B$42,A361)="策略二：新贷偿还旧贷")),参数设置!$B$5,0)</f>
        <v>0</v>
      </c>
      <c r="E361">
        <v>10</v>
      </c>
      <c r="F361" s="21">
        <f t="shared" si="20"/>
        <v>47427</v>
      </c>
      <c r="G361" s="21">
        <f>IF(E361&lt;参数设置!$B$14,DATE(YEAR(EDATE(C361,E361+1)),MONTH(EDATE(C361,E361+1)),参数设置!$B$15),EDATE(C361,参数设置!$B$14))</f>
        <v>47457</v>
      </c>
      <c r="H361">
        <f t="shared" si="21"/>
        <v>30</v>
      </c>
      <c r="I361" s="14">
        <f>IF(E361=参数设置!$B$14,D361,0)</f>
        <v>0</v>
      </c>
      <c r="J361" s="14">
        <f>IF(M361=1,ROUND(D361*参数设置!$B$12*H361/参数设置!$B$13,参数设置!$B$16),0)</f>
        <v>0</v>
      </c>
      <c r="K361" s="14">
        <f t="shared" si="22"/>
        <v>0</v>
      </c>
      <c r="L361" s="21">
        <f>EDATE(C361,参数设置!$B$14)</f>
        <v>47493</v>
      </c>
      <c r="M361">
        <f t="shared" si="23"/>
        <v>0</v>
      </c>
    </row>
    <row r="362" spans="1:13">
      <c r="A362">
        <v>30</v>
      </c>
      <c r="B362">
        <v>30</v>
      </c>
      <c r="C362" s="21">
        <f>EDATE(参数设置!$B$4,A362-1)</f>
        <v>47128</v>
      </c>
      <c r="D362" s="14">
        <f>IF(AND(A362&lt;=参数设置!$B$6,OR(INDEX(月度资金流!$B$7:$B$42,A362)="策略一：消费贷款+买基金",INDEX(月度资金流!$B$7:$B$42,A362)="策略二：新贷偿还旧贷")),参数设置!$B$5,0)</f>
        <v>0</v>
      </c>
      <c r="E362">
        <v>11</v>
      </c>
      <c r="F362" s="21">
        <f t="shared" si="20"/>
        <v>47457</v>
      </c>
      <c r="G362" s="21">
        <f>IF(E362&lt;参数设置!$B$14,DATE(YEAR(EDATE(C362,E362+1)),MONTH(EDATE(C362,E362+1)),参数设置!$B$15),EDATE(C362,参数设置!$B$14))</f>
        <v>47488</v>
      </c>
      <c r="H362">
        <f t="shared" si="21"/>
        <v>31</v>
      </c>
      <c r="I362" s="14">
        <f>IF(E362=参数设置!$B$14,D362,0)</f>
        <v>0</v>
      </c>
      <c r="J362" s="14">
        <f>IF(M362=1,ROUND(D362*参数设置!$B$12*H362/参数设置!$B$13,参数设置!$B$16),0)</f>
        <v>0</v>
      </c>
      <c r="K362" s="14">
        <f t="shared" si="22"/>
        <v>0</v>
      </c>
      <c r="L362" s="21">
        <f>EDATE(C362,参数设置!$B$14)</f>
        <v>47493</v>
      </c>
      <c r="M362">
        <f t="shared" si="23"/>
        <v>0</v>
      </c>
    </row>
    <row r="363" spans="1:13">
      <c r="A363">
        <v>30</v>
      </c>
      <c r="B363">
        <v>30</v>
      </c>
      <c r="C363" s="21">
        <f>EDATE(参数设置!$B$4,A363-1)</f>
        <v>47128</v>
      </c>
      <c r="D363" s="14">
        <f>IF(AND(A363&lt;=参数设置!$B$6,OR(INDEX(月度资金流!$B$7:$B$42,A363)="策略一：消费贷款+买基金",INDEX(月度资金流!$B$7:$B$42,A363)="策略二：新贷偿还旧贷")),参数设置!$B$5,0)</f>
        <v>0</v>
      </c>
      <c r="E363">
        <v>12</v>
      </c>
      <c r="F363" s="21">
        <f t="shared" si="20"/>
        <v>47488</v>
      </c>
      <c r="G363" s="21">
        <f>IF(E363&lt;参数设置!$B$14,DATE(YEAR(EDATE(C363,E363+1)),MONTH(EDATE(C363,E363+1)),参数设置!$B$15),EDATE(C363,参数设置!$B$14))</f>
        <v>47493</v>
      </c>
      <c r="H363">
        <f t="shared" si="21"/>
        <v>5</v>
      </c>
      <c r="I363" s="14">
        <f>IF(E363=参数设置!$B$14,D363,0)</f>
        <v>0</v>
      </c>
      <c r="J363" s="14">
        <f>IF(M363=1,ROUND(D363*参数设置!$B$12*H363/参数设置!$B$13,参数设置!$B$16),0)</f>
        <v>0</v>
      </c>
      <c r="K363" s="14">
        <f t="shared" si="22"/>
        <v>0</v>
      </c>
      <c r="L363" s="21">
        <f>EDATE(C363,参数设置!$B$14)</f>
        <v>47493</v>
      </c>
      <c r="M363">
        <f t="shared" si="23"/>
        <v>0</v>
      </c>
    </row>
    <row r="364" spans="1:13">
      <c r="A364">
        <v>31</v>
      </c>
      <c r="B364">
        <v>31</v>
      </c>
      <c r="C364" s="21">
        <f>EDATE(参数设置!$B$4,A364-1)</f>
        <v>47159</v>
      </c>
      <c r="D364" s="14">
        <f>IF(AND(A364&lt;=参数设置!$B$6,OR(INDEX(月度资金流!$B$7:$B$42,A364)="策略一：消费贷款+买基金",INDEX(月度资金流!$B$7:$B$42,A364)="策略二：新贷偿还旧贷")),参数设置!$B$5,0)</f>
        <v>0</v>
      </c>
      <c r="E364">
        <v>1</v>
      </c>
      <c r="F364" s="21">
        <f t="shared" si="20"/>
        <v>47159</v>
      </c>
      <c r="G364" s="21">
        <f>IF(E364&lt;参数设置!$B$14,DATE(YEAR(EDATE(C364,E364+1)),MONTH(EDATE(C364,E364+1)),参数设置!$B$15),EDATE(C364,参数设置!$B$14))</f>
        <v>47213</v>
      </c>
      <c r="H364">
        <f t="shared" si="21"/>
        <v>54</v>
      </c>
      <c r="I364" s="14">
        <f>IF(E364=参数设置!$B$14,D364,0)</f>
        <v>0</v>
      </c>
      <c r="J364" s="14">
        <f>IF(M364=1,ROUND(D364*参数设置!$B$12*H364/参数设置!$B$13,参数设置!$B$16),0)</f>
        <v>0</v>
      </c>
      <c r="K364" s="14">
        <f t="shared" si="22"/>
        <v>0</v>
      </c>
      <c r="L364" s="21">
        <f>EDATE(C364,参数设置!$B$14)</f>
        <v>47524</v>
      </c>
      <c r="M364">
        <f t="shared" si="23"/>
        <v>0</v>
      </c>
    </row>
    <row r="365" spans="1:13">
      <c r="A365">
        <v>31</v>
      </c>
      <c r="B365">
        <v>31</v>
      </c>
      <c r="C365" s="21">
        <f>EDATE(参数设置!$B$4,A365-1)</f>
        <v>47159</v>
      </c>
      <c r="D365" s="14">
        <f>IF(AND(A365&lt;=参数设置!$B$6,OR(INDEX(月度资金流!$B$7:$B$42,A365)="策略一：消费贷款+买基金",INDEX(月度资金流!$B$7:$B$42,A365)="策略二：新贷偿还旧贷")),参数设置!$B$5,0)</f>
        <v>0</v>
      </c>
      <c r="E365">
        <v>2</v>
      </c>
      <c r="F365" s="21">
        <f t="shared" si="20"/>
        <v>47213</v>
      </c>
      <c r="G365" s="21">
        <f>IF(E365&lt;参数设置!$B$14,DATE(YEAR(EDATE(C365,E365+1)),MONTH(EDATE(C365,E365+1)),参数设置!$B$15),EDATE(C365,参数设置!$B$14))</f>
        <v>47243</v>
      </c>
      <c r="H365">
        <f t="shared" si="21"/>
        <v>30</v>
      </c>
      <c r="I365" s="14">
        <f>IF(E365=参数设置!$B$14,D365,0)</f>
        <v>0</v>
      </c>
      <c r="J365" s="14">
        <f>IF(M365=1,ROUND(D365*参数设置!$B$12*H365/参数设置!$B$13,参数设置!$B$16),0)</f>
        <v>0</v>
      </c>
      <c r="K365" s="14">
        <f t="shared" si="22"/>
        <v>0</v>
      </c>
      <c r="L365" s="21">
        <f>EDATE(C365,参数设置!$B$14)</f>
        <v>47524</v>
      </c>
      <c r="M365">
        <f t="shared" si="23"/>
        <v>0</v>
      </c>
    </row>
    <row r="366" spans="1:13">
      <c r="A366">
        <v>31</v>
      </c>
      <c r="B366">
        <v>31</v>
      </c>
      <c r="C366" s="21">
        <f>EDATE(参数设置!$B$4,A366-1)</f>
        <v>47159</v>
      </c>
      <c r="D366" s="14">
        <f>IF(AND(A366&lt;=参数设置!$B$6,OR(INDEX(月度资金流!$B$7:$B$42,A366)="策略一：消费贷款+买基金",INDEX(月度资金流!$B$7:$B$42,A366)="策略二：新贷偿还旧贷")),参数设置!$B$5,0)</f>
        <v>0</v>
      </c>
      <c r="E366">
        <v>3</v>
      </c>
      <c r="F366" s="21">
        <f t="shared" si="20"/>
        <v>47243</v>
      </c>
      <c r="G366" s="21">
        <f>IF(E366&lt;参数设置!$B$14,DATE(YEAR(EDATE(C366,E366+1)),MONTH(EDATE(C366,E366+1)),参数设置!$B$15),EDATE(C366,参数设置!$B$14))</f>
        <v>47274</v>
      </c>
      <c r="H366">
        <f t="shared" si="21"/>
        <v>31</v>
      </c>
      <c r="I366" s="14">
        <f>IF(E366=参数设置!$B$14,D366,0)</f>
        <v>0</v>
      </c>
      <c r="J366" s="14">
        <f>IF(M366=1,ROUND(D366*参数设置!$B$12*H366/参数设置!$B$13,参数设置!$B$16),0)</f>
        <v>0</v>
      </c>
      <c r="K366" s="14">
        <f t="shared" si="22"/>
        <v>0</v>
      </c>
      <c r="L366" s="21">
        <f>EDATE(C366,参数设置!$B$14)</f>
        <v>47524</v>
      </c>
      <c r="M366">
        <f t="shared" si="23"/>
        <v>0</v>
      </c>
    </row>
    <row r="367" spans="1:13">
      <c r="A367">
        <v>31</v>
      </c>
      <c r="B367">
        <v>31</v>
      </c>
      <c r="C367" s="21">
        <f>EDATE(参数设置!$B$4,A367-1)</f>
        <v>47159</v>
      </c>
      <c r="D367" s="14">
        <f>IF(AND(A367&lt;=参数设置!$B$6,OR(INDEX(月度资金流!$B$7:$B$42,A367)="策略一：消费贷款+买基金",INDEX(月度资金流!$B$7:$B$42,A367)="策略二：新贷偿还旧贷")),参数设置!$B$5,0)</f>
        <v>0</v>
      </c>
      <c r="E367">
        <v>4</v>
      </c>
      <c r="F367" s="21">
        <f t="shared" si="20"/>
        <v>47274</v>
      </c>
      <c r="G367" s="21">
        <f>IF(E367&lt;参数设置!$B$14,DATE(YEAR(EDATE(C367,E367+1)),MONTH(EDATE(C367,E367+1)),参数设置!$B$15),EDATE(C367,参数设置!$B$14))</f>
        <v>47304</v>
      </c>
      <c r="H367">
        <f t="shared" si="21"/>
        <v>30</v>
      </c>
      <c r="I367" s="14">
        <f>IF(E367=参数设置!$B$14,D367,0)</f>
        <v>0</v>
      </c>
      <c r="J367" s="14">
        <f>IF(M367=1,ROUND(D367*参数设置!$B$12*H367/参数设置!$B$13,参数设置!$B$16),0)</f>
        <v>0</v>
      </c>
      <c r="K367" s="14">
        <f t="shared" si="22"/>
        <v>0</v>
      </c>
      <c r="L367" s="21">
        <f>EDATE(C367,参数设置!$B$14)</f>
        <v>47524</v>
      </c>
      <c r="M367">
        <f t="shared" si="23"/>
        <v>0</v>
      </c>
    </row>
    <row r="368" spans="1:13">
      <c r="A368">
        <v>31</v>
      </c>
      <c r="B368">
        <v>31</v>
      </c>
      <c r="C368" s="21">
        <f>EDATE(参数设置!$B$4,A368-1)</f>
        <v>47159</v>
      </c>
      <c r="D368" s="14">
        <f>IF(AND(A368&lt;=参数设置!$B$6,OR(INDEX(月度资金流!$B$7:$B$42,A368)="策略一：消费贷款+买基金",INDEX(月度资金流!$B$7:$B$42,A368)="策略二：新贷偿还旧贷")),参数设置!$B$5,0)</f>
        <v>0</v>
      </c>
      <c r="E368">
        <v>5</v>
      </c>
      <c r="F368" s="21">
        <f t="shared" si="20"/>
        <v>47304</v>
      </c>
      <c r="G368" s="21">
        <f>IF(E368&lt;参数设置!$B$14,DATE(YEAR(EDATE(C368,E368+1)),MONTH(EDATE(C368,E368+1)),参数设置!$B$15),EDATE(C368,参数设置!$B$14))</f>
        <v>47335</v>
      </c>
      <c r="H368">
        <f t="shared" si="21"/>
        <v>31</v>
      </c>
      <c r="I368" s="14">
        <f>IF(E368=参数设置!$B$14,D368,0)</f>
        <v>0</v>
      </c>
      <c r="J368" s="14">
        <f>IF(M368=1,ROUND(D368*参数设置!$B$12*H368/参数设置!$B$13,参数设置!$B$16),0)</f>
        <v>0</v>
      </c>
      <c r="K368" s="14">
        <f t="shared" si="22"/>
        <v>0</v>
      </c>
      <c r="L368" s="21">
        <f>EDATE(C368,参数设置!$B$14)</f>
        <v>47524</v>
      </c>
      <c r="M368">
        <f t="shared" si="23"/>
        <v>0</v>
      </c>
    </row>
    <row r="369" spans="1:13">
      <c r="A369">
        <v>31</v>
      </c>
      <c r="B369">
        <v>31</v>
      </c>
      <c r="C369" s="21">
        <f>EDATE(参数设置!$B$4,A369-1)</f>
        <v>47159</v>
      </c>
      <c r="D369" s="14">
        <f>IF(AND(A369&lt;=参数设置!$B$6,OR(INDEX(月度资金流!$B$7:$B$42,A369)="策略一：消费贷款+买基金",INDEX(月度资金流!$B$7:$B$42,A369)="策略二：新贷偿还旧贷")),参数设置!$B$5,0)</f>
        <v>0</v>
      </c>
      <c r="E369">
        <v>6</v>
      </c>
      <c r="F369" s="21">
        <f t="shared" si="20"/>
        <v>47335</v>
      </c>
      <c r="G369" s="21">
        <f>IF(E369&lt;参数设置!$B$14,DATE(YEAR(EDATE(C369,E369+1)),MONTH(EDATE(C369,E369+1)),参数设置!$B$15),EDATE(C369,参数设置!$B$14))</f>
        <v>47366</v>
      </c>
      <c r="H369">
        <f t="shared" si="21"/>
        <v>31</v>
      </c>
      <c r="I369" s="14">
        <f>IF(E369=参数设置!$B$14,D369,0)</f>
        <v>0</v>
      </c>
      <c r="J369" s="14">
        <f>IF(M369=1,ROUND(D369*参数设置!$B$12*H369/参数设置!$B$13,参数设置!$B$16),0)</f>
        <v>0</v>
      </c>
      <c r="K369" s="14">
        <f t="shared" si="22"/>
        <v>0</v>
      </c>
      <c r="L369" s="21">
        <f>EDATE(C369,参数设置!$B$14)</f>
        <v>47524</v>
      </c>
      <c r="M369">
        <f t="shared" si="23"/>
        <v>0</v>
      </c>
    </row>
    <row r="370" spans="1:13">
      <c r="A370">
        <v>31</v>
      </c>
      <c r="B370">
        <v>31</v>
      </c>
      <c r="C370" s="21">
        <f>EDATE(参数设置!$B$4,A370-1)</f>
        <v>47159</v>
      </c>
      <c r="D370" s="14">
        <f>IF(AND(A370&lt;=参数设置!$B$6,OR(INDEX(月度资金流!$B$7:$B$42,A370)="策略一：消费贷款+买基金",INDEX(月度资金流!$B$7:$B$42,A370)="策略二：新贷偿还旧贷")),参数设置!$B$5,0)</f>
        <v>0</v>
      </c>
      <c r="E370">
        <v>7</v>
      </c>
      <c r="F370" s="21">
        <f t="shared" si="20"/>
        <v>47366</v>
      </c>
      <c r="G370" s="21">
        <f>IF(E370&lt;参数设置!$B$14,DATE(YEAR(EDATE(C370,E370+1)),MONTH(EDATE(C370,E370+1)),参数设置!$B$15),EDATE(C370,参数设置!$B$14))</f>
        <v>47396</v>
      </c>
      <c r="H370">
        <f t="shared" si="21"/>
        <v>30</v>
      </c>
      <c r="I370" s="14">
        <f>IF(E370=参数设置!$B$14,D370,0)</f>
        <v>0</v>
      </c>
      <c r="J370" s="14">
        <f>IF(M370=1,ROUND(D370*参数设置!$B$12*H370/参数设置!$B$13,参数设置!$B$16),0)</f>
        <v>0</v>
      </c>
      <c r="K370" s="14">
        <f t="shared" si="22"/>
        <v>0</v>
      </c>
      <c r="L370" s="21">
        <f>EDATE(C370,参数设置!$B$14)</f>
        <v>47524</v>
      </c>
      <c r="M370">
        <f t="shared" si="23"/>
        <v>0</v>
      </c>
    </row>
    <row r="371" spans="1:13">
      <c r="A371">
        <v>31</v>
      </c>
      <c r="B371">
        <v>31</v>
      </c>
      <c r="C371" s="21">
        <f>EDATE(参数设置!$B$4,A371-1)</f>
        <v>47159</v>
      </c>
      <c r="D371" s="14">
        <f>IF(AND(A371&lt;=参数设置!$B$6,OR(INDEX(月度资金流!$B$7:$B$42,A371)="策略一：消费贷款+买基金",INDEX(月度资金流!$B$7:$B$42,A371)="策略二：新贷偿还旧贷")),参数设置!$B$5,0)</f>
        <v>0</v>
      </c>
      <c r="E371">
        <v>8</v>
      </c>
      <c r="F371" s="21">
        <f t="shared" si="20"/>
        <v>47396</v>
      </c>
      <c r="G371" s="21">
        <f>IF(E371&lt;参数设置!$B$14,DATE(YEAR(EDATE(C371,E371+1)),MONTH(EDATE(C371,E371+1)),参数设置!$B$15),EDATE(C371,参数设置!$B$14))</f>
        <v>47427</v>
      </c>
      <c r="H371">
        <f t="shared" si="21"/>
        <v>31</v>
      </c>
      <c r="I371" s="14">
        <f>IF(E371=参数设置!$B$14,D371,0)</f>
        <v>0</v>
      </c>
      <c r="J371" s="14">
        <f>IF(M371=1,ROUND(D371*参数设置!$B$12*H371/参数设置!$B$13,参数设置!$B$16),0)</f>
        <v>0</v>
      </c>
      <c r="K371" s="14">
        <f t="shared" si="22"/>
        <v>0</v>
      </c>
      <c r="L371" s="21">
        <f>EDATE(C371,参数设置!$B$14)</f>
        <v>47524</v>
      </c>
      <c r="M371">
        <f t="shared" si="23"/>
        <v>0</v>
      </c>
    </row>
    <row r="372" spans="1:13">
      <c r="A372">
        <v>31</v>
      </c>
      <c r="B372">
        <v>31</v>
      </c>
      <c r="C372" s="21">
        <f>EDATE(参数设置!$B$4,A372-1)</f>
        <v>47159</v>
      </c>
      <c r="D372" s="14">
        <f>IF(AND(A372&lt;=参数设置!$B$6,OR(INDEX(月度资金流!$B$7:$B$42,A372)="策略一：消费贷款+买基金",INDEX(月度资金流!$B$7:$B$42,A372)="策略二：新贷偿还旧贷")),参数设置!$B$5,0)</f>
        <v>0</v>
      </c>
      <c r="E372">
        <v>9</v>
      </c>
      <c r="F372" s="21">
        <f t="shared" si="20"/>
        <v>47427</v>
      </c>
      <c r="G372" s="21">
        <f>IF(E372&lt;参数设置!$B$14,DATE(YEAR(EDATE(C372,E372+1)),MONTH(EDATE(C372,E372+1)),参数设置!$B$15),EDATE(C372,参数设置!$B$14))</f>
        <v>47457</v>
      </c>
      <c r="H372">
        <f t="shared" si="21"/>
        <v>30</v>
      </c>
      <c r="I372" s="14">
        <f>IF(E372=参数设置!$B$14,D372,0)</f>
        <v>0</v>
      </c>
      <c r="J372" s="14">
        <f>IF(M372=1,ROUND(D372*参数设置!$B$12*H372/参数设置!$B$13,参数设置!$B$16),0)</f>
        <v>0</v>
      </c>
      <c r="K372" s="14">
        <f t="shared" si="22"/>
        <v>0</v>
      </c>
      <c r="L372" s="21">
        <f>EDATE(C372,参数设置!$B$14)</f>
        <v>47524</v>
      </c>
      <c r="M372">
        <f t="shared" si="23"/>
        <v>0</v>
      </c>
    </row>
    <row r="373" spans="1:13">
      <c r="A373">
        <v>31</v>
      </c>
      <c r="B373">
        <v>31</v>
      </c>
      <c r="C373" s="21">
        <f>EDATE(参数设置!$B$4,A373-1)</f>
        <v>47159</v>
      </c>
      <c r="D373" s="14">
        <f>IF(AND(A373&lt;=参数设置!$B$6,OR(INDEX(月度资金流!$B$7:$B$42,A373)="策略一：消费贷款+买基金",INDEX(月度资金流!$B$7:$B$42,A373)="策略二：新贷偿还旧贷")),参数设置!$B$5,0)</f>
        <v>0</v>
      </c>
      <c r="E373">
        <v>10</v>
      </c>
      <c r="F373" s="21">
        <f t="shared" si="20"/>
        <v>47457</v>
      </c>
      <c r="G373" s="21">
        <f>IF(E373&lt;参数设置!$B$14,DATE(YEAR(EDATE(C373,E373+1)),MONTH(EDATE(C373,E373+1)),参数设置!$B$15),EDATE(C373,参数设置!$B$14))</f>
        <v>47488</v>
      </c>
      <c r="H373">
        <f t="shared" si="21"/>
        <v>31</v>
      </c>
      <c r="I373" s="14">
        <f>IF(E373=参数设置!$B$14,D373,0)</f>
        <v>0</v>
      </c>
      <c r="J373" s="14">
        <f>IF(M373=1,ROUND(D373*参数设置!$B$12*H373/参数设置!$B$13,参数设置!$B$16),0)</f>
        <v>0</v>
      </c>
      <c r="K373" s="14">
        <f t="shared" si="22"/>
        <v>0</v>
      </c>
      <c r="L373" s="21">
        <f>EDATE(C373,参数设置!$B$14)</f>
        <v>47524</v>
      </c>
      <c r="M373">
        <f t="shared" si="23"/>
        <v>0</v>
      </c>
    </row>
    <row r="374" spans="1:13">
      <c r="A374">
        <v>31</v>
      </c>
      <c r="B374">
        <v>31</v>
      </c>
      <c r="C374" s="21">
        <f>EDATE(参数设置!$B$4,A374-1)</f>
        <v>47159</v>
      </c>
      <c r="D374" s="14">
        <f>IF(AND(A374&lt;=参数设置!$B$6,OR(INDEX(月度资金流!$B$7:$B$42,A374)="策略一：消费贷款+买基金",INDEX(月度资金流!$B$7:$B$42,A374)="策略二：新贷偿还旧贷")),参数设置!$B$5,0)</f>
        <v>0</v>
      </c>
      <c r="E374">
        <v>11</v>
      </c>
      <c r="F374" s="21">
        <f t="shared" si="20"/>
        <v>47488</v>
      </c>
      <c r="G374" s="21">
        <f>IF(E374&lt;参数设置!$B$14,DATE(YEAR(EDATE(C374,E374+1)),MONTH(EDATE(C374,E374+1)),参数设置!$B$15),EDATE(C374,参数设置!$B$14))</f>
        <v>47519</v>
      </c>
      <c r="H374">
        <f t="shared" si="21"/>
        <v>31</v>
      </c>
      <c r="I374" s="14">
        <f>IF(E374=参数设置!$B$14,D374,0)</f>
        <v>0</v>
      </c>
      <c r="J374" s="14">
        <f>IF(M374=1,ROUND(D374*参数设置!$B$12*H374/参数设置!$B$13,参数设置!$B$16),0)</f>
        <v>0</v>
      </c>
      <c r="K374" s="14">
        <f t="shared" si="22"/>
        <v>0</v>
      </c>
      <c r="L374" s="21">
        <f>EDATE(C374,参数设置!$B$14)</f>
        <v>47524</v>
      </c>
      <c r="M374">
        <f t="shared" si="23"/>
        <v>0</v>
      </c>
    </row>
    <row r="375" spans="1:13">
      <c r="A375">
        <v>31</v>
      </c>
      <c r="B375">
        <v>31</v>
      </c>
      <c r="C375" s="21">
        <f>EDATE(参数设置!$B$4,A375-1)</f>
        <v>47159</v>
      </c>
      <c r="D375" s="14">
        <f>IF(AND(A375&lt;=参数设置!$B$6,OR(INDEX(月度资金流!$B$7:$B$42,A375)="策略一：消费贷款+买基金",INDEX(月度资金流!$B$7:$B$42,A375)="策略二：新贷偿还旧贷")),参数设置!$B$5,0)</f>
        <v>0</v>
      </c>
      <c r="E375">
        <v>12</v>
      </c>
      <c r="F375" s="21">
        <f t="shared" si="20"/>
        <v>47519</v>
      </c>
      <c r="G375" s="21">
        <f>IF(E375&lt;参数设置!$B$14,DATE(YEAR(EDATE(C375,E375+1)),MONTH(EDATE(C375,E375+1)),参数设置!$B$15),EDATE(C375,参数设置!$B$14))</f>
        <v>47524</v>
      </c>
      <c r="H375">
        <f t="shared" si="21"/>
        <v>5</v>
      </c>
      <c r="I375" s="14">
        <f>IF(E375=参数设置!$B$14,D375,0)</f>
        <v>0</v>
      </c>
      <c r="J375" s="14">
        <f>IF(M375=1,ROUND(D375*参数设置!$B$12*H375/参数设置!$B$13,参数设置!$B$16),0)</f>
        <v>0</v>
      </c>
      <c r="K375" s="14">
        <f t="shared" si="22"/>
        <v>0</v>
      </c>
      <c r="L375" s="21">
        <f>EDATE(C375,参数设置!$B$14)</f>
        <v>47524</v>
      </c>
      <c r="M375">
        <f t="shared" si="23"/>
        <v>0</v>
      </c>
    </row>
    <row r="376" spans="1:13">
      <c r="A376">
        <v>32</v>
      </c>
      <c r="B376">
        <v>32</v>
      </c>
      <c r="C376" s="21">
        <f>EDATE(参数设置!$B$4,A376-1)</f>
        <v>47187</v>
      </c>
      <c r="D376" s="14">
        <f>IF(AND(A376&lt;=参数设置!$B$6,OR(INDEX(月度资金流!$B$7:$B$42,A376)="策略一：消费贷款+买基金",INDEX(月度资金流!$B$7:$B$42,A376)="策略二：新贷偿还旧贷")),参数设置!$B$5,0)</f>
        <v>0</v>
      </c>
      <c r="E376">
        <v>1</v>
      </c>
      <c r="F376" s="21">
        <f t="shared" si="20"/>
        <v>47187</v>
      </c>
      <c r="G376" s="21">
        <f>IF(E376&lt;参数设置!$B$14,DATE(YEAR(EDATE(C376,E376+1)),MONTH(EDATE(C376,E376+1)),参数设置!$B$15),EDATE(C376,参数设置!$B$14))</f>
        <v>47243</v>
      </c>
      <c r="H376">
        <f t="shared" si="21"/>
        <v>56</v>
      </c>
      <c r="I376" s="14">
        <f>IF(E376=参数设置!$B$14,D376,0)</f>
        <v>0</v>
      </c>
      <c r="J376" s="14">
        <f>IF(M376=1,ROUND(D376*参数设置!$B$12*H376/参数设置!$B$13,参数设置!$B$16),0)</f>
        <v>0</v>
      </c>
      <c r="K376" s="14">
        <f t="shared" si="22"/>
        <v>0</v>
      </c>
      <c r="L376" s="21">
        <f>EDATE(C376,参数设置!$B$14)</f>
        <v>47552</v>
      </c>
      <c r="M376">
        <f t="shared" si="23"/>
        <v>0</v>
      </c>
    </row>
    <row r="377" spans="1:13">
      <c r="A377">
        <v>32</v>
      </c>
      <c r="B377">
        <v>32</v>
      </c>
      <c r="C377" s="21">
        <f>EDATE(参数设置!$B$4,A377-1)</f>
        <v>47187</v>
      </c>
      <c r="D377" s="14">
        <f>IF(AND(A377&lt;=参数设置!$B$6,OR(INDEX(月度资金流!$B$7:$B$42,A377)="策略一：消费贷款+买基金",INDEX(月度资金流!$B$7:$B$42,A377)="策略二：新贷偿还旧贷")),参数设置!$B$5,0)</f>
        <v>0</v>
      </c>
      <c r="E377">
        <v>2</v>
      </c>
      <c r="F377" s="21">
        <f t="shared" si="20"/>
        <v>47243</v>
      </c>
      <c r="G377" s="21">
        <f>IF(E377&lt;参数设置!$B$14,DATE(YEAR(EDATE(C377,E377+1)),MONTH(EDATE(C377,E377+1)),参数设置!$B$15),EDATE(C377,参数设置!$B$14))</f>
        <v>47274</v>
      </c>
      <c r="H377">
        <f t="shared" si="21"/>
        <v>31</v>
      </c>
      <c r="I377" s="14">
        <f>IF(E377=参数设置!$B$14,D377,0)</f>
        <v>0</v>
      </c>
      <c r="J377" s="14">
        <f>IF(M377=1,ROUND(D377*参数设置!$B$12*H377/参数设置!$B$13,参数设置!$B$16),0)</f>
        <v>0</v>
      </c>
      <c r="K377" s="14">
        <f t="shared" si="22"/>
        <v>0</v>
      </c>
      <c r="L377" s="21">
        <f>EDATE(C377,参数设置!$B$14)</f>
        <v>47552</v>
      </c>
      <c r="M377">
        <f t="shared" si="23"/>
        <v>0</v>
      </c>
    </row>
    <row r="378" spans="1:13">
      <c r="A378">
        <v>32</v>
      </c>
      <c r="B378">
        <v>32</v>
      </c>
      <c r="C378" s="21">
        <f>EDATE(参数设置!$B$4,A378-1)</f>
        <v>47187</v>
      </c>
      <c r="D378" s="14">
        <f>IF(AND(A378&lt;=参数设置!$B$6,OR(INDEX(月度资金流!$B$7:$B$42,A378)="策略一：消费贷款+买基金",INDEX(月度资金流!$B$7:$B$42,A378)="策略二：新贷偿还旧贷")),参数设置!$B$5,0)</f>
        <v>0</v>
      </c>
      <c r="E378">
        <v>3</v>
      </c>
      <c r="F378" s="21">
        <f t="shared" si="20"/>
        <v>47274</v>
      </c>
      <c r="G378" s="21">
        <f>IF(E378&lt;参数设置!$B$14,DATE(YEAR(EDATE(C378,E378+1)),MONTH(EDATE(C378,E378+1)),参数设置!$B$15),EDATE(C378,参数设置!$B$14))</f>
        <v>47304</v>
      </c>
      <c r="H378">
        <f t="shared" si="21"/>
        <v>30</v>
      </c>
      <c r="I378" s="14">
        <f>IF(E378=参数设置!$B$14,D378,0)</f>
        <v>0</v>
      </c>
      <c r="J378" s="14">
        <f>IF(M378=1,ROUND(D378*参数设置!$B$12*H378/参数设置!$B$13,参数设置!$B$16),0)</f>
        <v>0</v>
      </c>
      <c r="K378" s="14">
        <f t="shared" si="22"/>
        <v>0</v>
      </c>
      <c r="L378" s="21">
        <f>EDATE(C378,参数设置!$B$14)</f>
        <v>47552</v>
      </c>
      <c r="M378">
        <f t="shared" si="23"/>
        <v>0</v>
      </c>
    </row>
    <row r="379" spans="1:13">
      <c r="A379">
        <v>32</v>
      </c>
      <c r="B379">
        <v>32</v>
      </c>
      <c r="C379" s="21">
        <f>EDATE(参数设置!$B$4,A379-1)</f>
        <v>47187</v>
      </c>
      <c r="D379" s="14">
        <f>IF(AND(A379&lt;=参数设置!$B$6,OR(INDEX(月度资金流!$B$7:$B$42,A379)="策略一：消费贷款+买基金",INDEX(月度资金流!$B$7:$B$42,A379)="策略二：新贷偿还旧贷")),参数设置!$B$5,0)</f>
        <v>0</v>
      </c>
      <c r="E379">
        <v>4</v>
      </c>
      <c r="F379" s="21">
        <f t="shared" si="20"/>
        <v>47304</v>
      </c>
      <c r="G379" s="21">
        <f>IF(E379&lt;参数设置!$B$14,DATE(YEAR(EDATE(C379,E379+1)),MONTH(EDATE(C379,E379+1)),参数设置!$B$15),EDATE(C379,参数设置!$B$14))</f>
        <v>47335</v>
      </c>
      <c r="H379">
        <f t="shared" si="21"/>
        <v>31</v>
      </c>
      <c r="I379" s="14">
        <f>IF(E379=参数设置!$B$14,D379,0)</f>
        <v>0</v>
      </c>
      <c r="J379" s="14">
        <f>IF(M379=1,ROUND(D379*参数设置!$B$12*H379/参数设置!$B$13,参数设置!$B$16),0)</f>
        <v>0</v>
      </c>
      <c r="K379" s="14">
        <f t="shared" si="22"/>
        <v>0</v>
      </c>
      <c r="L379" s="21">
        <f>EDATE(C379,参数设置!$B$14)</f>
        <v>47552</v>
      </c>
      <c r="M379">
        <f t="shared" si="23"/>
        <v>0</v>
      </c>
    </row>
    <row r="380" spans="1:13">
      <c r="A380">
        <v>32</v>
      </c>
      <c r="B380">
        <v>32</v>
      </c>
      <c r="C380" s="21">
        <f>EDATE(参数设置!$B$4,A380-1)</f>
        <v>47187</v>
      </c>
      <c r="D380" s="14">
        <f>IF(AND(A380&lt;=参数设置!$B$6,OR(INDEX(月度资金流!$B$7:$B$42,A380)="策略一：消费贷款+买基金",INDEX(月度资金流!$B$7:$B$42,A380)="策略二：新贷偿还旧贷")),参数设置!$B$5,0)</f>
        <v>0</v>
      </c>
      <c r="E380">
        <v>5</v>
      </c>
      <c r="F380" s="21">
        <f t="shared" si="20"/>
        <v>47335</v>
      </c>
      <c r="G380" s="21">
        <f>IF(E380&lt;参数设置!$B$14,DATE(YEAR(EDATE(C380,E380+1)),MONTH(EDATE(C380,E380+1)),参数设置!$B$15),EDATE(C380,参数设置!$B$14))</f>
        <v>47366</v>
      </c>
      <c r="H380">
        <f t="shared" si="21"/>
        <v>31</v>
      </c>
      <c r="I380" s="14">
        <f>IF(E380=参数设置!$B$14,D380,0)</f>
        <v>0</v>
      </c>
      <c r="J380" s="14">
        <f>IF(M380=1,ROUND(D380*参数设置!$B$12*H380/参数设置!$B$13,参数设置!$B$16),0)</f>
        <v>0</v>
      </c>
      <c r="K380" s="14">
        <f t="shared" si="22"/>
        <v>0</v>
      </c>
      <c r="L380" s="21">
        <f>EDATE(C380,参数设置!$B$14)</f>
        <v>47552</v>
      </c>
      <c r="M380">
        <f t="shared" si="23"/>
        <v>0</v>
      </c>
    </row>
    <row r="381" spans="1:13">
      <c r="A381">
        <v>32</v>
      </c>
      <c r="B381">
        <v>32</v>
      </c>
      <c r="C381" s="21">
        <f>EDATE(参数设置!$B$4,A381-1)</f>
        <v>47187</v>
      </c>
      <c r="D381" s="14">
        <f>IF(AND(A381&lt;=参数设置!$B$6,OR(INDEX(月度资金流!$B$7:$B$42,A381)="策略一：消费贷款+买基金",INDEX(月度资金流!$B$7:$B$42,A381)="策略二：新贷偿还旧贷")),参数设置!$B$5,0)</f>
        <v>0</v>
      </c>
      <c r="E381">
        <v>6</v>
      </c>
      <c r="F381" s="21">
        <f t="shared" si="20"/>
        <v>47366</v>
      </c>
      <c r="G381" s="21">
        <f>IF(E381&lt;参数设置!$B$14,DATE(YEAR(EDATE(C381,E381+1)),MONTH(EDATE(C381,E381+1)),参数设置!$B$15),EDATE(C381,参数设置!$B$14))</f>
        <v>47396</v>
      </c>
      <c r="H381">
        <f t="shared" si="21"/>
        <v>30</v>
      </c>
      <c r="I381" s="14">
        <f>IF(E381=参数设置!$B$14,D381,0)</f>
        <v>0</v>
      </c>
      <c r="J381" s="14">
        <f>IF(M381=1,ROUND(D381*参数设置!$B$12*H381/参数设置!$B$13,参数设置!$B$16),0)</f>
        <v>0</v>
      </c>
      <c r="K381" s="14">
        <f t="shared" si="22"/>
        <v>0</v>
      </c>
      <c r="L381" s="21">
        <f>EDATE(C381,参数设置!$B$14)</f>
        <v>47552</v>
      </c>
      <c r="M381">
        <f t="shared" si="23"/>
        <v>0</v>
      </c>
    </row>
    <row r="382" spans="1:13">
      <c r="A382">
        <v>32</v>
      </c>
      <c r="B382">
        <v>32</v>
      </c>
      <c r="C382" s="21">
        <f>EDATE(参数设置!$B$4,A382-1)</f>
        <v>47187</v>
      </c>
      <c r="D382" s="14">
        <f>IF(AND(A382&lt;=参数设置!$B$6,OR(INDEX(月度资金流!$B$7:$B$42,A382)="策略一：消费贷款+买基金",INDEX(月度资金流!$B$7:$B$42,A382)="策略二：新贷偿还旧贷")),参数设置!$B$5,0)</f>
        <v>0</v>
      </c>
      <c r="E382">
        <v>7</v>
      </c>
      <c r="F382" s="21">
        <f t="shared" si="20"/>
        <v>47396</v>
      </c>
      <c r="G382" s="21">
        <f>IF(E382&lt;参数设置!$B$14,DATE(YEAR(EDATE(C382,E382+1)),MONTH(EDATE(C382,E382+1)),参数设置!$B$15),EDATE(C382,参数设置!$B$14))</f>
        <v>47427</v>
      </c>
      <c r="H382">
        <f t="shared" si="21"/>
        <v>31</v>
      </c>
      <c r="I382" s="14">
        <f>IF(E382=参数设置!$B$14,D382,0)</f>
        <v>0</v>
      </c>
      <c r="J382" s="14">
        <f>IF(M382=1,ROUND(D382*参数设置!$B$12*H382/参数设置!$B$13,参数设置!$B$16),0)</f>
        <v>0</v>
      </c>
      <c r="K382" s="14">
        <f t="shared" si="22"/>
        <v>0</v>
      </c>
      <c r="L382" s="21">
        <f>EDATE(C382,参数设置!$B$14)</f>
        <v>47552</v>
      </c>
      <c r="M382">
        <f t="shared" si="23"/>
        <v>0</v>
      </c>
    </row>
    <row r="383" spans="1:13">
      <c r="A383">
        <v>32</v>
      </c>
      <c r="B383">
        <v>32</v>
      </c>
      <c r="C383" s="21">
        <f>EDATE(参数设置!$B$4,A383-1)</f>
        <v>47187</v>
      </c>
      <c r="D383" s="14">
        <f>IF(AND(A383&lt;=参数设置!$B$6,OR(INDEX(月度资金流!$B$7:$B$42,A383)="策略一：消费贷款+买基金",INDEX(月度资金流!$B$7:$B$42,A383)="策略二：新贷偿还旧贷")),参数设置!$B$5,0)</f>
        <v>0</v>
      </c>
      <c r="E383">
        <v>8</v>
      </c>
      <c r="F383" s="21">
        <f t="shared" si="20"/>
        <v>47427</v>
      </c>
      <c r="G383" s="21">
        <f>IF(E383&lt;参数设置!$B$14,DATE(YEAR(EDATE(C383,E383+1)),MONTH(EDATE(C383,E383+1)),参数设置!$B$15),EDATE(C383,参数设置!$B$14))</f>
        <v>47457</v>
      </c>
      <c r="H383">
        <f t="shared" si="21"/>
        <v>30</v>
      </c>
      <c r="I383" s="14">
        <f>IF(E383=参数设置!$B$14,D383,0)</f>
        <v>0</v>
      </c>
      <c r="J383" s="14">
        <f>IF(M383=1,ROUND(D383*参数设置!$B$12*H383/参数设置!$B$13,参数设置!$B$16),0)</f>
        <v>0</v>
      </c>
      <c r="K383" s="14">
        <f t="shared" si="22"/>
        <v>0</v>
      </c>
      <c r="L383" s="21">
        <f>EDATE(C383,参数设置!$B$14)</f>
        <v>47552</v>
      </c>
      <c r="M383">
        <f t="shared" si="23"/>
        <v>0</v>
      </c>
    </row>
    <row r="384" spans="1:13">
      <c r="A384">
        <v>32</v>
      </c>
      <c r="B384">
        <v>32</v>
      </c>
      <c r="C384" s="21">
        <f>EDATE(参数设置!$B$4,A384-1)</f>
        <v>47187</v>
      </c>
      <c r="D384" s="14">
        <f>IF(AND(A384&lt;=参数设置!$B$6,OR(INDEX(月度资金流!$B$7:$B$42,A384)="策略一：消费贷款+买基金",INDEX(月度资金流!$B$7:$B$42,A384)="策略二：新贷偿还旧贷")),参数设置!$B$5,0)</f>
        <v>0</v>
      </c>
      <c r="E384">
        <v>9</v>
      </c>
      <c r="F384" s="21">
        <f t="shared" si="20"/>
        <v>47457</v>
      </c>
      <c r="G384" s="21">
        <f>IF(E384&lt;参数设置!$B$14,DATE(YEAR(EDATE(C384,E384+1)),MONTH(EDATE(C384,E384+1)),参数设置!$B$15),EDATE(C384,参数设置!$B$14))</f>
        <v>47488</v>
      </c>
      <c r="H384">
        <f t="shared" si="21"/>
        <v>31</v>
      </c>
      <c r="I384" s="14">
        <f>IF(E384=参数设置!$B$14,D384,0)</f>
        <v>0</v>
      </c>
      <c r="J384" s="14">
        <f>IF(M384=1,ROUND(D384*参数设置!$B$12*H384/参数设置!$B$13,参数设置!$B$16),0)</f>
        <v>0</v>
      </c>
      <c r="K384" s="14">
        <f t="shared" si="22"/>
        <v>0</v>
      </c>
      <c r="L384" s="21">
        <f>EDATE(C384,参数设置!$B$14)</f>
        <v>47552</v>
      </c>
      <c r="M384">
        <f t="shared" si="23"/>
        <v>0</v>
      </c>
    </row>
    <row r="385" spans="1:13">
      <c r="A385">
        <v>32</v>
      </c>
      <c r="B385">
        <v>32</v>
      </c>
      <c r="C385" s="21">
        <f>EDATE(参数设置!$B$4,A385-1)</f>
        <v>47187</v>
      </c>
      <c r="D385" s="14">
        <f>IF(AND(A385&lt;=参数设置!$B$6,OR(INDEX(月度资金流!$B$7:$B$42,A385)="策略一：消费贷款+买基金",INDEX(月度资金流!$B$7:$B$42,A385)="策略二：新贷偿还旧贷")),参数设置!$B$5,0)</f>
        <v>0</v>
      </c>
      <c r="E385">
        <v>10</v>
      </c>
      <c r="F385" s="21">
        <f t="shared" si="20"/>
        <v>47488</v>
      </c>
      <c r="G385" s="21">
        <f>IF(E385&lt;参数设置!$B$14,DATE(YEAR(EDATE(C385,E385+1)),MONTH(EDATE(C385,E385+1)),参数设置!$B$15),EDATE(C385,参数设置!$B$14))</f>
        <v>47519</v>
      </c>
      <c r="H385">
        <f t="shared" si="21"/>
        <v>31</v>
      </c>
      <c r="I385" s="14">
        <f>IF(E385=参数设置!$B$14,D385,0)</f>
        <v>0</v>
      </c>
      <c r="J385" s="14">
        <f>IF(M385=1,ROUND(D385*参数设置!$B$12*H385/参数设置!$B$13,参数设置!$B$16),0)</f>
        <v>0</v>
      </c>
      <c r="K385" s="14">
        <f t="shared" si="22"/>
        <v>0</v>
      </c>
      <c r="L385" s="21">
        <f>EDATE(C385,参数设置!$B$14)</f>
        <v>47552</v>
      </c>
      <c r="M385">
        <f t="shared" si="23"/>
        <v>0</v>
      </c>
    </row>
    <row r="386" spans="1:13">
      <c r="A386">
        <v>32</v>
      </c>
      <c r="B386">
        <v>32</v>
      </c>
      <c r="C386" s="21">
        <f>EDATE(参数设置!$B$4,A386-1)</f>
        <v>47187</v>
      </c>
      <c r="D386" s="14">
        <f>IF(AND(A386&lt;=参数设置!$B$6,OR(INDEX(月度资金流!$B$7:$B$42,A386)="策略一：消费贷款+买基金",INDEX(月度资金流!$B$7:$B$42,A386)="策略二：新贷偿还旧贷")),参数设置!$B$5,0)</f>
        <v>0</v>
      </c>
      <c r="E386">
        <v>11</v>
      </c>
      <c r="F386" s="21">
        <f t="shared" si="20"/>
        <v>47519</v>
      </c>
      <c r="G386" s="21">
        <f>IF(E386&lt;参数设置!$B$14,DATE(YEAR(EDATE(C386,E386+1)),MONTH(EDATE(C386,E386+1)),参数设置!$B$15),EDATE(C386,参数设置!$B$14))</f>
        <v>47547</v>
      </c>
      <c r="H386">
        <f t="shared" si="21"/>
        <v>28</v>
      </c>
      <c r="I386" s="14">
        <f>IF(E386=参数设置!$B$14,D386,0)</f>
        <v>0</v>
      </c>
      <c r="J386" s="14">
        <f>IF(M386=1,ROUND(D386*参数设置!$B$12*H386/参数设置!$B$13,参数设置!$B$16),0)</f>
        <v>0</v>
      </c>
      <c r="K386" s="14">
        <f t="shared" si="22"/>
        <v>0</v>
      </c>
      <c r="L386" s="21">
        <f>EDATE(C386,参数设置!$B$14)</f>
        <v>47552</v>
      </c>
      <c r="M386">
        <f t="shared" si="23"/>
        <v>0</v>
      </c>
    </row>
    <row r="387" spans="1:13">
      <c r="A387">
        <v>32</v>
      </c>
      <c r="B387">
        <v>32</v>
      </c>
      <c r="C387" s="21">
        <f>EDATE(参数设置!$B$4,A387-1)</f>
        <v>47187</v>
      </c>
      <c r="D387" s="14">
        <f>IF(AND(A387&lt;=参数设置!$B$6,OR(INDEX(月度资金流!$B$7:$B$42,A387)="策略一：消费贷款+买基金",INDEX(月度资金流!$B$7:$B$42,A387)="策略二：新贷偿还旧贷")),参数设置!$B$5,0)</f>
        <v>0</v>
      </c>
      <c r="E387">
        <v>12</v>
      </c>
      <c r="F387" s="21">
        <f t="shared" si="20"/>
        <v>47547</v>
      </c>
      <c r="G387" s="21">
        <f>IF(E387&lt;参数设置!$B$14,DATE(YEAR(EDATE(C387,E387+1)),MONTH(EDATE(C387,E387+1)),参数设置!$B$15),EDATE(C387,参数设置!$B$14))</f>
        <v>47552</v>
      </c>
      <c r="H387">
        <f t="shared" si="21"/>
        <v>5</v>
      </c>
      <c r="I387" s="14">
        <f>IF(E387=参数设置!$B$14,D387,0)</f>
        <v>0</v>
      </c>
      <c r="J387" s="14">
        <f>IF(M387=1,ROUND(D387*参数设置!$B$12*H387/参数设置!$B$13,参数设置!$B$16),0)</f>
        <v>0</v>
      </c>
      <c r="K387" s="14">
        <f t="shared" si="22"/>
        <v>0</v>
      </c>
      <c r="L387" s="21">
        <f>EDATE(C387,参数设置!$B$14)</f>
        <v>47552</v>
      </c>
      <c r="M387">
        <f t="shared" si="23"/>
        <v>0</v>
      </c>
    </row>
    <row r="388" spans="1:13">
      <c r="A388">
        <v>33</v>
      </c>
      <c r="B388">
        <v>33</v>
      </c>
      <c r="C388" s="21">
        <f>EDATE(参数设置!$B$4,A388-1)</f>
        <v>47218</v>
      </c>
      <c r="D388" s="14">
        <f>IF(AND(A388&lt;=参数设置!$B$6,OR(INDEX(月度资金流!$B$7:$B$42,A388)="策略一：消费贷款+买基金",INDEX(月度资金流!$B$7:$B$42,A388)="策略二：新贷偿还旧贷")),参数设置!$B$5,0)</f>
        <v>0</v>
      </c>
      <c r="E388">
        <v>1</v>
      </c>
      <c r="F388" s="21">
        <f t="shared" ref="F388:F451" si="24">IF(E388=1,C388,G387)</f>
        <v>47218</v>
      </c>
      <c r="G388" s="21">
        <f>IF(E388&lt;参数设置!$B$14,DATE(YEAR(EDATE(C388,E388+1)),MONTH(EDATE(C388,E388+1)),参数设置!$B$15),EDATE(C388,参数设置!$B$14))</f>
        <v>47274</v>
      </c>
      <c r="H388">
        <f t="shared" ref="H388:H451" si="25">G388-F388</f>
        <v>56</v>
      </c>
      <c r="I388" s="14">
        <f>IF(E388=参数设置!$B$14,D388,0)</f>
        <v>0</v>
      </c>
      <c r="J388" s="14">
        <f>IF(M388=1,ROUND(D388*参数设置!$B$12*H388/参数设置!$B$13,参数设置!$B$16),0)</f>
        <v>0</v>
      </c>
      <c r="K388" s="14">
        <f t="shared" ref="K388:K451" si="26">I388+J388</f>
        <v>0</v>
      </c>
      <c r="L388" s="21">
        <f>EDATE(C388,参数设置!$B$14)</f>
        <v>47583</v>
      </c>
      <c r="M388">
        <f t="shared" ref="M388:M435" si="27">--(D388&gt;0)</f>
        <v>0</v>
      </c>
    </row>
    <row r="389" spans="1:13">
      <c r="A389">
        <v>33</v>
      </c>
      <c r="B389">
        <v>33</v>
      </c>
      <c r="C389" s="21">
        <f>EDATE(参数设置!$B$4,A389-1)</f>
        <v>47218</v>
      </c>
      <c r="D389" s="14">
        <f>IF(AND(A389&lt;=参数设置!$B$6,OR(INDEX(月度资金流!$B$7:$B$42,A389)="策略一：消费贷款+买基金",INDEX(月度资金流!$B$7:$B$42,A389)="策略二：新贷偿还旧贷")),参数设置!$B$5,0)</f>
        <v>0</v>
      </c>
      <c r="E389">
        <v>2</v>
      </c>
      <c r="F389" s="21">
        <f t="shared" si="24"/>
        <v>47274</v>
      </c>
      <c r="G389" s="21">
        <f>IF(E389&lt;参数设置!$B$14,DATE(YEAR(EDATE(C389,E389+1)),MONTH(EDATE(C389,E389+1)),参数设置!$B$15),EDATE(C389,参数设置!$B$14))</f>
        <v>47304</v>
      </c>
      <c r="H389">
        <f t="shared" si="25"/>
        <v>30</v>
      </c>
      <c r="I389" s="14">
        <f>IF(E389=参数设置!$B$14,D389,0)</f>
        <v>0</v>
      </c>
      <c r="J389" s="14">
        <f>IF(M389=1,ROUND(D389*参数设置!$B$12*H389/参数设置!$B$13,参数设置!$B$16),0)</f>
        <v>0</v>
      </c>
      <c r="K389" s="14">
        <f t="shared" si="26"/>
        <v>0</v>
      </c>
      <c r="L389" s="21">
        <f>EDATE(C389,参数设置!$B$14)</f>
        <v>47583</v>
      </c>
      <c r="M389">
        <f t="shared" si="27"/>
        <v>0</v>
      </c>
    </row>
    <row r="390" spans="1:13">
      <c r="A390">
        <v>33</v>
      </c>
      <c r="B390">
        <v>33</v>
      </c>
      <c r="C390" s="21">
        <f>EDATE(参数设置!$B$4,A390-1)</f>
        <v>47218</v>
      </c>
      <c r="D390" s="14">
        <f>IF(AND(A390&lt;=参数设置!$B$6,OR(INDEX(月度资金流!$B$7:$B$42,A390)="策略一：消费贷款+买基金",INDEX(月度资金流!$B$7:$B$42,A390)="策略二：新贷偿还旧贷")),参数设置!$B$5,0)</f>
        <v>0</v>
      </c>
      <c r="E390">
        <v>3</v>
      </c>
      <c r="F390" s="21">
        <f t="shared" si="24"/>
        <v>47304</v>
      </c>
      <c r="G390" s="21">
        <f>IF(E390&lt;参数设置!$B$14,DATE(YEAR(EDATE(C390,E390+1)),MONTH(EDATE(C390,E390+1)),参数设置!$B$15),EDATE(C390,参数设置!$B$14))</f>
        <v>47335</v>
      </c>
      <c r="H390">
        <f t="shared" si="25"/>
        <v>31</v>
      </c>
      <c r="I390" s="14">
        <f>IF(E390=参数设置!$B$14,D390,0)</f>
        <v>0</v>
      </c>
      <c r="J390" s="14">
        <f>IF(M390=1,ROUND(D390*参数设置!$B$12*H390/参数设置!$B$13,参数设置!$B$16),0)</f>
        <v>0</v>
      </c>
      <c r="K390" s="14">
        <f t="shared" si="26"/>
        <v>0</v>
      </c>
      <c r="L390" s="21">
        <f>EDATE(C390,参数设置!$B$14)</f>
        <v>47583</v>
      </c>
      <c r="M390">
        <f t="shared" si="27"/>
        <v>0</v>
      </c>
    </row>
    <row r="391" spans="1:13">
      <c r="A391">
        <v>33</v>
      </c>
      <c r="B391">
        <v>33</v>
      </c>
      <c r="C391" s="21">
        <f>EDATE(参数设置!$B$4,A391-1)</f>
        <v>47218</v>
      </c>
      <c r="D391" s="14">
        <f>IF(AND(A391&lt;=参数设置!$B$6,OR(INDEX(月度资金流!$B$7:$B$42,A391)="策略一：消费贷款+买基金",INDEX(月度资金流!$B$7:$B$42,A391)="策略二：新贷偿还旧贷")),参数设置!$B$5,0)</f>
        <v>0</v>
      </c>
      <c r="E391">
        <v>4</v>
      </c>
      <c r="F391" s="21">
        <f t="shared" si="24"/>
        <v>47335</v>
      </c>
      <c r="G391" s="21">
        <f>IF(E391&lt;参数设置!$B$14,DATE(YEAR(EDATE(C391,E391+1)),MONTH(EDATE(C391,E391+1)),参数设置!$B$15),EDATE(C391,参数设置!$B$14))</f>
        <v>47366</v>
      </c>
      <c r="H391">
        <f t="shared" si="25"/>
        <v>31</v>
      </c>
      <c r="I391" s="14">
        <f>IF(E391=参数设置!$B$14,D391,0)</f>
        <v>0</v>
      </c>
      <c r="J391" s="14">
        <f>IF(M391=1,ROUND(D391*参数设置!$B$12*H391/参数设置!$B$13,参数设置!$B$16),0)</f>
        <v>0</v>
      </c>
      <c r="K391" s="14">
        <f t="shared" si="26"/>
        <v>0</v>
      </c>
      <c r="L391" s="21">
        <f>EDATE(C391,参数设置!$B$14)</f>
        <v>47583</v>
      </c>
      <c r="M391">
        <f t="shared" si="27"/>
        <v>0</v>
      </c>
    </row>
    <row r="392" spans="1:13">
      <c r="A392">
        <v>33</v>
      </c>
      <c r="B392">
        <v>33</v>
      </c>
      <c r="C392" s="21">
        <f>EDATE(参数设置!$B$4,A392-1)</f>
        <v>47218</v>
      </c>
      <c r="D392" s="14">
        <f>IF(AND(A392&lt;=参数设置!$B$6,OR(INDEX(月度资金流!$B$7:$B$42,A392)="策略一：消费贷款+买基金",INDEX(月度资金流!$B$7:$B$42,A392)="策略二：新贷偿还旧贷")),参数设置!$B$5,0)</f>
        <v>0</v>
      </c>
      <c r="E392">
        <v>5</v>
      </c>
      <c r="F392" s="21">
        <f t="shared" si="24"/>
        <v>47366</v>
      </c>
      <c r="G392" s="21">
        <f>IF(E392&lt;参数设置!$B$14,DATE(YEAR(EDATE(C392,E392+1)),MONTH(EDATE(C392,E392+1)),参数设置!$B$15),EDATE(C392,参数设置!$B$14))</f>
        <v>47396</v>
      </c>
      <c r="H392">
        <f t="shared" si="25"/>
        <v>30</v>
      </c>
      <c r="I392" s="14">
        <f>IF(E392=参数设置!$B$14,D392,0)</f>
        <v>0</v>
      </c>
      <c r="J392" s="14">
        <f>IF(M392=1,ROUND(D392*参数设置!$B$12*H392/参数设置!$B$13,参数设置!$B$16),0)</f>
        <v>0</v>
      </c>
      <c r="K392" s="14">
        <f t="shared" si="26"/>
        <v>0</v>
      </c>
      <c r="L392" s="21">
        <f>EDATE(C392,参数设置!$B$14)</f>
        <v>47583</v>
      </c>
      <c r="M392">
        <f t="shared" si="27"/>
        <v>0</v>
      </c>
    </row>
    <row r="393" spans="1:13">
      <c r="A393">
        <v>33</v>
      </c>
      <c r="B393">
        <v>33</v>
      </c>
      <c r="C393" s="21">
        <f>EDATE(参数设置!$B$4,A393-1)</f>
        <v>47218</v>
      </c>
      <c r="D393" s="14">
        <f>IF(AND(A393&lt;=参数设置!$B$6,OR(INDEX(月度资金流!$B$7:$B$42,A393)="策略一：消费贷款+买基金",INDEX(月度资金流!$B$7:$B$42,A393)="策略二：新贷偿还旧贷")),参数设置!$B$5,0)</f>
        <v>0</v>
      </c>
      <c r="E393">
        <v>6</v>
      </c>
      <c r="F393" s="21">
        <f t="shared" si="24"/>
        <v>47396</v>
      </c>
      <c r="G393" s="21">
        <f>IF(E393&lt;参数设置!$B$14,DATE(YEAR(EDATE(C393,E393+1)),MONTH(EDATE(C393,E393+1)),参数设置!$B$15),EDATE(C393,参数设置!$B$14))</f>
        <v>47427</v>
      </c>
      <c r="H393">
        <f t="shared" si="25"/>
        <v>31</v>
      </c>
      <c r="I393" s="14">
        <f>IF(E393=参数设置!$B$14,D393,0)</f>
        <v>0</v>
      </c>
      <c r="J393" s="14">
        <f>IF(M393=1,ROUND(D393*参数设置!$B$12*H393/参数设置!$B$13,参数设置!$B$16),0)</f>
        <v>0</v>
      </c>
      <c r="K393" s="14">
        <f t="shared" si="26"/>
        <v>0</v>
      </c>
      <c r="L393" s="21">
        <f>EDATE(C393,参数设置!$B$14)</f>
        <v>47583</v>
      </c>
      <c r="M393">
        <f t="shared" si="27"/>
        <v>0</v>
      </c>
    </row>
    <row r="394" spans="1:13">
      <c r="A394">
        <v>33</v>
      </c>
      <c r="B394">
        <v>33</v>
      </c>
      <c r="C394" s="21">
        <f>EDATE(参数设置!$B$4,A394-1)</f>
        <v>47218</v>
      </c>
      <c r="D394" s="14">
        <f>IF(AND(A394&lt;=参数设置!$B$6,OR(INDEX(月度资金流!$B$7:$B$42,A394)="策略一：消费贷款+买基金",INDEX(月度资金流!$B$7:$B$42,A394)="策略二：新贷偿还旧贷")),参数设置!$B$5,0)</f>
        <v>0</v>
      </c>
      <c r="E394">
        <v>7</v>
      </c>
      <c r="F394" s="21">
        <f t="shared" si="24"/>
        <v>47427</v>
      </c>
      <c r="G394" s="21">
        <f>IF(E394&lt;参数设置!$B$14,DATE(YEAR(EDATE(C394,E394+1)),MONTH(EDATE(C394,E394+1)),参数设置!$B$15),EDATE(C394,参数设置!$B$14))</f>
        <v>47457</v>
      </c>
      <c r="H394">
        <f t="shared" si="25"/>
        <v>30</v>
      </c>
      <c r="I394" s="14">
        <f>IF(E394=参数设置!$B$14,D394,0)</f>
        <v>0</v>
      </c>
      <c r="J394" s="14">
        <f>IF(M394=1,ROUND(D394*参数设置!$B$12*H394/参数设置!$B$13,参数设置!$B$16),0)</f>
        <v>0</v>
      </c>
      <c r="K394" s="14">
        <f t="shared" si="26"/>
        <v>0</v>
      </c>
      <c r="L394" s="21">
        <f>EDATE(C394,参数设置!$B$14)</f>
        <v>47583</v>
      </c>
      <c r="M394">
        <f t="shared" si="27"/>
        <v>0</v>
      </c>
    </row>
    <row r="395" spans="1:13">
      <c r="A395">
        <v>33</v>
      </c>
      <c r="B395">
        <v>33</v>
      </c>
      <c r="C395" s="21">
        <f>EDATE(参数设置!$B$4,A395-1)</f>
        <v>47218</v>
      </c>
      <c r="D395" s="14">
        <f>IF(AND(A395&lt;=参数设置!$B$6,OR(INDEX(月度资金流!$B$7:$B$42,A395)="策略一：消费贷款+买基金",INDEX(月度资金流!$B$7:$B$42,A395)="策略二：新贷偿还旧贷")),参数设置!$B$5,0)</f>
        <v>0</v>
      </c>
      <c r="E395">
        <v>8</v>
      </c>
      <c r="F395" s="21">
        <f t="shared" si="24"/>
        <v>47457</v>
      </c>
      <c r="G395" s="21">
        <f>IF(E395&lt;参数设置!$B$14,DATE(YEAR(EDATE(C395,E395+1)),MONTH(EDATE(C395,E395+1)),参数设置!$B$15),EDATE(C395,参数设置!$B$14))</f>
        <v>47488</v>
      </c>
      <c r="H395">
        <f t="shared" si="25"/>
        <v>31</v>
      </c>
      <c r="I395" s="14">
        <f>IF(E395=参数设置!$B$14,D395,0)</f>
        <v>0</v>
      </c>
      <c r="J395" s="14">
        <f>IF(M395=1,ROUND(D395*参数设置!$B$12*H395/参数设置!$B$13,参数设置!$B$16),0)</f>
        <v>0</v>
      </c>
      <c r="K395" s="14">
        <f t="shared" si="26"/>
        <v>0</v>
      </c>
      <c r="L395" s="21">
        <f>EDATE(C395,参数设置!$B$14)</f>
        <v>47583</v>
      </c>
      <c r="M395">
        <f t="shared" si="27"/>
        <v>0</v>
      </c>
    </row>
    <row r="396" spans="1:13">
      <c r="A396">
        <v>33</v>
      </c>
      <c r="B396">
        <v>33</v>
      </c>
      <c r="C396" s="21">
        <f>EDATE(参数设置!$B$4,A396-1)</f>
        <v>47218</v>
      </c>
      <c r="D396" s="14">
        <f>IF(AND(A396&lt;=参数设置!$B$6,OR(INDEX(月度资金流!$B$7:$B$42,A396)="策略一：消费贷款+买基金",INDEX(月度资金流!$B$7:$B$42,A396)="策略二：新贷偿还旧贷")),参数设置!$B$5,0)</f>
        <v>0</v>
      </c>
      <c r="E396">
        <v>9</v>
      </c>
      <c r="F396" s="21">
        <f t="shared" si="24"/>
        <v>47488</v>
      </c>
      <c r="G396" s="21">
        <f>IF(E396&lt;参数设置!$B$14,DATE(YEAR(EDATE(C396,E396+1)),MONTH(EDATE(C396,E396+1)),参数设置!$B$15),EDATE(C396,参数设置!$B$14))</f>
        <v>47519</v>
      </c>
      <c r="H396">
        <f t="shared" si="25"/>
        <v>31</v>
      </c>
      <c r="I396" s="14">
        <f>IF(E396=参数设置!$B$14,D396,0)</f>
        <v>0</v>
      </c>
      <c r="J396" s="14">
        <f>IF(M396=1,ROUND(D396*参数设置!$B$12*H396/参数设置!$B$13,参数设置!$B$16),0)</f>
        <v>0</v>
      </c>
      <c r="K396" s="14">
        <f t="shared" si="26"/>
        <v>0</v>
      </c>
      <c r="L396" s="21">
        <f>EDATE(C396,参数设置!$B$14)</f>
        <v>47583</v>
      </c>
      <c r="M396">
        <f t="shared" si="27"/>
        <v>0</v>
      </c>
    </row>
    <row r="397" spans="1:13">
      <c r="A397">
        <v>33</v>
      </c>
      <c r="B397">
        <v>33</v>
      </c>
      <c r="C397" s="21">
        <f>EDATE(参数设置!$B$4,A397-1)</f>
        <v>47218</v>
      </c>
      <c r="D397" s="14">
        <f>IF(AND(A397&lt;=参数设置!$B$6,OR(INDEX(月度资金流!$B$7:$B$42,A397)="策略一：消费贷款+买基金",INDEX(月度资金流!$B$7:$B$42,A397)="策略二：新贷偿还旧贷")),参数设置!$B$5,0)</f>
        <v>0</v>
      </c>
      <c r="E397">
        <v>10</v>
      </c>
      <c r="F397" s="21">
        <f t="shared" si="24"/>
        <v>47519</v>
      </c>
      <c r="G397" s="21">
        <f>IF(E397&lt;参数设置!$B$14,DATE(YEAR(EDATE(C397,E397+1)),MONTH(EDATE(C397,E397+1)),参数设置!$B$15),EDATE(C397,参数设置!$B$14))</f>
        <v>47547</v>
      </c>
      <c r="H397">
        <f t="shared" si="25"/>
        <v>28</v>
      </c>
      <c r="I397" s="14">
        <f>IF(E397=参数设置!$B$14,D397,0)</f>
        <v>0</v>
      </c>
      <c r="J397" s="14">
        <f>IF(M397=1,ROUND(D397*参数设置!$B$12*H397/参数设置!$B$13,参数设置!$B$16),0)</f>
        <v>0</v>
      </c>
      <c r="K397" s="14">
        <f t="shared" si="26"/>
        <v>0</v>
      </c>
      <c r="L397" s="21">
        <f>EDATE(C397,参数设置!$B$14)</f>
        <v>47583</v>
      </c>
      <c r="M397">
        <f t="shared" si="27"/>
        <v>0</v>
      </c>
    </row>
    <row r="398" spans="1:13">
      <c r="A398">
        <v>33</v>
      </c>
      <c r="B398">
        <v>33</v>
      </c>
      <c r="C398" s="21">
        <f>EDATE(参数设置!$B$4,A398-1)</f>
        <v>47218</v>
      </c>
      <c r="D398" s="14">
        <f>IF(AND(A398&lt;=参数设置!$B$6,OR(INDEX(月度资金流!$B$7:$B$42,A398)="策略一：消费贷款+买基金",INDEX(月度资金流!$B$7:$B$42,A398)="策略二：新贷偿还旧贷")),参数设置!$B$5,0)</f>
        <v>0</v>
      </c>
      <c r="E398">
        <v>11</v>
      </c>
      <c r="F398" s="21">
        <f t="shared" si="24"/>
        <v>47547</v>
      </c>
      <c r="G398" s="21">
        <f>IF(E398&lt;参数设置!$B$14,DATE(YEAR(EDATE(C398,E398+1)),MONTH(EDATE(C398,E398+1)),参数设置!$B$15),EDATE(C398,参数设置!$B$14))</f>
        <v>47578</v>
      </c>
      <c r="H398">
        <f t="shared" si="25"/>
        <v>31</v>
      </c>
      <c r="I398" s="14">
        <f>IF(E398=参数设置!$B$14,D398,0)</f>
        <v>0</v>
      </c>
      <c r="J398" s="14">
        <f>IF(M398=1,ROUND(D398*参数设置!$B$12*H398/参数设置!$B$13,参数设置!$B$16),0)</f>
        <v>0</v>
      </c>
      <c r="K398" s="14">
        <f t="shared" si="26"/>
        <v>0</v>
      </c>
      <c r="L398" s="21">
        <f>EDATE(C398,参数设置!$B$14)</f>
        <v>47583</v>
      </c>
      <c r="M398">
        <f t="shared" si="27"/>
        <v>0</v>
      </c>
    </row>
    <row r="399" spans="1:13">
      <c r="A399">
        <v>33</v>
      </c>
      <c r="B399">
        <v>33</v>
      </c>
      <c r="C399" s="21">
        <f>EDATE(参数设置!$B$4,A399-1)</f>
        <v>47218</v>
      </c>
      <c r="D399" s="14">
        <f>IF(AND(A399&lt;=参数设置!$B$6,OR(INDEX(月度资金流!$B$7:$B$42,A399)="策略一：消费贷款+买基金",INDEX(月度资金流!$B$7:$B$42,A399)="策略二：新贷偿还旧贷")),参数设置!$B$5,0)</f>
        <v>0</v>
      </c>
      <c r="E399">
        <v>12</v>
      </c>
      <c r="F399" s="21">
        <f t="shared" si="24"/>
        <v>47578</v>
      </c>
      <c r="G399" s="21">
        <f>IF(E399&lt;参数设置!$B$14,DATE(YEAR(EDATE(C399,E399+1)),MONTH(EDATE(C399,E399+1)),参数设置!$B$15),EDATE(C399,参数设置!$B$14))</f>
        <v>47583</v>
      </c>
      <c r="H399">
        <f t="shared" si="25"/>
        <v>5</v>
      </c>
      <c r="I399" s="14">
        <f>IF(E399=参数设置!$B$14,D399,0)</f>
        <v>0</v>
      </c>
      <c r="J399" s="14">
        <f>IF(M399=1,ROUND(D399*参数设置!$B$12*H399/参数设置!$B$13,参数设置!$B$16),0)</f>
        <v>0</v>
      </c>
      <c r="K399" s="14">
        <f t="shared" si="26"/>
        <v>0</v>
      </c>
      <c r="L399" s="21">
        <f>EDATE(C399,参数设置!$B$14)</f>
        <v>47583</v>
      </c>
      <c r="M399">
        <f t="shared" si="27"/>
        <v>0</v>
      </c>
    </row>
    <row r="400" spans="1:13">
      <c r="A400">
        <v>34</v>
      </c>
      <c r="B400">
        <v>34</v>
      </c>
      <c r="C400" s="21">
        <f>EDATE(参数设置!$B$4,A400-1)</f>
        <v>47248</v>
      </c>
      <c r="D400" s="14">
        <f>IF(AND(A400&lt;=参数设置!$B$6,OR(INDEX(月度资金流!$B$7:$B$42,A400)="策略一：消费贷款+买基金",INDEX(月度资金流!$B$7:$B$42,A400)="策略二：新贷偿还旧贷")),参数设置!$B$5,0)</f>
        <v>0</v>
      </c>
      <c r="E400">
        <v>1</v>
      </c>
      <c r="F400" s="21">
        <f t="shared" si="24"/>
        <v>47248</v>
      </c>
      <c r="G400" s="21">
        <f>IF(E400&lt;参数设置!$B$14,DATE(YEAR(EDATE(C400,E400+1)),MONTH(EDATE(C400,E400+1)),参数设置!$B$15),EDATE(C400,参数设置!$B$14))</f>
        <v>47304</v>
      </c>
      <c r="H400">
        <f t="shared" si="25"/>
        <v>56</v>
      </c>
      <c r="I400" s="14">
        <f>IF(E400=参数设置!$B$14,D400,0)</f>
        <v>0</v>
      </c>
      <c r="J400" s="14">
        <f>IF(M400=1,ROUND(D400*参数设置!$B$12*H400/参数设置!$B$13,参数设置!$B$16),0)</f>
        <v>0</v>
      </c>
      <c r="K400" s="14">
        <f t="shared" si="26"/>
        <v>0</v>
      </c>
      <c r="L400" s="21">
        <f>EDATE(C400,参数设置!$B$14)</f>
        <v>47613</v>
      </c>
      <c r="M400">
        <f t="shared" si="27"/>
        <v>0</v>
      </c>
    </row>
    <row r="401" spans="1:13">
      <c r="A401">
        <v>34</v>
      </c>
      <c r="B401">
        <v>34</v>
      </c>
      <c r="C401" s="21">
        <f>EDATE(参数设置!$B$4,A401-1)</f>
        <v>47248</v>
      </c>
      <c r="D401" s="14">
        <f>IF(AND(A401&lt;=参数设置!$B$6,OR(INDEX(月度资金流!$B$7:$B$42,A401)="策略一：消费贷款+买基金",INDEX(月度资金流!$B$7:$B$42,A401)="策略二：新贷偿还旧贷")),参数设置!$B$5,0)</f>
        <v>0</v>
      </c>
      <c r="E401">
        <v>2</v>
      </c>
      <c r="F401" s="21">
        <f t="shared" si="24"/>
        <v>47304</v>
      </c>
      <c r="G401" s="21">
        <f>IF(E401&lt;参数设置!$B$14,DATE(YEAR(EDATE(C401,E401+1)),MONTH(EDATE(C401,E401+1)),参数设置!$B$15),EDATE(C401,参数设置!$B$14))</f>
        <v>47335</v>
      </c>
      <c r="H401">
        <f t="shared" si="25"/>
        <v>31</v>
      </c>
      <c r="I401" s="14">
        <f>IF(E401=参数设置!$B$14,D401,0)</f>
        <v>0</v>
      </c>
      <c r="J401" s="14">
        <f>IF(M401=1,ROUND(D401*参数设置!$B$12*H401/参数设置!$B$13,参数设置!$B$16),0)</f>
        <v>0</v>
      </c>
      <c r="K401" s="14">
        <f t="shared" si="26"/>
        <v>0</v>
      </c>
      <c r="L401" s="21">
        <f>EDATE(C401,参数设置!$B$14)</f>
        <v>47613</v>
      </c>
      <c r="M401">
        <f t="shared" si="27"/>
        <v>0</v>
      </c>
    </row>
    <row r="402" spans="1:13">
      <c r="A402">
        <v>34</v>
      </c>
      <c r="B402">
        <v>34</v>
      </c>
      <c r="C402" s="21">
        <f>EDATE(参数设置!$B$4,A402-1)</f>
        <v>47248</v>
      </c>
      <c r="D402" s="14">
        <f>IF(AND(A402&lt;=参数设置!$B$6,OR(INDEX(月度资金流!$B$7:$B$42,A402)="策略一：消费贷款+买基金",INDEX(月度资金流!$B$7:$B$42,A402)="策略二：新贷偿还旧贷")),参数设置!$B$5,0)</f>
        <v>0</v>
      </c>
      <c r="E402">
        <v>3</v>
      </c>
      <c r="F402" s="21">
        <f t="shared" si="24"/>
        <v>47335</v>
      </c>
      <c r="G402" s="21">
        <f>IF(E402&lt;参数设置!$B$14,DATE(YEAR(EDATE(C402,E402+1)),MONTH(EDATE(C402,E402+1)),参数设置!$B$15),EDATE(C402,参数设置!$B$14))</f>
        <v>47366</v>
      </c>
      <c r="H402">
        <f t="shared" si="25"/>
        <v>31</v>
      </c>
      <c r="I402" s="14">
        <f>IF(E402=参数设置!$B$14,D402,0)</f>
        <v>0</v>
      </c>
      <c r="J402" s="14">
        <f>IF(M402=1,ROUND(D402*参数设置!$B$12*H402/参数设置!$B$13,参数设置!$B$16),0)</f>
        <v>0</v>
      </c>
      <c r="K402" s="14">
        <f t="shared" si="26"/>
        <v>0</v>
      </c>
      <c r="L402" s="21">
        <f>EDATE(C402,参数设置!$B$14)</f>
        <v>47613</v>
      </c>
      <c r="M402">
        <f t="shared" si="27"/>
        <v>0</v>
      </c>
    </row>
    <row r="403" spans="1:13">
      <c r="A403">
        <v>34</v>
      </c>
      <c r="B403">
        <v>34</v>
      </c>
      <c r="C403" s="21">
        <f>EDATE(参数设置!$B$4,A403-1)</f>
        <v>47248</v>
      </c>
      <c r="D403" s="14">
        <f>IF(AND(A403&lt;=参数设置!$B$6,OR(INDEX(月度资金流!$B$7:$B$42,A403)="策略一：消费贷款+买基金",INDEX(月度资金流!$B$7:$B$42,A403)="策略二：新贷偿还旧贷")),参数设置!$B$5,0)</f>
        <v>0</v>
      </c>
      <c r="E403">
        <v>4</v>
      </c>
      <c r="F403" s="21">
        <f t="shared" si="24"/>
        <v>47366</v>
      </c>
      <c r="G403" s="21">
        <f>IF(E403&lt;参数设置!$B$14,DATE(YEAR(EDATE(C403,E403+1)),MONTH(EDATE(C403,E403+1)),参数设置!$B$15),EDATE(C403,参数设置!$B$14))</f>
        <v>47396</v>
      </c>
      <c r="H403">
        <f t="shared" si="25"/>
        <v>30</v>
      </c>
      <c r="I403" s="14">
        <f>IF(E403=参数设置!$B$14,D403,0)</f>
        <v>0</v>
      </c>
      <c r="J403" s="14">
        <f>IF(M403=1,ROUND(D403*参数设置!$B$12*H403/参数设置!$B$13,参数设置!$B$16),0)</f>
        <v>0</v>
      </c>
      <c r="K403" s="14">
        <f t="shared" si="26"/>
        <v>0</v>
      </c>
      <c r="L403" s="21">
        <f>EDATE(C403,参数设置!$B$14)</f>
        <v>47613</v>
      </c>
      <c r="M403">
        <f t="shared" si="27"/>
        <v>0</v>
      </c>
    </row>
    <row r="404" spans="1:13">
      <c r="A404">
        <v>34</v>
      </c>
      <c r="B404">
        <v>34</v>
      </c>
      <c r="C404" s="21">
        <f>EDATE(参数设置!$B$4,A404-1)</f>
        <v>47248</v>
      </c>
      <c r="D404" s="14">
        <f>IF(AND(A404&lt;=参数设置!$B$6,OR(INDEX(月度资金流!$B$7:$B$42,A404)="策略一：消费贷款+买基金",INDEX(月度资金流!$B$7:$B$42,A404)="策略二：新贷偿还旧贷")),参数设置!$B$5,0)</f>
        <v>0</v>
      </c>
      <c r="E404">
        <v>5</v>
      </c>
      <c r="F404" s="21">
        <f t="shared" si="24"/>
        <v>47396</v>
      </c>
      <c r="G404" s="21">
        <f>IF(E404&lt;参数设置!$B$14,DATE(YEAR(EDATE(C404,E404+1)),MONTH(EDATE(C404,E404+1)),参数设置!$B$15),EDATE(C404,参数设置!$B$14))</f>
        <v>47427</v>
      </c>
      <c r="H404">
        <f t="shared" si="25"/>
        <v>31</v>
      </c>
      <c r="I404" s="14">
        <f>IF(E404=参数设置!$B$14,D404,0)</f>
        <v>0</v>
      </c>
      <c r="J404" s="14">
        <f>IF(M404=1,ROUND(D404*参数设置!$B$12*H404/参数设置!$B$13,参数设置!$B$16),0)</f>
        <v>0</v>
      </c>
      <c r="K404" s="14">
        <f t="shared" si="26"/>
        <v>0</v>
      </c>
      <c r="L404" s="21">
        <f>EDATE(C404,参数设置!$B$14)</f>
        <v>47613</v>
      </c>
      <c r="M404">
        <f t="shared" si="27"/>
        <v>0</v>
      </c>
    </row>
    <row r="405" spans="1:13">
      <c r="A405">
        <v>34</v>
      </c>
      <c r="B405">
        <v>34</v>
      </c>
      <c r="C405" s="21">
        <f>EDATE(参数设置!$B$4,A405-1)</f>
        <v>47248</v>
      </c>
      <c r="D405" s="14">
        <f>IF(AND(A405&lt;=参数设置!$B$6,OR(INDEX(月度资金流!$B$7:$B$42,A405)="策略一：消费贷款+买基金",INDEX(月度资金流!$B$7:$B$42,A405)="策略二：新贷偿还旧贷")),参数设置!$B$5,0)</f>
        <v>0</v>
      </c>
      <c r="E405">
        <v>6</v>
      </c>
      <c r="F405" s="21">
        <f t="shared" si="24"/>
        <v>47427</v>
      </c>
      <c r="G405" s="21">
        <f>IF(E405&lt;参数设置!$B$14,DATE(YEAR(EDATE(C405,E405+1)),MONTH(EDATE(C405,E405+1)),参数设置!$B$15),EDATE(C405,参数设置!$B$14))</f>
        <v>47457</v>
      </c>
      <c r="H405">
        <f t="shared" si="25"/>
        <v>30</v>
      </c>
      <c r="I405" s="14">
        <f>IF(E405=参数设置!$B$14,D405,0)</f>
        <v>0</v>
      </c>
      <c r="J405" s="14">
        <f>IF(M405=1,ROUND(D405*参数设置!$B$12*H405/参数设置!$B$13,参数设置!$B$16),0)</f>
        <v>0</v>
      </c>
      <c r="K405" s="14">
        <f t="shared" si="26"/>
        <v>0</v>
      </c>
      <c r="L405" s="21">
        <f>EDATE(C405,参数设置!$B$14)</f>
        <v>47613</v>
      </c>
      <c r="M405">
        <f t="shared" si="27"/>
        <v>0</v>
      </c>
    </row>
    <row r="406" spans="1:13">
      <c r="A406">
        <v>34</v>
      </c>
      <c r="B406">
        <v>34</v>
      </c>
      <c r="C406" s="21">
        <f>EDATE(参数设置!$B$4,A406-1)</f>
        <v>47248</v>
      </c>
      <c r="D406" s="14">
        <f>IF(AND(A406&lt;=参数设置!$B$6,OR(INDEX(月度资金流!$B$7:$B$42,A406)="策略一：消费贷款+买基金",INDEX(月度资金流!$B$7:$B$42,A406)="策略二：新贷偿还旧贷")),参数设置!$B$5,0)</f>
        <v>0</v>
      </c>
      <c r="E406">
        <v>7</v>
      </c>
      <c r="F406" s="21">
        <f t="shared" si="24"/>
        <v>47457</v>
      </c>
      <c r="G406" s="21">
        <f>IF(E406&lt;参数设置!$B$14,DATE(YEAR(EDATE(C406,E406+1)),MONTH(EDATE(C406,E406+1)),参数设置!$B$15),EDATE(C406,参数设置!$B$14))</f>
        <v>47488</v>
      </c>
      <c r="H406">
        <f t="shared" si="25"/>
        <v>31</v>
      </c>
      <c r="I406" s="14">
        <f>IF(E406=参数设置!$B$14,D406,0)</f>
        <v>0</v>
      </c>
      <c r="J406" s="14">
        <f>IF(M406=1,ROUND(D406*参数设置!$B$12*H406/参数设置!$B$13,参数设置!$B$16),0)</f>
        <v>0</v>
      </c>
      <c r="K406" s="14">
        <f t="shared" si="26"/>
        <v>0</v>
      </c>
      <c r="L406" s="21">
        <f>EDATE(C406,参数设置!$B$14)</f>
        <v>47613</v>
      </c>
      <c r="M406">
        <f t="shared" si="27"/>
        <v>0</v>
      </c>
    </row>
    <row r="407" spans="1:13">
      <c r="A407">
        <v>34</v>
      </c>
      <c r="B407">
        <v>34</v>
      </c>
      <c r="C407" s="21">
        <f>EDATE(参数设置!$B$4,A407-1)</f>
        <v>47248</v>
      </c>
      <c r="D407" s="14">
        <f>IF(AND(A407&lt;=参数设置!$B$6,OR(INDEX(月度资金流!$B$7:$B$42,A407)="策略一：消费贷款+买基金",INDEX(月度资金流!$B$7:$B$42,A407)="策略二：新贷偿还旧贷")),参数设置!$B$5,0)</f>
        <v>0</v>
      </c>
      <c r="E407">
        <v>8</v>
      </c>
      <c r="F407" s="21">
        <f t="shared" si="24"/>
        <v>47488</v>
      </c>
      <c r="G407" s="21">
        <f>IF(E407&lt;参数设置!$B$14,DATE(YEAR(EDATE(C407,E407+1)),MONTH(EDATE(C407,E407+1)),参数设置!$B$15),EDATE(C407,参数设置!$B$14))</f>
        <v>47519</v>
      </c>
      <c r="H407">
        <f t="shared" si="25"/>
        <v>31</v>
      </c>
      <c r="I407" s="14">
        <f>IF(E407=参数设置!$B$14,D407,0)</f>
        <v>0</v>
      </c>
      <c r="J407" s="14">
        <f>IF(M407=1,ROUND(D407*参数设置!$B$12*H407/参数设置!$B$13,参数设置!$B$16),0)</f>
        <v>0</v>
      </c>
      <c r="K407" s="14">
        <f t="shared" si="26"/>
        <v>0</v>
      </c>
      <c r="L407" s="21">
        <f>EDATE(C407,参数设置!$B$14)</f>
        <v>47613</v>
      </c>
      <c r="M407">
        <f t="shared" si="27"/>
        <v>0</v>
      </c>
    </row>
    <row r="408" spans="1:13">
      <c r="A408">
        <v>34</v>
      </c>
      <c r="B408">
        <v>34</v>
      </c>
      <c r="C408" s="21">
        <f>EDATE(参数设置!$B$4,A408-1)</f>
        <v>47248</v>
      </c>
      <c r="D408" s="14">
        <f>IF(AND(A408&lt;=参数设置!$B$6,OR(INDEX(月度资金流!$B$7:$B$42,A408)="策略一：消费贷款+买基金",INDEX(月度资金流!$B$7:$B$42,A408)="策略二：新贷偿还旧贷")),参数设置!$B$5,0)</f>
        <v>0</v>
      </c>
      <c r="E408">
        <v>9</v>
      </c>
      <c r="F408" s="21">
        <f t="shared" si="24"/>
        <v>47519</v>
      </c>
      <c r="G408" s="21">
        <f>IF(E408&lt;参数设置!$B$14,DATE(YEAR(EDATE(C408,E408+1)),MONTH(EDATE(C408,E408+1)),参数设置!$B$15),EDATE(C408,参数设置!$B$14))</f>
        <v>47547</v>
      </c>
      <c r="H408">
        <f t="shared" si="25"/>
        <v>28</v>
      </c>
      <c r="I408" s="14">
        <f>IF(E408=参数设置!$B$14,D408,0)</f>
        <v>0</v>
      </c>
      <c r="J408" s="14">
        <f>IF(M408=1,ROUND(D408*参数设置!$B$12*H408/参数设置!$B$13,参数设置!$B$16),0)</f>
        <v>0</v>
      </c>
      <c r="K408" s="14">
        <f t="shared" si="26"/>
        <v>0</v>
      </c>
      <c r="L408" s="21">
        <f>EDATE(C408,参数设置!$B$14)</f>
        <v>47613</v>
      </c>
      <c r="M408">
        <f t="shared" si="27"/>
        <v>0</v>
      </c>
    </row>
    <row r="409" spans="1:13">
      <c r="A409">
        <v>34</v>
      </c>
      <c r="B409">
        <v>34</v>
      </c>
      <c r="C409" s="21">
        <f>EDATE(参数设置!$B$4,A409-1)</f>
        <v>47248</v>
      </c>
      <c r="D409" s="14">
        <f>IF(AND(A409&lt;=参数设置!$B$6,OR(INDEX(月度资金流!$B$7:$B$42,A409)="策略一：消费贷款+买基金",INDEX(月度资金流!$B$7:$B$42,A409)="策略二：新贷偿还旧贷")),参数设置!$B$5,0)</f>
        <v>0</v>
      </c>
      <c r="E409">
        <v>10</v>
      </c>
      <c r="F409" s="21">
        <f t="shared" si="24"/>
        <v>47547</v>
      </c>
      <c r="G409" s="21">
        <f>IF(E409&lt;参数设置!$B$14,DATE(YEAR(EDATE(C409,E409+1)),MONTH(EDATE(C409,E409+1)),参数设置!$B$15),EDATE(C409,参数设置!$B$14))</f>
        <v>47578</v>
      </c>
      <c r="H409">
        <f t="shared" si="25"/>
        <v>31</v>
      </c>
      <c r="I409" s="14">
        <f>IF(E409=参数设置!$B$14,D409,0)</f>
        <v>0</v>
      </c>
      <c r="J409" s="14">
        <f>IF(M409=1,ROUND(D409*参数设置!$B$12*H409/参数设置!$B$13,参数设置!$B$16),0)</f>
        <v>0</v>
      </c>
      <c r="K409" s="14">
        <f t="shared" si="26"/>
        <v>0</v>
      </c>
      <c r="L409" s="21">
        <f>EDATE(C409,参数设置!$B$14)</f>
        <v>47613</v>
      </c>
      <c r="M409">
        <f t="shared" si="27"/>
        <v>0</v>
      </c>
    </row>
    <row r="410" spans="1:13">
      <c r="A410">
        <v>34</v>
      </c>
      <c r="B410">
        <v>34</v>
      </c>
      <c r="C410" s="21">
        <f>EDATE(参数设置!$B$4,A410-1)</f>
        <v>47248</v>
      </c>
      <c r="D410" s="14">
        <f>IF(AND(A410&lt;=参数设置!$B$6,OR(INDEX(月度资金流!$B$7:$B$42,A410)="策略一：消费贷款+买基金",INDEX(月度资金流!$B$7:$B$42,A410)="策略二：新贷偿还旧贷")),参数设置!$B$5,0)</f>
        <v>0</v>
      </c>
      <c r="E410">
        <v>11</v>
      </c>
      <c r="F410" s="21">
        <f t="shared" si="24"/>
        <v>47578</v>
      </c>
      <c r="G410" s="21">
        <f>IF(E410&lt;参数设置!$B$14,DATE(YEAR(EDATE(C410,E410+1)),MONTH(EDATE(C410,E410+1)),参数设置!$B$15),EDATE(C410,参数设置!$B$14))</f>
        <v>47608</v>
      </c>
      <c r="H410">
        <f t="shared" si="25"/>
        <v>30</v>
      </c>
      <c r="I410" s="14">
        <f>IF(E410=参数设置!$B$14,D410,0)</f>
        <v>0</v>
      </c>
      <c r="J410" s="14">
        <f>IF(M410=1,ROUND(D410*参数设置!$B$12*H410/参数设置!$B$13,参数设置!$B$16),0)</f>
        <v>0</v>
      </c>
      <c r="K410" s="14">
        <f t="shared" si="26"/>
        <v>0</v>
      </c>
      <c r="L410" s="21">
        <f>EDATE(C410,参数设置!$B$14)</f>
        <v>47613</v>
      </c>
      <c r="M410">
        <f t="shared" si="27"/>
        <v>0</v>
      </c>
    </row>
    <row r="411" spans="1:13">
      <c r="A411">
        <v>34</v>
      </c>
      <c r="B411">
        <v>34</v>
      </c>
      <c r="C411" s="21">
        <f>EDATE(参数设置!$B$4,A411-1)</f>
        <v>47248</v>
      </c>
      <c r="D411" s="14">
        <f>IF(AND(A411&lt;=参数设置!$B$6,OR(INDEX(月度资金流!$B$7:$B$42,A411)="策略一：消费贷款+买基金",INDEX(月度资金流!$B$7:$B$42,A411)="策略二：新贷偿还旧贷")),参数设置!$B$5,0)</f>
        <v>0</v>
      </c>
      <c r="E411">
        <v>12</v>
      </c>
      <c r="F411" s="21">
        <f t="shared" si="24"/>
        <v>47608</v>
      </c>
      <c r="G411" s="21">
        <f>IF(E411&lt;参数设置!$B$14,DATE(YEAR(EDATE(C411,E411+1)),MONTH(EDATE(C411,E411+1)),参数设置!$B$15),EDATE(C411,参数设置!$B$14))</f>
        <v>47613</v>
      </c>
      <c r="H411">
        <f t="shared" si="25"/>
        <v>5</v>
      </c>
      <c r="I411" s="14">
        <f>IF(E411=参数设置!$B$14,D411,0)</f>
        <v>0</v>
      </c>
      <c r="J411" s="14">
        <f>IF(M411=1,ROUND(D411*参数设置!$B$12*H411/参数设置!$B$13,参数设置!$B$16),0)</f>
        <v>0</v>
      </c>
      <c r="K411" s="14">
        <f t="shared" si="26"/>
        <v>0</v>
      </c>
      <c r="L411" s="21">
        <f>EDATE(C411,参数设置!$B$14)</f>
        <v>47613</v>
      </c>
      <c r="M411">
        <f t="shared" si="27"/>
        <v>0</v>
      </c>
    </row>
    <row r="412" spans="1:13">
      <c r="A412">
        <v>35</v>
      </c>
      <c r="B412">
        <v>35</v>
      </c>
      <c r="C412" s="21">
        <f>EDATE(参数设置!$B$4,A412-1)</f>
        <v>47279</v>
      </c>
      <c r="D412" s="14">
        <f>IF(AND(A412&lt;=参数设置!$B$6,OR(INDEX(月度资金流!$B$7:$B$42,A412)="策略一：消费贷款+买基金",INDEX(月度资金流!$B$7:$B$42,A412)="策略二：新贷偿还旧贷")),参数设置!$B$5,0)</f>
        <v>0</v>
      </c>
      <c r="E412">
        <v>1</v>
      </c>
      <c r="F412" s="21">
        <f t="shared" si="24"/>
        <v>47279</v>
      </c>
      <c r="G412" s="21">
        <f>IF(E412&lt;参数设置!$B$14,DATE(YEAR(EDATE(C412,E412+1)),MONTH(EDATE(C412,E412+1)),参数设置!$B$15),EDATE(C412,参数设置!$B$14))</f>
        <v>47335</v>
      </c>
      <c r="H412">
        <f t="shared" si="25"/>
        <v>56</v>
      </c>
      <c r="I412" s="14">
        <f>IF(E412=参数设置!$B$14,D412,0)</f>
        <v>0</v>
      </c>
      <c r="J412" s="14">
        <f>IF(M412=1,ROUND(D412*参数设置!$B$12*H412/参数设置!$B$13,参数设置!$B$16),0)</f>
        <v>0</v>
      </c>
      <c r="K412" s="14">
        <f t="shared" si="26"/>
        <v>0</v>
      </c>
      <c r="L412" s="21">
        <f>EDATE(C412,参数设置!$B$14)</f>
        <v>47644</v>
      </c>
      <c r="M412">
        <f t="shared" si="27"/>
        <v>0</v>
      </c>
    </row>
    <row r="413" spans="1:13">
      <c r="A413">
        <v>35</v>
      </c>
      <c r="B413">
        <v>35</v>
      </c>
      <c r="C413" s="21">
        <f>EDATE(参数设置!$B$4,A413-1)</f>
        <v>47279</v>
      </c>
      <c r="D413" s="14">
        <f>IF(AND(A413&lt;=参数设置!$B$6,OR(INDEX(月度资金流!$B$7:$B$42,A413)="策略一：消费贷款+买基金",INDEX(月度资金流!$B$7:$B$42,A413)="策略二：新贷偿还旧贷")),参数设置!$B$5,0)</f>
        <v>0</v>
      </c>
      <c r="E413">
        <v>2</v>
      </c>
      <c r="F413" s="21">
        <f t="shared" si="24"/>
        <v>47335</v>
      </c>
      <c r="G413" s="21">
        <f>IF(E413&lt;参数设置!$B$14,DATE(YEAR(EDATE(C413,E413+1)),MONTH(EDATE(C413,E413+1)),参数设置!$B$15),EDATE(C413,参数设置!$B$14))</f>
        <v>47366</v>
      </c>
      <c r="H413">
        <f t="shared" si="25"/>
        <v>31</v>
      </c>
      <c r="I413" s="14">
        <f>IF(E413=参数设置!$B$14,D413,0)</f>
        <v>0</v>
      </c>
      <c r="J413" s="14">
        <f>IF(M413=1,ROUND(D413*参数设置!$B$12*H413/参数设置!$B$13,参数设置!$B$16),0)</f>
        <v>0</v>
      </c>
      <c r="K413" s="14">
        <f t="shared" si="26"/>
        <v>0</v>
      </c>
      <c r="L413" s="21">
        <f>EDATE(C413,参数设置!$B$14)</f>
        <v>47644</v>
      </c>
      <c r="M413">
        <f t="shared" si="27"/>
        <v>0</v>
      </c>
    </row>
    <row r="414" spans="1:13">
      <c r="A414">
        <v>35</v>
      </c>
      <c r="B414">
        <v>35</v>
      </c>
      <c r="C414" s="21">
        <f>EDATE(参数设置!$B$4,A414-1)</f>
        <v>47279</v>
      </c>
      <c r="D414" s="14">
        <f>IF(AND(A414&lt;=参数设置!$B$6,OR(INDEX(月度资金流!$B$7:$B$42,A414)="策略一：消费贷款+买基金",INDEX(月度资金流!$B$7:$B$42,A414)="策略二：新贷偿还旧贷")),参数设置!$B$5,0)</f>
        <v>0</v>
      </c>
      <c r="E414">
        <v>3</v>
      </c>
      <c r="F414" s="21">
        <f t="shared" si="24"/>
        <v>47366</v>
      </c>
      <c r="G414" s="21">
        <f>IF(E414&lt;参数设置!$B$14,DATE(YEAR(EDATE(C414,E414+1)),MONTH(EDATE(C414,E414+1)),参数设置!$B$15),EDATE(C414,参数设置!$B$14))</f>
        <v>47396</v>
      </c>
      <c r="H414">
        <f t="shared" si="25"/>
        <v>30</v>
      </c>
      <c r="I414" s="14">
        <f>IF(E414=参数设置!$B$14,D414,0)</f>
        <v>0</v>
      </c>
      <c r="J414" s="14">
        <f>IF(M414=1,ROUND(D414*参数设置!$B$12*H414/参数设置!$B$13,参数设置!$B$16),0)</f>
        <v>0</v>
      </c>
      <c r="K414" s="14">
        <f t="shared" si="26"/>
        <v>0</v>
      </c>
      <c r="L414" s="21">
        <f>EDATE(C414,参数设置!$B$14)</f>
        <v>47644</v>
      </c>
      <c r="M414">
        <f t="shared" si="27"/>
        <v>0</v>
      </c>
    </row>
    <row r="415" spans="1:13">
      <c r="A415">
        <v>35</v>
      </c>
      <c r="B415">
        <v>35</v>
      </c>
      <c r="C415" s="21">
        <f>EDATE(参数设置!$B$4,A415-1)</f>
        <v>47279</v>
      </c>
      <c r="D415" s="14">
        <f>IF(AND(A415&lt;=参数设置!$B$6,OR(INDEX(月度资金流!$B$7:$B$42,A415)="策略一：消费贷款+买基金",INDEX(月度资金流!$B$7:$B$42,A415)="策略二：新贷偿还旧贷")),参数设置!$B$5,0)</f>
        <v>0</v>
      </c>
      <c r="E415">
        <v>4</v>
      </c>
      <c r="F415" s="21">
        <f t="shared" si="24"/>
        <v>47396</v>
      </c>
      <c r="G415" s="21">
        <f>IF(E415&lt;参数设置!$B$14,DATE(YEAR(EDATE(C415,E415+1)),MONTH(EDATE(C415,E415+1)),参数设置!$B$15),EDATE(C415,参数设置!$B$14))</f>
        <v>47427</v>
      </c>
      <c r="H415">
        <f t="shared" si="25"/>
        <v>31</v>
      </c>
      <c r="I415" s="14">
        <f>IF(E415=参数设置!$B$14,D415,0)</f>
        <v>0</v>
      </c>
      <c r="J415" s="14">
        <f>IF(M415=1,ROUND(D415*参数设置!$B$12*H415/参数设置!$B$13,参数设置!$B$16),0)</f>
        <v>0</v>
      </c>
      <c r="K415" s="14">
        <f t="shared" si="26"/>
        <v>0</v>
      </c>
      <c r="L415" s="21">
        <f>EDATE(C415,参数设置!$B$14)</f>
        <v>47644</v>
      </c>
      <c r="M415">
        <f t="shared" si="27"/>
        <v>0</v>
      </c>
    </row>
    <row r="416" spans="1:13">
      <c r="A416">
        <v>35</v>
      </c>
      <c r="B416">
        <v>35</v>
      </c>
      <c r="C416" s="21">
        <f>EDATE(参数设置!$B$4,A416-1)</f>
        <v>47279</v>
      </c>
      <c r="D416" s="14">
        <f>IF(AND(A416&lt;=参数设置!$B$6,OR(INDEX(月度资金流!$B$7:$B$42,A416)="策略一：消费贷款+买基金",INDEX(月度资金流!$B$7:$B$42,A416)="策略二：新贷偿还旧贷")),参数设置!$B$5,0)</f>
        <v>0</v>
      </c>
      <c r="E416">
        <v>5</v>
      </c>
      <c r="F416" s="21">
        <f t="shared" si="24"/>
        <v>47427</v>
      </c>
      <c r="G416" s="21">
        <f>IF(E416&lt;参数设置!$B$14,DATE(YEAR(EDATE(C416,E416+1)),MONTH(EDATE(C416,E416+1)),参数设置!$B$15),EDATE(C416,参数设置!$B$14))</f>
        <v>47457</v>
      </c>
      <c r="H416">
        <f t="shared" si="25"/>
        <v>30</v>
      </c>
      <c r="I416" s="14">
        <f>IF(E416=参数设置!$B$14,D416,0)</f>
        <v>0</v>
      </c>
      <c r="J416" s="14">
        <f>IF(M416=1,ROUND(D416*参数设置!$B$12*H416/参数设置!$B$13,参数设置!$B$16),0)</f>
        <v>0</v>
      </c>
      <c r="K416" s="14">
        <f t="shared" si="26"/>
        <v>0</v>
      </c>
      <c r="L416" s="21">
        <f>EDATE(C416,参数设置!$B$14)</f>
        <v>47644</v>
      </c>
      <c r="M416">
        <f t="shared" si="27"/>
        <v>0</v>
      </c>
    </row>
    <row r="417" spans="1:13">
      <c r="A417">
        <v>35</v>
      </c>
      <c r="B417">
        <v>35</v>
      </c>
      <c r="C417" s="21">
        <f>EDATE(参数设置!$B$4,A417-1)</f>
        <v>47279</v>
      </c>
      <c r="D417" s="14">
        <f>IF(AND(A417&lt;=参数设置!$B$6,OR(INDEX(月度资金流!$B$7:$B$42,A417)="策略一：消费贷款+买基金",INDEX(月度资金流!$B$7:$B$42,A417)="策略二：新贷偿还旧贷")),参数设置!$B$5,0)</f>
        <v>0</v>
      </c>
      <c r="E417">
        <v>6</v>
      </c>
      <c r="F417" s="21">
        <f t="shared" si="24"/>
        <v>47457</v>
      </c>
      <c r="G417" s="21">
        <f>IF(E417&lt;参数设置!$B$14,DATE(YEAR(EDATE(C417,E417+1)),MONTH(EDATE(C417,E417+1)),参数设置!$B$15),EDATE(C417,参数设置!$B$14))</f>
        <v>47488</v>
      </c>
      <c r="H417">
        <f t="shared" si="25"/>
        <v>31</v>
      </c>
      <c r="I417" s="14">
        <f>IF(E417=参数设置!$B$14,D417,0)</f>
        <v>0</v>
      </c>
      <c r="J417" s="14">
        <f>IF(M417=1,ROUND(D417*参数设置!$B$12*H417/参数设置!$B$13,参数设置!$B$16),0)</f>
        <v>0</v>
      </c>
      <c r="K417" s="14">
        <f t="shared" si="26"/>
        <v>0</v>
      </c>
      <c r="L417" s="21">
        <f>EDATE(C417,参数设置!$B$14)</f>
        <v>47644</v>
      </c>
      <c r="M417">
        <f t="shared" si="27"/>
        <v>0</v>
      </c>
    </row>
    <row r="418" spans="1:13">
      <c r="A418">
        <v>35</v>
      </c>
      <c r="B418">
        <v>35</v>
      </c>
      <c r="C418" s="21">
        <f>EDATE(参数设置!$B$4,A418-1)</f>
        <v>47279</v>
      </c>
      <c r="D418" s="14">
        <f>IF(AND(A418&lt;=参数设置!$B$6,OR(INDEX(月度资金流!$B$7:$B$42,A418)="策略一：消费贷款+买基金",INDEX(月度资金流!$B$7:$B$42,A418)="策略二：新贷偿还旧贷")),参数设置!$B$5,0)</f>
        <v>0</v>
      </c>
      <c r="E418">
        <v>7</v>
      </c>
      <c r="F418" s="21">
        <f t="shared" si="24"/>
        <v>47488</v>
      </c>
      <c r="G418" s="21">
        <f>IF(E418&lt;参数设置!$B$14,DATE(YEAR(EDATE(C418,E418+1)),MONTH(EDATE(C418,E418+1)),参数设置!$B$15),EDATE(C418,参数设置!$B$14))</f>
        <v>47519</v>
      </c>
      <c r="H418">
        <f t="shared" si="25"/>
        <v>31</v>
      </c>
      <c r="I418" s="14">
        <f>IF(E418=参数设置!$B$14,D418,0)</f>
        <v>0</v>
      </c>
      <c r="J418" s="14">
        <f>IF(M418=1,ROUND(D418*参数设置!$B$12*H418/参数设置!$B$13,参数设置!$B$16),0)</f>
        <v>0</v>
      </c>
      <c r="K418" s="14">
        <f t="shared" si="26"/>
        <v>0</v>
      </c>
      <c r="L418" s="21">
        <f>EDATE(C418,参数设置!$B$14)</f>
        <v>47644</v>
      </c>
      <c r="M418">
        <f t="shared" si="27"/>
        <v>0</v>
      </c>
    </row>
    <row r="419" spans="1:13">
      <c r="A419">
        <v>35</v>
      </c>
      <c r="B419">
        <v>35</v>
      </c>
      <c r="C419" s="21">
        <f>EDATE(参数设置!$B$4,A419-1)</f>
        <v>47279</v>
      </c>
      <c r="D419" s="14">
        <f>IF(AND(A419&lt;=参数设置!$B$6,OR(INDEX(月度资金流!$B$7:$B$42,A419)="策略一：消费贷款+买基金",INDEX(月度资金流!$B$7:$B$42,A419)="策略二：新贷偿还旧贷")),参数设置!$B$5,0)</f>
        <v>0</v>
      </c>
      <c r="E419">
        <v>8</v>
      </c>
      <c r="F419" s="21">
        <f t="shared" si="24"/>
        <v>47519</v>
      </c>
      <c r="G419" s="21">
        <f>IF(E419&lt;参数设置!$B$14,DATE(YEAR(EDATE(C419,E419+1)),MONTH(EDATE(C419,E419+1)),参数设置!$B$15),EDATE(C419,参数设置!$B$14))</f>
        <v>47547</v>
      </c>
      <c r="H419">
        <f t="shared" si="25"/>
        <v>28</v>
      </c>
      <c r="I419" s="14">
        <f>IF(E419=参数设置!$B$14,D419,0)</f>
        <v>0</v>
      </c>
      <c r="J419" s="14">
        <f>IF(M419=1,ROUND(D419*参数设置!$B$12*H419/参数设置!$B$13,参数设置!$B$16),0)</f>
        <v>0</v>
      </c>
      <c r="K419" s="14">
        <f t="shared" si="26"/>
        <v>0</v>
      </c>
      <c r="L419" s="21">
        <f>EDATE(C419,参数设置!$B$14)</f>
        <v>47644</v>
      </c>
      <c r="M419">
        <f t="shared" si="27"/>
        <v>0</v>
      </c>
    </row>
    <row r="420" spans="1:13">
      <c r="A420">
        <v>35</v>
      </c>
      <c r="B420">
        <v>35</v>
      </c>
      <c r="C420" s="21">
        <f>EDATE(参数设置!$B$4,A420-1)</f>
        <v>47279</v>
      </c>
      <c r="D420" s="14">
        <f>IF(AND(A420&lt;=参数设置!$B$6,OR(INDEX(月度资金流!$B$7:$B$42,A420)="策略一：消费贷款+买基金",INDEX(月度资金流!$B$7:$B$42,A420)="策略二：新贷偿还旧贷")),参数设置!$B$5,0)</f>
        <v>0</v>
      </c>
      <c r="E420">
        <v>9</v>
      </c>
      <c r="F420" s="21">
        <f t="shared" si="24"/>
        <v>47547</v>
      </c>
      <c r="G420" s="21">
        <f>IF(E420&lt;参数设置!$B$14,DATE(YEAR(EDATE(C420,E420+1)),MONTH(EDATE(C420,E420+1)),参数设置!$B$15),EDATE(C420,参数设置!$B$14))</f>
        <v>47578</v>
      </c>
      <c r="H420">
        <f t="shared" si="25"/>
        <v>31</v>
      </c>
      <c r="I420" s="14">
        <f>IF(E420=参数设置!$B$14,D420,0)</f>
        <v>0</v>
      </c>
      <c r="J420" s="14">
        <f>IF(M420=1,ROUND(D420*参数设置!$B$12*H420/参数设置!$B$13,参数设置!$B$16),0)</f>
        <v>0</v>
      </c>
      <c r="K420" s="14">
        <f t="shared" si="26"/>
        <v>0</v>
      </c>
      <c r="L420" s="21">
        <f>EDATE(C420,参数设置!$B$14)</f>
        <v>47644</v>
      </c>
      <c r="M420">
        <f t="shared" si="27"/>
        <v>0</v>
      </c>
    </row>
    <row r="421" spans="1:13">
      <c r="A421">
        <v>35</v>
      </c>
      <c r="B421">
        <v>35</v>
      </c>
      <c r="C421" s="21">
        <f>EDATE(参数设置!$B$4,A421-1)</f>
        <v>47279</v>
      </c>
      <c r="D421" s="14">
        <f>IF(AND(A421&lt;=参数设置!$B$6,OR(INDEX(月度资金流!$B$7:$B$42,A421)="策略一：消费贷款+买基金",INDEX(月度资金流!$B$7:$B$42,A421)="策略二：新贷偿还旧贷")),参数设置!$B$5,0)</f>
        <v>0</v>
      </c>
      <c r="E421">
        <v>10</v>
      </c>
      <c r="F421" s="21">
        <f t="shared" si="24"/>
        <v>47578</v>
      </c>
      <c r="G421" s="21">
        <f>IF(E421&lt;参数设置!$B$14,DATE(YEAR(EDATE(C421,E421+1)),MONTH(EDATE(C421,E421+1)),参数设置!$B$15),EDATE(C421,参数设置!$B$14))</f>
        <v>47608</v>
      </c>
      <c r="H421">
        <f t="shared" si="25"/>
        <v>30</v>
      </c>
      <c r="I421" s="14">
        <f>IF(E421=参数设置!$B$14,D421,0)</f>
        <v>0</v>
      </c>
      <c r="J421" s="14">
        <f>IF(M421=1,ROUND(D421*参数设置!$B$12*H421/参数设置!$B$13,参数设置!$B$16),0)</f>
        <v>0</v>
      </c>
      <c r="K421" s="14">
        <f t="shared" si="26"/>
        <v>0</v>
      </c>
      <c r="L421" s="21">
        <f>EDATE(C421,参数设置!$B$14)</f>
        <v>47644</v>
      </c>
      <c r="M421">
        <f t="shared" si="27"/>
        <v>0</v>
      </c>
    </row>
    <row r="422" spans="1:13">
      <c r="A422">
        <v>35</v>
      </c>
      <c r="B422">
        <v>35</v>
      </c>
      <c r="C422" s="21">
        <f>EDATE(参数设置!$B$4,A422-1)</f>
        <v>47279</v>
      </c>
      <c r="D422" s="14">
        <f>IF(AND(A422&lt;=参数设置!$B$6,OR(INDEX(月度资金流!$B$7:$B$42,A422)="策略一：消费贷款+买基金",INDEX(月度资金流!$B$7:$B$42,A422)="策略二：新贷偿还旧贷")),参数设置!$B$5,0)</f>
        <v>0</v>
      </c>
      <c r="E422">
        <v>11</v>
      </c>
      <c r="F422" s="21">
        <f t="shared" si="24"/>
        <v>47608</v>
      </c>
      <c r="G422" s="21">
        <f>IF(E422&lt;参数设置!$B$14,DATE(YEAR(EDATE(C422,E422+1)),MONTH(EDATE(C422,E422+1)),参数设置!$B$15),EDATE(C422,参数设置!$B$14))</f>
        <v>47639</v>
      </c>
      <c r="H422">
        <f t="shared" si="25"/>
        <v>31</v>
      </c>
      <c r="I422" s="14">
        <f>IF(E422=参数设置!$B$14,D422,0)</f>
        <v>0</v>
      </c>
      <c r="J422" s="14">
        <f>IF(M422=1,ROUND(D422*参数设置!$B$12*H422/参数设置!$B$13,参数设置!$B$16),0)</f>
        <v>0</v>
      </c>
      <c r="K422" s="14">
        <f t="shared" si="26"/>
        <v>0</v>
      </c>
      <c r="L422" s="21">
        <f>EDATE(C422,参数设置!$B$14)</f>
        <v>47644</v>
      </c>
      <c r="M422">
        <f t="shared" si="27"/>
        <v>0</v>
      </c>
    </row>
    <row r="423" spans="1:13">
      <c r="A423">
        <v>35</v>
      </c>
      <c r="B423">
        <v>35</v>
      </c>
      <c r="C423" s="21">
        <f>EDATE(参数设置!$B$4,A423-1)</f>
        <v>47279</v>
      </c>
      <c r="D423" s="14">
        <f>IF(AND(A423&lt;=参数设置!$B$6,OR(INDEX(月度资金流!$B$7:$B$42,A423)="策略一：消费贷款+买基金",INDEX(月度资金流!$B$7:$B$42,A423)="策略二：新贷偿还旧贷")),参数设置!$B$5,0)</f>
        <v>0</v>
      </c>
      <c r="E423">
        <v>12</v>
      </c>
      <c r="F423" s="21">
        <f t="shared" si="24"/>
        <v>47639</v>
      </c>
      <c r="G423" s="21">
        <f>IF(E423&lt;参数设置!$B$14,DATE(YEAR(EDATE(C423,E423+1)),MONTH(EDATE(C423,E423+1)),参数设置!$B$15),EDATE(C423,参数设置!$B$14))</f>
        <v>47644</v>
      </c>
      <c r="H423">
        <f t="shared" si="25"/>
        <v>5</v>
      </c>
      <c r="I423" s="14">
        <f>IF(E423=参数设置!$B$14,D423,0)</f>
        <v>0</v>
      </c>
      <c r="J423" s="14">
        <f>IF(M423=1,ROUND(D423*参数设置!$B$12*H423/参数设置!$B$13,参数设置!$B$16),0)</f>
        <v>0</v>
      </c>
      <c r="K423" s="14">
        <f t="shared" si="26"/>
        <v>0</v>
      </c>
      <c r="L423" s="21">
        <f>EDATE(C423,参数设置!$B$14)</f>
        <v>47644</v>
      </c>
      <c r="M423">
        <f t="shared" si="27"/>
        <v>0</v>
      </c>
    </row>
    <row r="424" spans="1:13">
      <c r="A424">
        <v>36</v>
      </c>
      <c r="B424">
        <v>36</v>
      </c>
      <c r="C424" s="21">
        <f>EDATE(参数设置!$B$4,A424-1)</f>
        <v>47309</v>
      </c>
      <c r="D424" s="14">
        <f>IF(AND(A424&lt;=参数设置!$B$6,OR(INDEX(月度资金流!$B$7:$B$42,A424)="策略一：消费贷款+买基金",INDEX(月度资金流!$B$7:$B$42,A424)="策略二：新贷偿还旧贷")),参数设置!$B$5,0)</f>
        <v>0</v>
      </c>
      <c r="E424">
        <v>1</v>
      </c>
      <c r="F424" s="21">
        <f t="shared" si="24"/>
        <v>47309</v>
      </c>
      <c r="G424" s="21">
        <f>IF(E424&lt;参数设置!$B$14,DATE(YEAR(EDATE(C424,E424+1)),MONTH(EDATE(C424,E424+1)),参数设置!$B$15),EDATE(C424,参数设置!$B$14))</f>
        <v>47366</v>
      </c>
      <c r="H424">
        <f t="shared" si="25"/>
        <v>57</v>
      </c>
      <c r="I424" s="14">
        <f>IF(E424=参数设置!$B$14,D424,0)</f>
        <v>0</v>
      </c>
      <c r="J424" s="14">
        <f>IF(M424=1,ROUND(D424*参数设置!$B$12*H424/参数设置!$B$13,参数设置!$B$16),0)</f>
        <v>0</v>
      </c>
      <c r="K424" s="14">
        <f t="shared" si="26"/>
        <v>0</v>
      </c>
      <c r="L424" s="21">
        <f>EDATE(C424,参数设置!$B$14)</f>
        <v>47674</v>
      </c>
      <c r="M424">
        <f t="shared" si="27"/>
        <v>0</v>
      </c>
    </row>
    <row r="425" spans="1:13">
      <c r="A425">
        <v>36</v>
      </c>
      <c r="B425">
        <v>36</v>
      </c>
      <c r="C425" s="21">
        <f>EDATE(参数设置!$B$4,A425-1)</f>
        <v>47309</v>
      </c>
      <c r="D425" s="14">
        <f>IF(AND(A425&lt;=参数设置!$B$6,OR(INDEX(月度资金流!$B$7:$B$42,A425)="策略一：消费贷款+买基金",INDEX(月度资金流!$B$7:$B$42,A425)="策略二：新贷偿还旧贷")),参数设置!$B$5,0)</f>
        <v>0</v>
      </c>
      <c r="E425">
        <v>2</v>
      </c>
      <c r="F425" s="21">
        <f t="shared" si="24"/>
        <v>47366</v>
      </c>
      <c r="G425" s="21">
        <f>IF(E425&lt;参数设置!$B$14,DATE(YEAR(EDATE(C425,E425+1)),MONTH(EDATE(C425,E425+1)),参数设置!$B$15),EDATE(C425,参数设置!$B$14))</f>
        <v>47396</v>
      </c>
      <c r="H425">
        <f t="shared" si="25"/>
        <v>30</v>
      </c>
      <c r="I425" s="14">
        <f>IF(E425=参数设置!$B$14,D425,0)</f>
        <v>0</v>
      </c>
      <c r="J425" s="14">
        <f>IF(M425=1,ROUND(D425*参数设置!$B$12*H425/参数设置!$B$13,参数设置!$B$16),0)</f>
        <v>0</v>
      </c>
      <c r="K425" s="14">
        <f t="shared" si="26"/>
        <v>0</v>
      </c>
      <c r="L425" s="21">
        <f>EDATE(C425,参数设置!$B$14)</f>
        <v>47674</v>
      </c>
      <c r="M425">
        <f t="shared" si="27"/>
        <v>0</v>
      </c>
    </row>
    <row r="426" spans="1:13">
      <c r="A426">
        <v>36</v>
      </c>
      <c r="B426">
        <v>36</v>
      </c>
      <c r="C426" s="21">
        <f>EDATE(参数设置!$B$4,A426-1)</f>
        <v>47309</v>
      </c>
      <c r="D426" s="14">
        <f>IF(AND(A426&lt;=参数设置!$B$6,OR(INDEX(月度资金流!$B$7:$B$42,A426)="策略一：消费贷款+买基金",INDEX(月度资金流!$B$7:$B$42,A426)="策略二：新贷偿还旧贷")),参数设置!$B$5,0)</f>
        <v>0</v>
      </c>
      <c r="E426">
        <v>3</v>
      </c>
      <c r="F426" s="21">
        <f t="shared" si="24"/>
        <v>47396</v>
      </c>
      <c r="G426" s="21">
        <f>IF(E426&lt;参数设置!$B$14,DATE(YEAR(EDATE(C426,E426+1)),MONTH(EDATE(C426,E426+1)),参数设置!$B$15),EDATE(C426,参数设置!$B$14))</f>
        <v>47427</v>
      </c>
      <c r="H426">
        <f t="shared" si="25"/>
        <v>31</v>
      </c>
      <c r="I426" s="14">
        <f>IF(E426=参数设置!$B$14,D426,0)</f>
        <v>0</v>
      </c>
      <c r="J426" s="14">
        <f>IF(M426=1,ROUND(D426*参数设置!$B$12*H426/参数设置!$B$13,参数设置!$B$16),0)</f>
        <v>0</v>
      </c>
      <c r="K426" s="14">
        <f t="shared" si="26"/>
        <v>0</v>
      </c>
      <c r="L426" s="21">
        <f>EDATE(C426,参数设置!$B$14)</f>
        <v>47674</v>
      </c>
      <c r="M426">
        <f t="shared" si="27"/>
        <v>0</v>
      </c>
    </row>
    <row r="427" spans="1:13">
      <c r="A427">
        <v>36</v>
      </c>
      <c r="B427">
        <v>36</v>
      </c>
      <c r="C427" s="21">
        <f>EDATE(参数设置!$B$4,A427-1)</f>
        <v>47309</v>
      </c>
      <c r="D427" s="14">
        <f>IF(AND(A427&lt;=参数设置!$B$6,OR(INDEX(月度资金流!$B$7:$B$42,A427)="策略一：消费贷款+买基金",INDEX(月度资金流!$B$7:$B$42,A427)="策略二：新贷偿还旧贷")),参数设置!$B$5,0)</f>
        <v>0</v>
      </c>
      <c r="E427">
        <v>4</v>
      </c>
      <c r="F427" s="21">
        <f t="shared" si="24"/>
        <v>47427</v>
      </c>
      <c r="G427" s="21">
        <f>IF(E427&lt;参数设置!$B$14,DATE(YEAR(EDATE(C427,E427+1)),MONTH(EDATE(C427,E427+1)),参数设置!$B$15),EDATE(C427,参数设置!$B$14))</f>
        <v>47457</v>
      </c>
      <c r="H427">
        <f t="shared" si="25"/>
        <v>30</v>
      </c>
      <c r="I427" s="14">
        <f>IF(E427=参数设置!$B$14,D427,0)</f>
        <v>0</v>
      </c>
      <c r="J427" s="14">
        <f>IF(M427=1,ROUND(D427*参数设置!$B$12*H427/参数设置!$B$13,参数设置!$B$16),0)</f>
        <v>0</v>
      </c>
      <c r="K427" s="14">
        <f t="shared" si="26"/>
        <v>0</v>
      </c>
      <c r="L427" s="21">
        <f>EDATE(C427,参数设置!$B$14)</f>
        <v>47674</v>
      </c>
      <c r="M427">
        <f t="shared" si="27"/>
        <v>0</v>
      </c>
    </row>
    <row r="428" spans="1:13">
      <c r="A428">
        <v>36</v>
      </c>
      <c r="B428">
        <v>36</v>
      </c>
      <c r="C428" s="21">
        <f>EDATE(参数设置!$B$4,A428-1)</f>
        <v>47309</v>
      </c>
      <c r="D428" s="14">
        <f>IF(AND(A428&lt;=参数设置!$B$6,OR(INDEX(月度资金流!$B$7:$B$42,A428)="策略一：消费贷款+买基金",INDEX(月度资金流!$B$7:$B$42,A428)="策略二：新贷偿还旧贷")),参数设置!$B$5,0)</f>
        <v>0</v>
      </c>
      <c r="E428">
        <v>5</v>
      </c>
      <c r="F428" s="21">
        <f t="shared" si="24"/>
        <v>47457</v>
      </c>
      <c r="G428" s="21">
        <f>IF(E428&lt;参数设置!$B$14,DATE(YEAR(EDATE(C428,E428+1)),MONTH(EDATE(C428,E428+1)),参数设置!$B$15),EDATE(C428,参数设置!$B$14))</f>
        <v>47488</v>
      </c>
      <c r="H428">
        <f t="shared" si="25"/>
        <v>31</v>
      </c>
      <c r="I428" s="14">
        <f>IF(E428=参数设置!$B$14,D428,0)</f>
        <v>0</v>
      </c>
      <c r="J428" s="14">
        <f>IF(M428=1,ROUND(D428*参数设置!$B$12*H428/参数设置!$B$13,参数设置!$B$16),0)</f>
        <v>0</v>
      </c>
      <c r="K428" s="14">
        <f t="shared" si="26"/>
        <v>0</v>
      </c>
      <c r="L428" s="21">
        <f>EDATE(C428,参数设置!$B$14)</f>
        <v>47674</v>
      </c>
      <c r="M428">
        <f t="shared" si="27"/>
        <v>0</v>
      </c>
    </row>
    <row r="429" spans="1:13">
      <c r="A429">
        <v>36</v>
      </c>
      <c r="B429">
        <v>36</v>
      </c>
      <c r="C429" s="21">
        <f>EDATE(参数设置!$B$4,A429-1)</f>
        <v>47309</v>
      </c>
      <c r="D429" s="14">
        <f>IF(AND(A429&lt;=参数设置!$B$6,OR(INDEX(月度资金流!$B$7:$B$42,A429)="策略一：消费贷款+买基金",INDEX(月度资金流!$B$7:$B$42,A429)="策略二：新贷偿还旧贷")),参数设置!$B$5,0)</f>
        <v>0</v>
      </c>
      <c r="E429">
        <v>6</v>
      </c>
      <c r="F429" s="21">
        <f t="shared" si="24"/>
        <v>47488</v>
      </c>
      <c r="G429" s="21">
        <f>IF(E429&lt;参数设置!$B$14,DATE(YEAR(EDATE(C429,E429+1)),MONTH(EDATE(C429,E429+1)),参数设置!$B$15),EDATE(C429,参数设置!$B$14))</f>
        <v>47519</v>
      </c>
      <c r="H429">
        <f t="shared" si="25"/>
        <v>31</v>
      </c>
      <c r="I429" s="14">
        <f>IF(E429=参数设置!$B$14,D429,0)</f>
        <v>0</v>
      </c>
      <c r="J429" s="14">
        <f>IF(M429=1,ROUND(D429*参数设置!$B$12*H429/参数设置!$B$13,参数设置!$B$16),0)</f>
        <v>0</v>
      </c>
      <c r="K429" s="14">
        <f t="shared" si="26"/>
        <v>0</v>
      </c>
      <c r="L429" s="21">
        <f>EDATE(C429,参数设置!$B$14)</f>
        <v>47674</v>
      </c>
      <c r="M429">
        <f t="shared" si="27"/>
        <v>0</v>
      </c>
    </row>
    <row r="430" spans="1:13">
      <c r="A430">
        <v>36</v>
      </c>
      <c r="B430">
        <v>36</v>
      </c>
      <c r="C430" s="21">
        <f>EDATE(参数设置!$B$4,A430-1)</f>
        <v>47309</v>
      </c>
      <c r="D430" s="14">
        <f>IF(AND(A430&lt;=参数设置!$B$6,OR(INDEX(月度资金流!$B$7:$B$42,A430)="策略一：消费贷款+买基金",INDEX(月度资金流!$B$7:$B$42,A430)="策略二：新贷偿还旧贷")),参数设置!$B$5,0)</f>
        <v>0</v>
      </c>
      <c r="E430">
        <v>7</v>
      </c>
      <c r="F430" s="21">
        <f t="shared" si="24"/>
        <v>47519</v>
      </c>
      <c r="G430" s="21">
        <f>IF(E430&lt;参数设置!$B$14,DATE(YEAR(EDATE(C430,E430+1)),MONTH(EDATE(C430,E430+1)),参数设置!$B$15),EDATE(C430,参数设置!$B$14))</f>
        <v>47547</v>
      </c>
      <c r="H430">
        <f t="shared" si="25"/>
        <v>28</v>
      </c>
      <c r="I430" s="14">
        <f>IF(E430=参数设置!$B$14,D430,0)</f>
        <v>0</v>
      </c>
      <c r="J430" s="14">
        <f>IF(M430=1,ROUND(D430*参数设置!$B$12*H430/参数设置!$B$13,参数设置!$B$16),0)</f>
        <v>0</v>
      </c>
      <c r="K430" s="14">
        <f t="shared" si="26"/>
        <v>0</v>
      </c>
      <c r="L430" s="21">
        <f>EDATE(C430,参数设置!$B$14)</f>
        <v>47674</v>
      </c>
      <c r="M430">
        <f t="shared" si="27"/>
        <v>0</v>
      </c>
    </row>
    <row r="431" spans="1:13">
      <c r="A431">
        <v>36</v>
      </c>
      <c r="B431">
        <v>36</v>
      </c>
      <c r="C431" s="21">
        <f>EDATE(参数设置!$B$4,A431-1)</f>
        <v>47309</v>
      </c>
      <c r="D431" s="14">
        <f>IF(AND(A431&lt;=参数设置!$B$6,OR(INDEX(月度资金流!$B$7:$B$42,A431)="策略一：消费贷款+买基金",INDEX(月度资金流!$B$7:$B$42,A431)="策略二：新贷偿还旧贷")),参数设置!$B$5,0)</f>
        <v>0</v>
      </c>
      <c r="E431">
        <v>8</v>
      </c>
      <c r="F431" s="21">
        <f t="shared" si="24"/>
        <v>47547</v>
      </c>
      <c r="G431" s="21">
        <f>IF(E431&lt;参数设置!$B$14,DATE(YEAR(EDATE(C431,E431+1)),MONTH(EDATE(C431,E431+1)),参数设置!$B$15),EDATE(C431,参数设置!$B$14))</f>
        <v>47578</v>
      </c>
      <c r="H431">
        <f t="shared" si="25"/>
        <v>31</v>
      </c>
      <c r="I431" s="14">
        <f>IF(E431=参数设置!$B$14,D431,0)</f>
        <v>0</v>
      </c>
      <c r="J431" s="14">
        <f>IF(M431=1,ROUND(D431*参数设置!$B$12*H431/参数设置!$B$13,参数设置!$B$16),0)</f>
        <v>0</v>
      </c>
      <c r="K431" s="14">
        <f t="shared" si="26"/>
        <v>0</v>
      </c>
      <c r="L431" s="21">
        <f>EDATE(C431,参数设置!$B$14)</f>
        <v>47674</v>
      </c>
      <c r="M431">
        <f t="shared" si="27"/>
        <v>0</v>
      </c>
    </row>
    <row r="432" spans="1:13">
      <c r="A432">
        <v>36</v>
      </c>
      <c r="B432">
        <v>36</v>
      </c>
      <c r="C432" s="21">
        <f>EDATE(参数设置!$B$4,A432-1)</f>
        <v>47309</v>
      </c>
      <c r="D432" s="14">
        <f>IF(AND(A432&lt;=参数设置!$B$6,OR(INDEX(月度资金流!$B$7:$B$42,A432)="策略一：消费贷款+买基金",INDEX(月度资金流!$B$7:$B$42,A432)="策略二：新贷偿还旧贷")),参数设置!$B$5,0)</f>
        <v>0</v>
      </c>
      <c r="E432">
        <v>9</v>
      </c>
      <c r="F432" s="21">
        <f t="shared" si="24"/>
        <v>47578</v>
      </c>
      <c r="G432" s="21">
        <f>IF(E432&lt;参数设置!$B$14,DATE(YEAR(EDATE(C432,E432+1)),MONTH(EDATE(C432,E432+1)),参数设置!$B$15),EDATE(C432,参数设置!$B$14))</f>
        <v>47608</v>
      </c>
      <c r="H432">
        <f t="shared" si="25"/>
        <v>30</v>
      </c>
      <c r="I432" s="14">
        <f>IF(E432=参数设置!$B$14,D432,0)</f>
        <v>0</v>
      </c>
      <c r="J432" s="14">
        <f>IF(M432=1,ROUND(D432*参数设置!$B$12*H432/参数设置!$B$13,参数设置!$B$16),0)</f>
        <v>0</v>
      </c>
      <c r="K432" s="14">
        <f t="shared" si="26"/>
        <v>0</v>
      </c>
      <c r="L432" s="21">
        <f>EDATE(C432,参数设置!$B$14)</f>
        <v>47674</v>
      </c>
      <c r="M432">
        <f t="shared" si="27"/>
        <v>0</v>
      </c>
    </row>
    <row r="433" spans="1:13">
      <c r="A433">
        <v>36</v>
      </c>
      <c r="B433">
        <v>36</v>
      </c>
      <c r="C433" s="21">
        <f>EDATE(参数设置!$B$4,A433-1)</f>
        <v>47309</v>
      </c>
      <c r="D433" s="14">
        <f>IF(AND(A433&lt;=参数设置!$B$6,OR(INDEX(月度资金流!$B$7:$B$42,A433)="策略一：消费贷款+买基金",INDEX(月度资金流!$B$7:$B$42,A433)="策略二：新贷偿还旧贷")),参数设置!$B$5,0)</f>
        <v>0</v>
      </c>
      <c r="E433">
        <v>10</v>
      </c>
      <c r="F433" s="21">
        <f t="shared" si="24"/>
        <v>47608</v>
      </c>
      <c r="G433" s="21">
        <f>IF(E433&lt;参数设置!$B$14,DATE(YEAR(EDATE(C433,E433+1)),MONTH(EDATE(C433,E433+1)),参数设置!$B$15),EDATE(C433,参数设置!$B$14))</f>
        <v>47639</v>
      </c>
      <c r="H433">
        <f t="shared" si="25"/>
        <v>31</v>
      </c>
      <c r="I433" s="14">
        <f>IF(E433=参数设置!$B$14,D433,0)</f>
        <v>0</v>
      </c>
      <c r="J433" s="14">
        <f>IF(M433=1,ROUND(D433*参数设置!$B$12*H433/参数设置!$B$13,参数设置!$B$16),0)</f>
        <v>0</v>
      </c>
      <c r="K433" s="14">
        <f t="shared" si="26"/>
        <v>0</v>
      </c>
      <c r="L433" s="21">
        <f>EDATE(C433,参数设置!$B$14)</f>
        <v>47674</v>
      </c>
      <c r="M433">
        <f t="shared" si="27"/>
        <v>0</v>
      </c>
    </row>
    <row r="434" spans="1:13">
      <c r="A434">
        <v>36</v>
      </c>
      <c r="B434">
        <v>36</v>
      </c>
      <c r="C434" s="21">
        <f>EDATE(参数设置!$B$4,A434-1)</f>
        <v>47309</v>
      </c>
      <c r="D434" s="14">
        <f>IF(AND(A434&lt;=参数设置!$B$6,OR(INDEX(月度资金流!$B$7:$B$42,A434)="策略一：消费贷款+买基金",INDEX(月度资金流!$B$7:$B$42,A434)="策略二：新贷偿还旧贷")),参数设置!$B$5,0)</f>
        <v>0</v>
      </c>
      <c r="E434">
        <v>11</v>
      </c>
      <c r="F434" s="21">
        <f t="shared" si="24"/>
        <v>47639</v>
      </c>
      <c r="G434" s="21">
        <f>IF(E434&lt;参数设置!$B$14,DATE(YEAR(EDATE(C434,E434+1)),MONTH(EDATE(C434,E434+1)),参数设置!$B$15),EDATE(C434,参数设置!$B$14))</f>
        <v>47669</v>
      </c>
      <c r="H434">
        <f t="shared" si="25"/>
        <v>30</v>
      </c>
      <c r="I434" s="14">
        <f>IF(E434=参数设置!$B$14,D434,0)</f>
        <v>0</v>
      </c>
      <c r="J434" s="14">
        <f>IF(M434=1,ROUND(D434*参数设置!$B$12*H434/参数设置!$B$13,参数设置!$B$16),0)</f>
        <v>0</v>
      </c>
      <c r="K434" s="14">
        <f t="shared" si="26"/>
        <v>0</v>
      </c>
      <c r="L434" s="21">
        <f>EDATE(C434,参数设置!$B$14)</f>
        <v>47674</v>
      </c>
      <c r="M434">
        <f t="shared" si="27"/>
        <v>0</v>
      </c>
    </row>
    <row r="435" spans="1:13">
      <c r="A435">
        <v>36</v>
      </c>
      <c r="B435">
        <v>36</v>
      </c>
      <c r="C435" s="21">
        <f>EDATE(参数设置!$B$4,A435-1)</f>
        <v>47309</v>
      </c>
      <c r="D435" s="14">
        <f>IF(AND(A435&lt;=参数设置!$B$6,OR(INDEX(月度资金流!$B$7:$B$42,A435)="策略一：消费贷款+买基金",INDEX(月度资金流!$B$7:$B$42,A435)="策略二：新贷偿还旧贷")),参数设置!$B$5,0)</f>
        <v>0</v>
      </c>
      <c r="E435">
        <v>12</v>
      </c>
      <c r="F435" s="21">
        <f t="shared" si="24"/>
        <v>47669</v>
      </c>
      <c r="G435" s="21">
        <f>IF(E435&lt;参数设置!$B$14,DATE(YEAR(EDATE(C435,E435+1)),MONTH(EDATE(C435,E435+1)),参数设置!$B$15),EDATE(C435,参数设置!$B$14))</f>
        <v>47674</v>
      </c>
      <c r="H435">
        <f t="shared" si="25"/>
        <v>5</v>
      </c>
      <c r="I435" s="14">
        <f>IF(E435=参数设置!$B$14,D435,0)</f>
        <v>0</v>
      </c>
      <c r="J435" s="14">
        <f>IF(M435=1,ROUND(D435*参数设置!$B$12*H435/参数设置!$B$13,参数设置!$B$16),0)</f>
        <v>0</v>
      </c>
      <c r="K435" s="14">
        <f t="shared" si="26"/>
        <v>0</v>
      </c>
      <c r="L435" s="21">
        <f>EDATE(C435,参数设置!$B$14)</f>
        <v>47674</v>
      </c>
      <c r="M435">
        <f t="shared" si="27"/>
        <v>0</v>
      </c>
    </row>
  </sheetData>
  <autoFilter ref="A3:M435" xr:uid="{00000000-0009-0000-0000-000003000000}"/>
  <mergeCells count="1">
    <mergeCell ref="A1:M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zoomScaleNormal="100" workbookViewId="0"/>
  </sheetViews>
  <sheetFormatPr defaultColWidth="8.6640625" defaultRowHeight="14.4"/>
  <sheetData>
    <row r="1" spans="1:1">
      <c r="A1" s="4" t="s">
        <v>108</v>
      </c>
    </row>
    <row r="2" spans="1:1">
      <c r="A2" s="4" t="s">
        <v>90</v>
      </c>
    </row>
    <row r="3" spans="1:1">
      <c r="A3" s="4" t="s">
        <v>91</v>
      </c>
    </row>
    <row r="4" spans="1:1">
      <c r="A4" s="4" t="s">
        <v>109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模型说明</vt:lpstr>
      <vt:lpstr>参数设置</vt:lpstr>
      <vt:lpstr>月度资金流</vt:lpstr>
      <vt:lpstr>贷款明细</vt:lpstr>
      <vt:lpstr>策略字典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Shicheng Lin</dc:creator>
  <cp:keywords/>
  <dc:description/>
  <cp:lastModifiedBy>So Kai Hong, Sonko</cp:lastModifiedBy>
  <cp:revision>0</cp:revision>
  <dcterms:created xsi:type="dcterms:W3CDTF">2026-08-06T03:09:46Z</dcterms:created>
  <dcterms:modified xsi:type="dcterms:W3CDTF">2026-08-06T03:36:07Z</dcterms:modified>
  <cp:category/>
  <cp:contentStatus/>
</cp:coreProperties>
</file>
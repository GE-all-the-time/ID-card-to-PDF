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xr:revisionPtr revIDLastSave="0" documentId="8_{E8D40C71-47F6-4288-A2C5-F178A3398B44}" xr6:coauthVersionLast="47" xr6:coauthVersionMax="47" xr10:uidLastSave="{00000000-0000-0000-0000-000000000000}"/>
  <bookViews>
    <workbookView xWindow="0" yWindow="0" windowWidth="16384" windowHeight="8192" xr2:uid="{00000000-000D-0000-FFFF-FFFF00000000}"/>
  </bookViews>
  <sheets>
    <sheet name="模型说明" sheetId="1" r:id="rId1"/>
    <sheet name="参数设置" sheetId="2" r:id="rId2"/>
    <sheet name="每月决策汇总" sheetId="3" r:id="rId3"/>
    <sheet name="月度资金流" sheetId="4" r:id="rId4"/>
    <sheet name="贷款明细" sheetId="5" r:id="rId5"/>
    <sheet name="实际执行追踪" sheetId="6" r:id="rId6"/>
    <sheet name="实际贷款明细" sheetId="7" r:id="rId7"/>
    <sheet name="策略字典" sheetId="8" state="hidden" r:id="rId8"/>
  </sheets>
  <definedNames>
    <definedName name="_xlnm._FilterDatabase" localSheetId="5" hidden="1">实际执行追踪!$A$6:$AJ$54</definedName>
    <definedName name="_xlnm._FilterDatabase" localSheetId="6" hidden="1">实际贷款明细!$A$3:$M$435</definedName>
    <definedName name="_xlnm._FilterDatabase" localSheetId="3" hidden="1">月度资金流!$A$6:$AJ$54</definedName>
    <definedName name="_xlnm._FilterDatabase" localSheetId="2" hidden="1">每月决策汇总!$A$6:$T$54</definedName>
    <definedName name="_xlnm._FilterDatabase" localSheetId="4" hidden="1">贷款明细!$A$3:$M$435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435" i="7" l="1"/>
  <c r="I434" i="7"/>
  <c r="D434" i="7"/>
  <c r="M434" i="7" s="1"/>
  <c r="J434" i="7" s="1"/>
  <c r="I433" i="7"/>
  <c r="D433" i="7"/>
  <c r="M433" i="7" s="1"/>
  <c r="J433" i="7" s="1"/>
  <c r="I432" i="7"/>
  <c r="D432" i="7"/>
  <c r="M432" i="7" s="1"/>
  <c r="J432" i="7" s="1"/>
  <c r="I431" i="7"/>
  <c r="D431" i="7"/>
  <c r="M431" i="7" s="1"/>
  <c r="J431" i="7" s="1"/>
  <c r="I430" i="7"/>
  <c r="D430" i="7"/>
  <c r="M430" i="7" s="1"/>
  <c r="J430" i="7" s="1"/>
  <c r="I429" i="7"/>
  <c r="D429" i="7"/>
  <c r="M429" i="7" s="1"/>
  <c r="J429" i="7" s="1"/>
  <c r="I428" i="7"/>
  <c r="D428" i="7"/>
  <c r="M428" i="7" s="1"/>
  <c r="J428" i="7" s="1"/>
  <c r="I427" i="7"/>
  <c r="D427" i="7"/>
  <c r="M427" i="7" s="1"/>
  <c r="J427" i="7" s="1"/>
  <c r="I426" i="7"/>
  <c r="D426" i="7"/>
  <c r="M426" i="7" s="1"/>
  <c r="J426" i="7" s="1"/>
  <c r="I425" i="7"/>
  <c r="D425" i="7"/>
  <c r="M425" i="7" s="1"/>
  <c r="J425" i="7" s="1"/>
  <c r="I424" i="7"/>
  <c r="D424" i="7"/>
  <c r="M424" i="7" s="1"/>
  <c r="J424" i="7" s="1"/>
  <c r="D423" i="7"/>
  <c r="I422" i="7"/>
  <c r="D422" i="7"/>
  <c r="M422" i="7" s="1"/>
  <c r="J422" i="7" s="1"/>
  <c r="I421" i="7"/>
  <c r="D421" i="7"/>
  <c r="M421" i="7" s="1"/>
  <c r="J421" i="7" s="1"/>
  <c r="I420" i="7"/>
  <c r="D420" i="7"/>
  <c r="M420" i="7" s="1"/>
  <c r="J420" i="7" s="1"/>
  <c r="I419" i="7"/>
  <c r="D419" i="7"/>
  <c r="M419" i="7" s="1"/>
  <c r="J419" i="7" s="1"/>
  <c r="I418" i="7"/>
  <c r="D418" i="7"/>
  <c r="M418" i="7" s="1"/>
  <c r="J418" i="7" s="1"/>
  <c r="I417" i="7"/>
  <c r="D417" i="7"/>
  <c r="M417" i="7" s="1"/>
  <c r="J417" i="7" s="1"/>
  <c r="I416" i="7"/>
  <c r="D416" i="7"/>
  <c r="M416" i="7" s="1"/>
  <c r="J416" i="7" s="1"/>
  <c r="I415" i="7"/>
  <c r="D415" i="7"/>
  <c r="M415" i="7" s="1"/>
  <c r="J415" i="7" s="1"/>
  <c r="I414" i="7"/>
  <c r="D414" i="7"/>
  <c r="M414" i="7" s="1"/>
  <c r="J414" i="7" s="1"/>
  <c r="I413" i="7"/>
  <c r="D413" i="7"/>
  <c r="M413" i="7" s="1"/>
  <c r="J413" i="7" s="1"/>
  <c r="I412" i="7"/>
  <c r="D412" i="7"/>
  <c r="M412" i="7" s="1"/>
  <c r="J412" i="7" s="1"/>
  <c r="D411" i="7"/>
  <c r="I410" i="7"/>
  <c r="D410" i="7"/>
  <c r="M410" i="7" s="1"/>
  <c r="J410" i="7" s="1"/>
  <c r="I409" i="7"/>
  <c r="D409" i="7"/>
  <c r="M409" i="7" s="1"/>
  <c r="J409" i="7" s="1"/>
  <c r="I408" i="7"/>
  <c r="D408" i="7"/>
  <c r="M408" i="7" s="1"/>
  <c r="J408" i="7" s="1"/>
  <c r="I407" i="7"/>
  <c r="D407" i="7"/>
  <c r="M407" i="7" s="1"/>
  <c r="J407" i="7" s="1"/>
  <c r="I406" i="7"/>
  <c r="D406" i="7"/>
  <c r="M406" i="7" s="1"/>
  <c r="J406" i="7" s="1"/>
  <c r="I405" i="7"/>
  <c r="D405" i="7"/>
  <c r="M405" i="7" s="1"/>
  <c r="J405" i="7" s="1"/>
  <c r="I404" i="7"/>
  <c r="D404" i="7"/>
  <c r="M404" i="7" s="1"/>
  <c r="J404" i="7" s="1"/>
  <c r="I403" i="7"/>
  <c r="D403" i="7"/>
  <c r="M403" i="7" s="1"/>
  <c r="J403" i="7" s="1"/>
  <c r="I402" i="7"/>
  <c r="D402" i="7"/>
  <c r="M402" i="7" s="1"/>
  <c r="J402" i="7" s="1"/>
  <c r="I401" i="7"/>
  <c r="D401" i="7"/>
  <c r="M401" i="7" s="1"/>
  <c r="J401" i="7" s="1"/>
  <c r="I400" i="7"/>
  <c r="D400" i="7"/>
  <c r="M400" i="7" s="1"/>
  <c r="J400" i="7" s="1"/>
  <c r="D399" i="7"/>
  <c r="I398" i="7"/>
  <c r="D398" i="7"/>
  <c r="M398" i="7" s="1"/>
  <c r="J398" i="7" s="1"/>
  <c r="I397" i="7"/>
  <c r="D397" i="7"/>
  <c r="M397" i="7" s="1"/>
  <c r="J397" i="7" s="1"/>
  <c r="I396" i="7"/>
  <c r="D396" i="7"/>
  <c r="M396" i="7" s="1"/>
  <c r="J396" i="7" s="1"/>
  <c r="I395" i="7"/>
  <c r="D395" i="7"/>
  <c r="M395" i="7" s="1"/>
  <c r="J395" i="7" s="1"/>
  <c r="I394" i="7"/>
  <c r="D394" i="7"/>
  <c r="M394" i="7" s="1"/>
  <c r="J394" i="7" s="1"/>
  <c r="I393" i="7"/>
  <c r="D393" i="7"/>
  <c r="M393" i="7" s="1"/>
  <c r="J393" i="7" s="1"/>
  <c r="I392" i="7"/>
  <c r="D392" i="7"/>
  <c r="M392" i="7" s="1"/>
  <c r="J392" i="7" s="1"/>
  <c r="I391" i="7"/>
  <c r="D391" i="7"/>
  <c r="M391" i="7" s="1"/>
  <c r="J391" i="7" s="1"/>
  <c r="I390" i="7"/>
  <c r="D390" i="7"/>
  <c r="M390" i="7" s="1"/>
  <c r="J390" i="7" s="1"/>
  <c r="I389" i="7"/>
  <c r="D389" i="7"/>
  <c r="M389" i="7" s="1"/>
  <c r="J389" i="7" s="1"/>
  <c r="I388" i="7"/>
  <c r="D388" i="7"/>
  <c r="M388" i="7" s="1"/>
  <c r="J388" i="7" s="1"/>
  <c r="D387" i="7"/>
  <c r="I386" i="7"/>
  <c r="D386" i="7"/>
  <c r="M386" i="7" s="1"/>
  <c r="J386" i="7" s="1"/>
  <c r="I385" i="7"/>
  <c r="D385" i="7"/>
  <c r="M385" i="7" s="1"/>
  <c r="J385" i="7" s="1"/>
  <c r="I384" i="7"/>
  <c r="D384" i="7"/>
  <c r="M384" i="7" s="1"/>
  <c r="J384" i="7" s="1"/>
  <c r="I383" i="7"/>
  <c r="D383" i="7"/>
  <c r="M383" i="7" s="1"/>
  <c r="J383" i="7" s="1"/>
  <c r="I382" i="7"/>
  <c r="D382" i="7"/>
  <c r="M382" i="7" s="1"/>
  <c r="J382" i="7" s="1"/>
  <c r="I381" i="7"/>
  <c r="D381" i="7"/>
  <c r="M381" i="7" s="1"/>
  <c r="J381" i="7" s="1"/>
  <c r="I380" i="7"/>
  <c r="D380" i="7"/>
  <c r="M380" i="7" s="1"/>
  <c r="J380" i="7" s="1"/>
  <c r="I379" i="7"/>
  <c r="D379" i="7"/>
  <c r="M379" i="7" s="1"/>
  <c r="J379" i="7" s="1"/>
  <c r="I378" i="7"/>
  <c r="D378" i="7"/>
  <c r="M378" i="7" s="1"/>
  <c r="J378" i="7" s="1"/>
  <c r="I377" i="7"/>
  <c r="D377" i="7"/>
  <c r="M377" i="7" s="1"/>
  <c r="J377" i="7" s="1"/>
  <c r="I376" i="7"/>
  <c r="D376" i="7"/>
  <c r="M376" i="7" s="1"/>
  <c r="J376" i="7" s="1"/>
  <c r="D375" i="7"/>
  <c r="I374" i="7"/>
  <c r="D374" i="7"/>
  <c r="M374" i="7" s="1"/>
  <c r="J374" i="7" s="1"/>
  <c r="I373" i="7"/>
  <c r="D373" i="7"/>
  <c r="M373" i="7" s="1"/>
  <c r="J373" i="7" s="1"/>
  <c r="I372" i="7"/>
  <c r="D372" i="7"/>
  <c r="M372" i="7" s="1"/>
  <c r="J372" i="7" s="1"/>
  <c r="I371" i="7"/>
  <c r="D371" i="7"/>
  <c r="M371" i="7" s="1"/>
  <c r="J371" i="7" s="1"/>
  <c r="I370" i="7"/>
  <c r="D370" i="7"/>
  <c r="M370" i="7" s="1"/>
  <c r="J370" i="7" s="1"/>
  <c r="I369" i="7"/>
  <c r="D369" i="7"/>
  <c r="M369" i="7" s="1"/>
  <c r="J369" i="7" s="1"/>
  <c r="I368" i="7"/>
  <c r="D368" i="7"/>
  <c r="M368" i="7" s="1"/>
  <c r="J368" i="7" s="1"/>
  <c r="I367" i="7"/>
  <c r="D367" i="7"/>
  <c r="M367" i="7" s="1"/>
  <c r="J367" i="7" s="1"/>
  <c r="I366" i="7"/>
  <c r="D366" i="7"/>
  <c r="M366" i="7" s="1"/>
  <c r="J366" i="7" s="1"/>
  <c r="I365" i="7"/>
  <c r="D365" i="7"/>
  <c r="M365" i="7" s="1"/>
  <c r="J365" i="7" s="1"/>
  <c r="I364" i="7"/>
  <c r="D364" i="7"/>
  <c r="M364" i="7" s="1"/>
  <c r="J364" i="7" s="1"/>
  <c r="D363" i="7"/>
  <c r="I362" i="7"/>
  <c r="D362" i="7"/>
  <c r="M362" i="7" s="1"/>
  <c r="J362" i="7" s="1"/>
  <c r="I361" i="7"/>
  <c r="D361" i="7"/>
  <c r="M361" i="7" s="1"/>
  <c r="J361" i="7" s="1"/>
  <c r="I360" i="7"/>
  <c r="D360" i="7"/>
  <c r="M360" i="7" s="1"/>
  <c r="J360" i="7" s="1"/>
  <c r="I359" i="7"/>
  <c r="D359" i="7"/>
  <c r="M359" i="7" s="1"/>
  <c r="J359" i="7" s="1"/>
  <c r="I358" i="7"/>
  <c r="D358" i="7"/>
  <c r="M358" i="7" s="1"/>
  <c r="J358" i="7" s="1"/>
  <c r="I357" i="7"/>
  <c r="D357" i="7"/>
  <c r="M357" i="7" s="1"/>
  <c r="J357" i="7" s="1"/>
  <c r="I356" i="7"/>
  <c r="D356" i="7"/>
  <c r="M356" i="7" s="1"/>
  <c r="J356" i="7" s="1"/>
  <c r="I355" i="7"/>
  <c r="D355" i="7"/>
  <c r="M355" i="7" s="1"/>
  <c r="J355" i="7" s="1"/>
  <c r="I354" i="7"/>
  <c r="D354" i="7"/>
  <c r="M354" i="7" s="1"/>
  <c r="J354" i="7" s="1"/>
  <c r="I353" i="7"/>
  <c r="D353" i="7"/>
  <c r="M353" i="7" s="1"/>
  <c r="J353" i="7" s="1"/>
  <c r="I352" i="7"/>
  <c r="D352" i="7"/>
  <c r="M352" i="7" s="1"/>
  <c r="J352" i="7" s="1"/>
  <c r="D351" i="7"/>
  <c r="I350" i="7"/>
  <c r="D350" i="7"/>
  <c r="M350" i="7" s="1"/>
  <c r="J350" i="7" s="1"/>
  <c r="I349" i="7"/>
  <c r="D349" i="7"/>
  <c r="M349" i="7" s="1"/>
  <c r="J349" i="7" s="1"/>
  <c r="I348" i="7"/>
  <c r="D348" i="7"/>
  <c r="M348" i="7" s="1"/>
  <c r="J348" i="7" s="1"/>
  <c r="I347" i="7"/>
  <c r="D347" i="7"/>
  <c r="M347" i="7" s="1"/>
  <c r="J347" i="7" s="1"/>
  <c r="I346" i="7"/>
  <c r="D346" i="7"/>
  <c r="M346" i="7" s="1"/>
  <c r="J346" i="7" s="1"/>
  <c r="I345" i="7"/>
  <c r="D345" i="7"/>
  <c r="M345" i="7" s="1"/>
  <c r="J345" i="7" s="1"/>
  <c r="I344" i="7"/>
  <c r="D344" i="7"/>
  <c r="M344" i="7" s="1"/>
  <c r="J344" i="7" s="1"/>
  <c r="I343" i="7"/>
  <c r="D343" i="7"/>
  <c r="M343" i="7" s="1"/>
  <c r="J343" i="7" s="1"/>
  <c r="I342" i="7"/>
  <c r="D342" i="7"/>
  <c r="M342" i="7" s="1"/>
  <c r="J342" i="7" s="1"/>
  <c r="I341" i="7"/>
  <c r="D341" i="7"/>
  <c r="M341" i="7" s="1"/>
  <c r="J341" i="7" s="1"/>
  <c r="I340" i="7"/>
  <c r="D340" i="7"/>
  <c r="M340" i="7" s="1"/>
  <c r="J340" i="7" s="1"/>
  <c r="D339" i="7"/>
  <c r="I338" i="7"/>
  <c r="D338" i="7"/>
  <c r="M338" i="7" s="1"/>
  <c r="J338" i="7" s="1"/>
  <c r="I337" i="7"/>
  <c r="D337" i="7"/>
  <c r="M337" i="7" s="1"/>
  <c r="J337" i="7" s="1"/>
  <c r="I336" i="7"/>
  <c r="D336" i="7"/>
  <c r="M336" i="7" s="1"/>
  <c r="J336" i="7" s="1"/>
  <c r="I335" i="7"/>
  <c r="D335" i="7"/>
  <c r="M335" i="7" s="1"/>
  <c r="J335" i="7" s="1"/>
  <c r="I334" i="7"/>
  <c r="D334" i="7"/>
  <c r="M334" i="7" s="1"/>
  <c r="J334" i="7" s="1"/>
  <c r="I333" i="7"/>
  <c r="D333" i="7"/>
  <c r="M333" i="7" s="1"/>
  <c r="J333" i="7" s="1"/>
  <c r="I332" i="7"/>
  <c r="D332" i="7"/>
  <c r="M332" i="7" s="1"/>
  <c r="J332" i="7" s="1"/>
  <c r="I331" i="7"/>
  <c r="D331" i="7"/>
  <c r="M331" i="7" s="1"/>
  <c r="J331" i="7" s="1"/>
  <c r="I330" i="7"/>
  <c r="D330" i="7"/>
  <c r="M330" i="7" s="1"/>
  <c r="J330" i="7" s="1"/>
  <c r="I329" i="7"/>
  <c r="D329" i="7"/>
  <c r="M329" i="7" s="1"/>
  <c r="J329" i="7" s="1"/>
  <c r="I328" i="7"/>
  <c r="D328" i="7"/>
  <c r="M328" i="7" s="1"/>
  <c r="J328" i="7" s="1"/>
  <c r="D327" i="7"/>
  <c r="I326" i="7"/>
  <c r="D326" i="7"/>
  <c r="M326" i="7" s="1"/>
  <c r="J326" i="7" s="1"/>
  <c r="I325" i="7"/>
  <c r="D325" i="7"/>
  <c r="M325" i="7" s="1"/>
  <c r="J325" i="7" s="1"/>
  <c r="I324" i="7"/>
  <c r="D324" i="7"/>
  <c r="M324" i="7" s="1"/>
  <c r="J324" i="7" s="1"/>
  <c r="I323" i="7"/>
  <c r="D323" i="7"/>
  <c r="M323" i="7" s="1"/>
  <c r="J323" i="7" s="1"/>
  <c r="I322" i="7"/>
  <c r="D322" i="7"/>
  <c r="M322" i="7" s="1"/>
  <c r="J322" i="7" s="1"/>
  <c r="I321" i="7"/>
  <c r="D321" i="7"/>
  <c r="M321" i="7" s="1"/>
  <c r="J321" i="7" s="1"/>
  <c r="I320" i="7"/>
  <c r="D320" i="7"/>
  <c r="M320" i="7" s="1"/>
  <c r="J320" i="7" s="1"/>
  <c r="I319" i="7"/>
  <c r="D319" i="7"/>
  <c r="M319" i="7" s="1"/>
  <c r="J319" i="7" s="1"/>
  <c r="I318" i="7"/>
  <c r="D318" i="7"/>
  <c r="M318" i="7" s="1"/>
  <c r="J318" i="7" s="1"/>
  <c r="I317" i="7"/>
  <c r="D317" i="7"/>
  <c r="M317" i="7" s="1"/>
  <c r="J317" i="7" s="1"/>
  <c r="I316" i="7"/>
  <c r="D316" i="7"/>
  <c r="M316" i="7" s="1"/>
  <c r="J316" i="7" s="1"/>
  <c r="D315" i="7"/>
  <c r="I314" i="7"/>
  <c r="D314" i="7"/>
  <c r="M314" i="7" s="1"/>
  <c r="J314" i="7" s="1"/>
  <c r="I313" i="7"/>
  <c r="D313" i="7"/>
  <c r="M313" i="7" s="1"/>
  <c r="J313" i="7" s="1"/>
  <c r="I312" i="7"/>
  <c r="D312" i="7"/>
  <c r="M312" i="7" s="1"/>
  <c r="J312" i="7" s="1"/>
  <c r="I311" i="7"/>
  <c r="D311" i="7"/>
  <c r="M311" i="7" s="1"/>
  <c r="J311" i="7" s="1"/>
  <c r="I310" i="7"/>
  <c r="D310" i="7"/>
  <c r="M310" i="7" s="1"/>
  <c r="J310" i="7" s="1"/>
  <c r="I309" i="7"/>
  <c r="D309" i="7"/>
  <c r="M309" i="7" s="1"/>
  <c r="J309" i="7" s="1"/>
  <c r="I308" i="7"/>
  <c r="D308" i="7"/>
  <c r="M308" i="7" s="1"/>
  <c r="J308" i="7" s="1"/>
  <c r="I307" i="7"/>
  <c r="D307" i="7"/>
  <c r="M307" i="7" s="1"/>
  <c r="J307" i="7" s="1"/>
  <c r="I306" i="7"/>
  <c r="D306" i="7"/>
  <c r="M306" i="7" s="1"/>
  <c r="J306" i="7" s="1"/>
  <c r="I305" i="7"/>
  <c r="D305" i="7"/>
  <c r="M305" i="7" s="1"/>
  <c r="J305" i="7" s="1"/>
  <c r="I304" i="7"/>
  <c r="D304" i="7"/>
  <c r="M304" i="7" s="1"/>
  <c r="J304" i="7" s="1"/>
  <c r="D303" i="7"/>
  <c r="I302" i="7"/>
  <c r="D302" i="7"/>
  <c r="M302" i="7" s="1"/>
  <c r="J302" i="7" s="1"/>
  <c r="I301" i="7"/>
  <c r="D301" i="7"/>
  <c r="M301" i="7" s="1"/>
  <c r="J301" i="7" s="1"/>
  <c r="I300" i="7"/>
  <c r="D300" i="7"/>
  <c r="M300" i="7" s="1"/>
  <c r="J300" i="7" s="1"/>
  <c r="I299" i="7"/>
  <c r="D299" i="7"/>
  <c r="M299" i="7" s="1"/>
  <c r="J299" i="7" s="1"/>
  <c r="I298" i="7"/>
  <c r="D298" i="7"/>
  <c r="M298" i="7" s="1"/>
  <c r="J298" i="7" s="1"/>
  <c r="I297" i="7"/>
  <c r="D297" i="7"/>
  <c r="M297" i="7" s="1"/>
  <c r="J297" i="7" s="1"/>
  <c r="I296" i="7"/>
  <c r="D296" i="7"/>
  <c r="M296" i="7" s="1"/>
  <c r="J296" i="7" s="1"/>
  <c r="I295" i="7"/>
  <c r="D295" i="7"/>
  <c r="M295" i="7" s="1"/>
  <c r="J295" i="7" s="1"/>
  <c r="I294" i="7"/>
  <c r="D294" i="7"/>
  <c r="M294" i="7" s="1"/>
  <c r="J294" i="7" s="1"/>
  <c r="I293" i="7"/>
  <c r="D293" i="7"/>
  <c r="M293" i="7" s="1"/>
  <c r="J293" i="7" s="1"/>
  <c r="I292" i="7"/>
  <c r="D292" i="7"/>
  <c r="M292" i="7" s="1"/>
  <c r="J292" i="7" s="1"/>
  <c r="D291" i="7"/>
  <c r="I290" i="7"/>
  <c r="D290" i="7"/>
  <c r="M290" i="7" s="1"/>
  <c r="I289" i="7"/>
  <c r="D289" i="7"/>
  <c r="M289" i="7" s="1"/>
  <c r="I288" i="7"/>
  <c r="D288" i="7"/>
  <c r="M288" i="7" s="1"/>
  <c r="I287" i="7"/>
  <c r="D287" i="7"/>
  <c r="M287" i="7" s="1"/>
  <c r="I286" i="7"/>
  <c r="D286" i="7"/>
  <c r="M286" i="7" s="1"/>
  <c r="I285" i="7"/>
  <c r="D285" i="7"/>
  <c r="M285" i="7" s="1"/>
  <c r="I284" i="7"/>
  <c r="D284" i="7"/>
  <c r="M284" i="7" s="1"/>
  <c r="I283" i="7"/>
  <c r="D283" i="7"/>
  <c r="M283" i="7" s="1"/>
  <c r="I282" i="7"/>
  <c r="D282" i="7"/>
  <c r="M282" i="7" s="1"/>
  <c r="I281" i="7"/>
  <c r="D281" i="7"/>
  <c r="M281" i="7" s="1"/>
  <c r="I280" i="7"/>
  <c r="D280" i="7"/>
  <c r="M280" i="7" s="1"/>
  <c r="D279" i="7"/>
  <c r="I278" i="7"/>
  <c r="D278" i="7"/>
  <c r="M278" i="7" s="1"/>
  <c r="I277" i="7"/>
  <c r="D277" i="7"/>
  <c r="M277" i="7" s="1"/>
  <c r="I276" i="7"/>
  <c r="D276" i="7"/>
  <c r="M276" i="7" s="1"/>
  <c r="I275" i="7"/>
  <c r="D275" i="7"/>
  <c r="M275" i="7" s="1"/>
  <c r="I274" i="7"/>
  <c r="D274" i="7"/>
  <c r="M274" i="7" s="1"/>
  <c r="I273" i="7"/>
  <c r="D273" i="7"/>
  <c r="M273" i="7" s="1"/>
  <c r="I272" i="7"/>
  <c r="D272" i="7"/>
  <c r="M272" i="7" s="1"/>
  <c r="I271" i="7"/>
  <c r="D271" i="7"/>
  <c r="M271" i="7" s="1"/>
  <c r="I270" i="7"/>
  <c r="D270" i="7"/>
  <c r="M270" i="7" s="1"/>
  <c r="I269" i="7"/>
  <c r="D269" i="7"/>
  <c r="M269" i="7" s="1"/>
  <c r="I268" i="7"/>
  <c r="D268" i="7"/>
  <c r="M268" i="7" s="1"/>
  <c r="D267" i="7"/>
  <c r="I266" i="7"/>
  <c r="D266" i="7"/>
  <c r="M266" i="7" s="1"/>
  <c r="I265" i="7"/>
  <c r="D265" i="7"/>
  <c r="M265" i="7" s="1"/>
  <c r="I264" i="7"/>
  <c r="D264" i="7"/>
  <c r="M264" i="7" s="1"/>
  <c r="I263" i="7"/>
  <c r="D263" i="7"/>
  <c r="M263" i="7" s="1"/>
  <c r="I262" i="7"/>
  <c r="D262" i="7"/>
  <c r="M262" i="7" s="1"/>
  <c r="I261" i="7"/>
  <c r="D261" i="7"/>
  <c r="M261" i="7" s="1"/>
  <c r="I260" i="7"/>
  <c r="D260" i="7"/>
  <c r="M260" i="7" s="1"/>
  <c r="I259" i="7"/>
  <c r="D259" i="7"/>
  <c r="M259" i="7" s="1"/>
  <c r="I258" i="7"/>
  <c r="D258" i="7"/>
  <c r="M258" i="7" s="1"/>
  <c r="I257" i="7"/>
  <c r="D257" i="7"/>
  <c r="M257" i="7" s="1"/>
  <c r="I256" i="7"/>
  <c r="D256" i="7"/>
  <c r="M256" i="7" s="1"/>
  <c r="D255" i="7"/>
  <c r="I254" i="7"/>
  <c r="D254" i="7"/>
  <c r="M254" i="7" s="1"/>
  <c r="I253" i="7"/>
  <c r="D253" i="7"/>
  <c r="M253" i="7" s="1"/>
  <c r="I252" i="7"/>
  <c r="D252" i="7"/>
  <c r="M252" i="7" s="1"/>
  <c r="I251" i="7"/>
  <c r="D251" i="7"/>
  <c r="M251" i="7" s="1"/>
  <c r="I250" i="7"/>
  <c r="D250" i="7"/>
  <c r="M250" i="7" s="1"/>
  <c r="I249" i="7"/>
  <c r="D249" i="7"/>
  <c r="M249" i="7" s="1"/>
  <c r="I248" i="7"/>
  <c r="D248" i="7"/>
  <c r="M248" i="7" s="1"/>
  <c r="I247" i="7"/>
  <c r="D247" i="7"/>
  <c r="M247" i="7" s="1"/>
  <c r="I246" i="7"/>
  <c r="D246" i="7"/>
  <c r="M246" i="7" s="1"/>
  <c r="I245" i="7"/>
  <c r="D245" i="7"/>
  <c r="M245" i="7" s="1"/>
  <c r="I244" i="7"/>
  <c r="D244" i="7"/>
  <c r="M244" i="7" s="1"/>
  <c r="D243" i="7"/>
  <c r="I242" i="7"/>
  <c r="D242" i="7"/>
  <c r="M242" i="7" s="1"/>
  <c r="I241" i="7"/>
  <c r="D241" i="7"/>
  <c r="M241" i="7" s="1"/>
  <c r="I240" i="7"/>
  <c r="D240" i="7"/>
  <c r="M240" i="7" s="1"/>
  <c r="I239" i="7"/>
  <c r="D239" i="7"/>
  <c r="M239" i="7" s="1"/>
  <c r="I238" i="7"/>
  <c r="D238" i="7"/>
  <c r="M238" i="7" s="1"/>
  <c r="I237" i="7"/>
  <c r="D237" i="7"/>
  <c r="M237" i="7" s="1"/>
  <c r="I236" i="7"/>
  <c r="D236" i="7"/>
  <c r="M236" i="7" s="1"/>
  <c r="I235" i="7"/>
  <c r="D235" i="7"/>
  <c r="M235" i="7" s="1"/>
  <c r="I234" i="7"/>
  <c r="D234" i="7"/>
  <c r="M234" i="7" s="1"/>
  <c r="I233" i="7"/>
  <c r="D233" i="7"/>
  <c r="M233" i="7" s="1"/>
  <c r="I232" i="7"/>
  <c r="D232" i="7"/>
  <c r="M232" i="7" s="1"/>
  <c r="D231" i="7"/>
  <c r="I230" i="7"/>
  <c r="D230" i="7"/>
  <c r="M230" i="7" s="1"/>
  <c r="I229" i="7"/>
  <c r="D229" i="7"/>
  <c r="M229" i="7" s="1"/>
  <c r="I228" i="7"/>
  <c r="D228" i="7"/>
  <c r="M228" i="7" s="1"/>
  <c r="I227" i="7"/>
  <c r="D227" i="7"/>
  <c r="M227" i="7" s="1"/>
  <c r="I226" i="7"/>
  <c r="D226" i="7"/>
  <c r="M226" i="7" s="1"/>
  <c r="I225" i="7"/>
  <c r="D225" i="7"/>
  <c r="M225" i="7" s="1"/>
  <c r="I224" i="7"/>
  <c r="D224" i="7"/>
  <c r="M224" i="7" s="1"/>
  <c r="I223" i="7"/>
  <c r="D223" i="7"/>
  <c r="M223" i="7" s="1"/>
  <c r="I222" i="7"/>
  <c r="D222" i="7"/>
  <c r="M222" i="7" s="1"/>
  <c r="I221" i="7"/>
  <c r="D221" i="7"/>
  <c r="M221" i="7" s="1"/>
  <c r="I220" i="7"/>
  <c r="D220" i="7"/>
  <c r="M220" i="7" s="1"/>
  <c r="D219" i="7"/>
  <c r="I218" i="7"/>
  <c r="D218" i="7"/>
  <c r="M218" i="7" s="1"/>
  <c r="I217" i="7"/>
  <c r="D217" i="7"/>
  <c r="M217" i="7" s="1"/>
  <c r="I216" i="7"/>
  <c r="D216" i="7"/>
  <c r="M216" i="7" s="1"/>
  <c r="I215" i="7"/>
  <c r="D215" i="7"/>
  <c r="M215" i="7" s="1"/>
  <c r="I214" i="7"/>
  <c r="D214" i="7"/>
  <c r="M214" i="7" s="1"/>
  <c r="I213" i="7"/>
  <c r="D213" i="7"/>
  <c r="M213" i="7" s="1"/>
  <c r="I212" i="7"/>
  <c r="D212" i="7"/>
  <c r="M212" i="7" s="1"/>
  <c r="I211" i="7"/>
  <c r="D211" i="7"/>
  <c r="M211" i="7" s="1"/>
  <c r="I210" i="7"/>
  <c r="D210" i="7"/>
  <c r="M210" i="7" s="1"/>
  <c r="I209" i="7"/>
  <c r="D209" i="7"/>
  <c r="M209" i="7" s="1"/>
  <c r="I208" i="7"/>
  <c r="D208" i="7"/>
  <c r="M208" i="7" s="1"/>
  <c r="D207" i="7"/>
  <c r="I206" i="7"/>
  <c r="D206" i="7"/>
  <c r="M206" i="7" s="1"/>
  <c r="I205" i="7"/>
  <c r="D205" i="7"/>
  <c r="M205" i="7" s="1"/>
  <c r="I204" i="7"/>
  <c r="D204" i="7"/>
  <c r="M204" i="7" s="1"/>
  <c r="I203" i="7"/>
  <c r="D203" i="7"/>
  <c r="M203" i="7" s="1"/>
  <c r="I202" i="7"/>
  <c r="D202" i="7"/>
  <c r="M202" i="7" s="1"/>
  <c r="I201" i="7"/>
  <c r="D201" i="7"/>
  <c r="M201" i="7" s="1"/>
  <c r="I200" i="7"/>
  <c r="D200" i="7"/>
  <c r="M200" i="7" s="1"/>
  <c r="I199" i="7"/>
  <c r="D199" i="7"/>
  <c r="M199" i="7" s="1"/>
  <c r="I198" i="7"/>
  <c r="D198" i="7"/>
  <c r="M198" i="7" s="1"/>
  <c r="I197" i="7"/>
  <c r="D197" i="7"/>
  <c r="M197" i="7" s="1"/>
  <c r="I196" i="7"/>
  <c r="D196" i="7"/>
  <c r="M196" i="7" s="1"/>
  <c r="D195" i="7"/>
  <c r="I194" i="7"/>
  <c r="D194" i="7"/>
  <c r="M194" i="7" s="1"/>
  <c r="I193" i="7"/>
  <c r="D193" i="7"/>
  <c r="M193" i="7" s="1"/>
  <c r="I192" i="7"/>
  <c r="D192" i="7"/>
  <c r="M192" i="7" s="1"/>
  <c r="I191" i="7"/>
  <c r="D191" i="7"/>
  <c r="M191" i="7" s="1"/>
  <c r="I190" i="7"/>
  <c r="D190" i="7"/>
  <c r="M190" i="7" s="1"/>
  <c r="I189" i="7"/>
  <c r="D189" i="7"/>
  <c r="M189" i="7" s="1"/>
  <c r="I188" i="7"/>
  <c r="D188" i="7"/>
  <c r="M188" i="7" s="1"/>
  <c r="I187" i="7"/>
  <c r="D187" i="7"/>
  <c r="M187" i="7" s="1"/>
  <c r="I186" i="7"/>
  <c r="D186" i="7"/>
  <c r="M186" i="7" s="1"/>
  <c r="I185" i="7"/>
  <c r="D185" i="7"/>
  <c r="M185" i="7" s="1"/>
  <c r="I184" i="7"/>
  <c r="D184" i="7"/>
  <c r="M184" i="7" s="1"/>
  <c r="D183" i="7"/>
  <c r="I182" i="7"/>
  <c r="D182" i="7"/>
  <c r="M182" i="7" s="1"/>
  <c r="I181" i="7"/>
  <c r="D181" i="7"/>
  <c r="M181" i="7" s="1"/>
  <c r="I180" i="7"/>
  <c r="D180" i="7"/>
  <c r="M180" i="7" s="1"/>
  <c r="I179" i="7"/>
  <c r="D179" i="7"/>
  <c r="M179" i="7" s="1"/>
  <c r="I178" i="7"/>
  <c r="D178" i="7"/>
  <c r="M178" i="7" s="1"/>
  <c r="I177" i="7"/>
  <c r="D177" i="7"/>
  <c r="M177" i="7" s="1"/>
  <c r="I176" i="7"/>
  <c r="D176" i="7"/>
  <c r="M176" i="7" s="1"/>
  <c r="I175" i="7"/>
  <c r="D175" i="7"/>
  <c r="M175" i="7" s="1"/>
  <c r="I174" i="7"/>
  <c r="D174" i="7"/>
  <c r="M174" i="7" s="1"/>
  <c r="I173" i="7"/>
  <c r="D173" i="7"/>
  <c r="M173" i="7" s="1"/>
  <c r="I172" i="7"/>
  <c r="D172" i="7"/>
  <c r="M172" i="7" s="1"/>
  <c r="D171" i="7"/>
  <c r="I170" i="7"/>
  <c r="D170" i="7"/>
  <c r="M170" i="7" s="1"/>
  <c r="I169" i="7"/>
  <c r="D169" i="7"/>
  <c r="M169" i="7" s="1"/>
  <c r="I168" i="7"/>
  <c r="D168" i="7"/>
  <c r="M168" i="7" s="1"/>
  <c r="I167" i="7"/>
  <c r="D167" i="7"/>
  <c r="M167" i="7" s="1"/>
  <c r="I166" i="7"/>
  <c r="D166" i="7"/>
  <c r="M166" i="7" s="1"/>
  <c r="I165" i="7"/>
  <c r="D165" i="7"/>
  <c r="M165" i="7" s="1"/>
  <c r="I164" i="7"/>
  <c r="D164" i="7"/>
  <c r="M164" i="7" s="1"/>
  <c r="I163" i="7"/>
  <c r="D163" i="7"/>
  <c r="M163" i="7" s="1"/>
  <c r="I162" i="7"/>
  <c r="D162" i="7"/>
  <c r="M162" i="7" s="1"/>
  <c r="I161" i="7"/>
  <c r="D161" i="7"/>
  <c r="M161" i="7" s="1"/>
  <c r="I160" i="7"/>
  <c r="D160" i="7"/>
  <c r="M160" i="7" s="1"/>
  <c r="D159" i="7"/>
  <c r="I158" i="7"/>
  <c r="D158" i="7"/>
  <c r="M158" i="7" s="1"/>
  <c r="I157" i="7"/>
  <c r="D157" i="7"/>
  <c r="M157" i="7" s="1"/>
  <c r="I156" i="7"/>
  <c r="D156" i="7"/>
  <c r="M156" i="7" s="1"/>
  <c r="I155" i="7"/>
  <c r="D155" i="7"/>
  <c r="M155" i="7" s="1"/>
  <c r="I154" i="7"/>
  <c r="D154" i="7"/>
  <c r="M154" i="7" s="1"/>
  <c r="I153" i="7"/>
  <c r="D153" i="7"/>
  <c r="M153" i="7" s="1"/>
  <c r="I152" i="7"/>
  <c r="D152" i="7"/>
  <c r="M152" i="7" s="1"/>
  <c r="I151" i="7"/>
  <c r="D151" i="7"/>
  <c r="M151" i="7" s="1"/>
  <c r="I150" i="7"/>
  <c r="D150" i="7"/>
  <c r="M150" i="7" s="1"/>
  <c r="I149" i="7"/>
  <c r="D149" i="7"/>
  <c r="M149" i="7" s="1"/>
  <c r="I148" i="7"/>
  <c r="D148" i="7"/>
  <c r="M148" i="7" s="1"/>
  <c r="D147" i="7"/>
  <c r="I146" i="7"/>
  <c r="D146" i="7"/>
  <c r="M146" i="7" s="1"/>
  <c r="I145" i="7"/>
  <c r="D145" i="7"/>
  <c r="M145" i="7" s="1"/>
  <c r="I144" i="7"/>
  <c r="D144" i="7"/>
  <c r="M144" i="7" s="1"/>
  <c r="I143" i="7"/>
  <c r="D143" i="7"/>
  <c r="M143" i="7" s="1"/>
  <c r="I142" i="7"/>
  <c r="D142" i="7"/>
  <c r="M142" i="7" s="1"/>
  <c r="I141" i="7"/>
  <c r="D141" i="7"/>
  <c r="M141" i="7" s="1"/>
  <c r="I140" i="7"/>
  <c r="D140" i="7"/>
  <c r="M140" i="7" s="1"/>
  <c r="I139" i="7"/>
  <c r="D139" i="7"/>
  <c r="M139" i="7" s="1"/>
  <c r="I138" i="7"/>
  <c r="D138" i="7"/>
  <c r="M138" i="7" s="1"/>
  <c r="I137" i="7"/>
  <c r="D137" i="7"/>
  <c r="M137" i="7" s="1"/>
  <c r="I136" i="7"/>
  <c r="D136" i="7"/>
  <c r="M136" i="7" s="1"/>
  <c r="D135" i="7"/>
  <c r="I134" i="7"/>
  <c r="D134" i="7"/>
  <c r="M134" i="7" s="1"/>
  <c r="I133" i="7"/>
  <c r="D133" i="7"/>
  <c r="M133" i="7" s="1"/>
  <c r="I132" i="7"/>
  <c r="D132" i="7"/>
  <c r="M132" i="7" s="1"/>
  <c r="I131" i="7"/>
  <c r="D131" i="7"/>
  <c r="M131" i="7" s="1"/>
  <c r="I130" i="7"/>
  <c r="D130" i="7"/>
  <c r="M130" i="7" s="1"/>
  <c r="I129" i="7"/>
  <c r="D129" i="7"/>
  <c r="M129" i="7" s="1"/>
  <c r="I128" i="7"/>
  <c r="D128" i="7"/>
  <c r="M128" i="7" s="1"/>
  <c r="I127" i="7"/>
  <c r="D127" i="7"/>
  <c r="M127" i="7" s="1"/>
  <c r="I126" i="7"/>
  <c r="D126" i="7"/>
  <c r="M126" i="7" s="1"/>
  <c r="I125" i="7"/>
  <c r="D125" i="7"/>
  <c r="M125" i="7" s="1"/>
  <c r="I124" i="7"/>
  <c r="D124" i="7"/>
  <c r="M124" i="7" s="1"/>
  <c r="D123" i="7"/>
  <c r="I122" i="7"/>
  <c r="D122" i="7"/>
  <c r="M122" i="7" s="1"/>
  <c r="I121" i="7"/>
  <c r="D121" i="7"/>
  <c r="M121" i="7" s="1"/>
  <c r="I120" i="7"/>
  <c r="D120" i="7"/>
  <c r="M120" i="7" s="1"/>
  <c r="I119" i="7"/>
  <c r="D119" i="7"/>
  <c r="M119" i="7" s="1"/>
  <c r="I118" i="7"/>
  <c r="D118" i="7"/>
  <c r="M118" i="7" s="1"/>
  <c r="I117" i="7"/>
  <c r="D117" i="7"/>
  <c r="M117" i="7" s="1"/>
  <c r="I116" i="7"/>
  <c r="D116" i="7"/>
  <c r="M116" i="7" s="1"/>
  <c r="I115" i="7"/>
  <c r="D115" i="7"/>
  <c r="M115" i="7" s="1"/>
  <c r="I114" i="7"/>
  <c r="D114" i="7"/>
  <c r="M114" i="7" s="1"/>
  <c r="I113" i="7"/>
  <c r="D113" i="7"/>
  <c r="M113" i="7" s="1"/>
  <c r="I112" i="7"/>
  <c r="D112" i="7"/>
  <c r="M112" i="7" s="1"/>
  <c r="D111" i="7"/>
  <c r="I110" i="7"/>
  <c r="D110" i="7"/>
  <c r="M110" i="7" s="1"/>
  <c r="I109" i="7"/>
  <c r="D109" i="7"/>
  <c r="M109" i="7" s="1"/>
  <c r="I108" i="7"/>
  <c r="D108" i="7"/>
  <c r="M108" i="7" s="1"/>
  <c r="I107" i="7"/>
  <c r="D107" i="7"/>
  <c r="M107" i="7" s="1"/>
  <c r="I106" i="7"/>
  <c r="D106" i="7"/>
  <c r="M106" i="7" s="1"/>
  <c r="I105" i="7"/>
  <c r="D105" i="7"/>
  <c r="M105" i="7" s="1"/>
  <c r="I104" i="7"/>
  <c r="D104" i="7"/>
  <c r="M104" i="7" s="1"/>
  <c r="I103" i="7"/>
  <c r="D103" i="7"/>
  <c r="M103" i="7" s="1"/>
  <c r="I102" i="7"/>
  <c r="D102" i="7"/>
  <c r="M102" i="7" s="1"/>
  <c r="I101" i="7"/>
  <c r="D101" i="7"/>
  <c r="M101" i="7" s="1"/>
  <c r="I100" i="7"/>
  <c r="D100" i="7"/>
  <c r="M100" i="7" s="1"/>
  <c r="D99" i="7"/>
  <c r="I98" i="7"/>
  <c r="D98" i="7"/>
  <c r="M98" i="7" s="1"/>
  <c r="I97" i="7"/>
  <c r="D97" i="7"/>
  <c r="M97" i="7" s="1"/>
  <c r="I96" i="7"/>
  <c r="D96" i="7"/>
  <c r="M96" i="7" s="1"/>
  <c r="I95" i="7"/>
  <c r="D95" i="7"/>
  <c r="M95" i="7" s="1"/>
  <c r="I94" i="7"/>
  <c r="D94" i="7"/>
  <c r="M94" i="7" s="1"/>
  <c r="I93" i="7"/>
  <c r="D93" i="7"/>
  <c r="M93" i="7" s="1"/>
  <c r="I92" i="7"/>
  <c r="D92" i="7"/>
  <c r="M92" i="7" s="1"/>
  <c r="I91" i="7"/>
  <c r="D91" i="7"/>
  <c r="M91" i="7" s="1"/>
  <c r="I90" i="7"/>
  <c r="D90" i="7"/>
  <c r="M90" i="7" s="1"/>
  <c r="I89" i="7"/>
  <c r="D89" i="7"/>
  <c r="M89" i="7" s="1"/>
  <c r="I88" i="7"/>
  <c r="D88" i="7"/>
  <c r="M88" i="7" s="1"/>
  <c r="D87" i="7"/>
  <c r="I86" i="7"/>
  <c r="D86" i="7"/>
  <c r="M86" i="7" s="1"/>
  <c r="I85" i="7"/>
  <c r="D85" i="7"/>
  <c r="M85" i="7" s="1"/>
  <c r="I84" i="7"/>
  <c r="D84" i="7"/>
  <c r="M84" i="7" s="1"/>
  <c r="I83" i="7"/>
  <c r="D83" i="7"/>
  <c r="M83" i="7" s="1"/>
  <c r="I82" i="7"/>
  <c r="D82" i="7"/>
  <c r="M82" i="7" s="1"/>
  <c r="I81" i="7"/>
  <c r="D81" i="7"/>
  <c r="M81" i="7" s="1"/>
  <c r="I80" i="7"/>
  <c r="D80" i="7"/>
  <c r="M80" i="7" s="1"/>
  <c r="I79" i="7"/>
  <c r="D79" i="7"/>
  <c r="M79" i="7" s="1"/>
  <c r="I78" i="7"/>
  <c r="D78" i="7"/>
  <c r="M78" i="7" s="1"/>
  <c r="I77" i="7"/>
  <c r="D77" i="7"/>
  <c r="M77" i="7" s="1"/>
  <c r="I76" i="7"/>
  <c r="D76" i="7"/>
  <c r="M76" i="7" s="1"/>
  <c r="D75" i="7"/>
  <c r="I74" i="7"/>
  <c r="D74" i="7"/>
  <c r="M74" i="7" s="1"/>
  <c r="I73" i="7"/>
  <c r="D73" i="7"/>
  <c r="M73" i="7" s="1"/>
  <c r="I72" i="7"/>
  <c r="D72" i="7"/>
  <c r="M72" i="7" s="1"/>
  <c r="I71" i="7"/>
  <c r="D71" i="7"/>
  <c r="M71" i="7" s="1"/>
  <c r="I70" i="7"/>
  <c r="D70" i="7"/>
  <c r="M70" i="7" s="1"/>
  <c r="I69" i="7"/>
  <c r="D69" i="7"/>
  <c r="M69" i="7" s="1"/>
  <c r="I68" i="7"/>
  <c r="D68" i="7"/>
  <c r="M68" i="7" s="1"/>
  <c r="I67" i="7"/>
  <c r="D67" i="7"/>
  <c r="M67" i="7" s="1"/>
  <c r="I66" i="7"/>
  <c r="D66" i="7"/>
  <c r="M66" i="7" s="1"/>
  <c r="I65" i="7"/>
  <c r="D65" i="7"/>
  <c r="M65" i="7" s="1"/>
  <c r="I64" i="7"/>
  <c r="D64" i="7"/>
  <c r="M64" i="7" s="1"/>
  <c r="D63" i="7"/>
  <c r="I62" i="7"/>
  <c r="D62" i="7"/>
  <c r="M62" i="7" s="1"/>
  <c r="I61" i="7"/>
  <c r="D61" i="7"/>
  <c r="M61" i="7" s="1"/>
  <c r="I60" i="7"/>
  <c r="D60" i="7"/>
  <c r="M60" i="7" s="1"/>
  <c r="I59" i="7"/>
  <c r="D59" i="7"/>
  <c r="M59" i="7" s="1"/>
  <c r="I58" i="7"/>
  <c r="D58" i="7"/>
  <c r="M58" i="7" s="1"/>
  <c r="I57" i="7"/>
  <c r="D57" i="7"/>
  <c r="M57" i="7" s="1"/>
  <c r="I56" i="7"/>
  <c r="D56" i="7"/>
  <c r="M56" i="7" s="1"/>
  <c r="I55" i="7"/>
  <c r="D55" i="7"/>
  <c r="M55" i="7" s="1"/>
  <c r="I54" i="7"/>
  <c r="D54" i="7"/>
  <c r="M54" i="7" s="1"/>
  <c r="I53" i="7"/>
  <c r="D53" i="7"/>
  <c r="M53" i="7" s="1"/>
  <c r="I52" i="7"/>
  <c r="D52" i="7"/>
  <c r="M52" i="7" s="1"/>
  <c r="D51" i="7"/>
  <c r="I50" i="7"/>
  <c r="D50" i="7"/>
  <c r="M50" i="7" s="1"/>
  <c r="I49" i="7"/>
  <c r="D49" i="7"/>
  <c r="M49" i="7" s="1"/>
  <c r="I48" i="7"/>
  <c r="D48" i="7"/>
  <c r="M48" i="7" s="1"/>
  <c r="I47" i="7"/>
  <c r="D47" i="7"/>
  <c r="M47" i="7" s="1"/>
  <c r="I46" i="7"/>
  <c r="D46" i="7"/>
  <c r="M46" i="7" s="1"/>
  <c r="I45" i="7"/>
  <c r="D45" i="7"/>
  <c r="M45" i="7" s="1"/>
  <c r="I44" i="7"/>
  <c r="D44" i="7"/>
  <c r="M44" i="7" s="1"/>
  <c r="I43" i="7"/>
  <c r="D43" i="7"/>
  <c r="M43" i="7" s="1"/>
  <c r="I42" i="7"/>
  <c r="D42" i="7"/>
  <c r="M42" i="7" s="1"/>
  <c r="I41" i="7"/>
  <c r="D41" i="7"/>
  <c r="M41" i="7" s="1"/>
  <c r="I40" i="7"/>
  <c r="D40" i="7"/>
  <c r="M40" i="7" s="1"/>
  <c r="D39" i="7"/>
  <c r="I38" i="7"/>
  <c r="D38" i="7"/>
  <c r="M38" i="7" s="1"/>
  <c r="I37" i="7"/>
  <c r="D37" i="7"/>
  <c r="M37" i="7" s="1"/>
  <c r="I36" i="7"/>
  <c r="D36" i="7"/>
  <c r="M36" i="7" s="1"/>
  <c r="I35" i="7"/>
  <c r="D35" i="7"/>
  <c r="M35" i="7" s="1"/>
  <c r="I34" i="7"/>
  <c r="D34" i="7"/>
  <c r="M34" i="7" s="1"/>
  <c r="I33" i="7"/>
  <c r="D33" i="7"/>
  <c r="M33" i="7" s="1"/>
  <c r="I32" i="7"/>
  <c r="D32" i="7"/>
  <c r="M32" i="7" s="1"/>
  <c r="I31" i="7"/>
  <c r="D31" i="7"/>
  <c r="M31" i="7" s="1"/>
  <c r="I30" i="7"/>
  <c r="D30" i="7"/>
  <c r="M30" i="7" s="1"/>
  <c r="I29" i="7"/>
  <c r="D29" i="7"/>
  <c r="M29" i="7" s="1"/>
  <c r="I28" i="7"/>
  <c r="D28" i="7"/>
  <c r="M28" i="7" s="1"/>
  <c r="D27" i="7"/>
  <c r="I26" i="7"/>
  <c r="D26" i="7"/>
  <c r="M26" i="7" s="1"/>
  <c r="I25" i="7"/>
  <c r="D25" i="7"/>
  <c r="M25" i="7" s="1"/>
  <c r="I24" i="7"/>
  <c r="D24" i="7"/>
  <c r="M24" i="7" s="1"/>
  <c r="I23" i="7"/>
  <c r="D23" i="7"/>
  <c r="M23" i="7" s="1"/>
  <c r="I22" i="7"/>
  <c r="D22" i="7"/>
  <c r="M22" i="7" s="1"/>
  <c r="I21" i="7"/>
  <c r="D21" i="7"/>
  <c r="M21" i="7" s="1"/>
  <c r="I20" i="7"/>
  <c r="D20" i="7"/>
  <c r="M20" i="7" s="1"/>
  <c r="I19" i="7"/>
  <c r="D19" i="7"/>
  <c r="M19" i="7" s="1"/>
  <c r="I18" i="7"/>
  <c r="D18" i="7"/>
  <c r="M18" i="7" s="1"/>
  <c r="I17" i="7"/>
  <c r="D17" i="7"/>
  <c r="M17" i="7" s="1"/>
  <c r="I16" i="7"/>
  <c r="D16" i="7"/>
  <c r="M16" i="7" s="1"/>
  <c r="D15" i="7"/>
  <c r="I14" i="7"/>
  <c r="D14" i="7"/>
  <c r="M14" i="7" s="1"/>
  <c r="I13" i="7"/>
  <c r="D13" i="7"/>
  <c r="M13" i="7" s="1"/>
  <c r="I12" i="7"/>
  <c r="D12" i="7"/>
  <c r="M12" i="7" s="1"/>
  <c r="I11" i="7"/>
  <c r="D11" i="7"/>
  <c r="M11" i="7" s="1"/>
  <c r="I10" i="7"/>
  <c r="D10" i="7"/>
  <c r="M10" i="7" s="1"/>
  <c r="I9" i="7"/>
  <c r="D9" i="7"/>
  <c r="M9" i="7" s="1"/>
  <c r="I8" i="7"/>
  <c r="D8" i="7"/>
  <c r="M8" i="7" s="1"/>
  <c r="I7" i="7"/>
  <c r="D7" i="7"/>
  <c r="M7" i="7" s="1"/>
  <c r="I6" i="7"/>
  <c r="D6" i="7"/>
  <c r="M6" i="7" s="1"/>
  <c r="I5" i="7"/>
  <c r="D5" i="7"/>
  <c r="M5" i="7" s="1"/>
  <c r="I4" i="7"/>
  <c r="D4" i="7"/>
  <c r="M4" i="7" s="1"/>
  <c r="W54" i="6"/>
  <c r="X54" i="6" s="1"/>
  <c r="R54" i="6"/>
  <c r="M54" i="6"/>
  <c r="E54" i="6"/>
  <c r="A54" i="6"/>
  <c r="W53" i="6"/>
  <c r="X53" i="6" s="1"/>
  <c r="R53" i="6"/>
  <c r="M53" i="6"/>
  <c r="E53" i="6"/>
  <c r="A53" i="6"/>
  <c r="W52" i="6"/>
  <c r="X52" i="6" s="1"/>
  <c r="R52" i="6"/>
  <c r="M52" i="6"/>
  <c r="E52" i="6"/>
  <c r="A52" i="6"/>
  <c r="W51" i="6"/>
  <c r="X51" i="6" s="1"/>
  <c r="R51" i="6"/>
  <c r="M51" i="6"/>
  <c r="E51" i="6"/>
  <c r="A51" i="6"/>
  <c r="W50" i="6"/>
  <c r="X50" i="6" s="1"/>
  <c r="R50" i="6"/>
  <c r="M50" i="6"/>
  <c r="E50" i="6"/>
  <c r="A50" i="6"/>
  <c r="W49" i="6"/>
  <c r="X49" i="6" s="1"/>
  <c r="R49" i="6"/>
  <c r="M49" i="6"/>
  <c r="E49" i="6"/>
  <c r="A49" i="6"/>
  <c r="W48" i="6"/>
  <c r="X48" i="6" s="1"/>
  <c r="R48" i="6"/>
  <c r="M48" i="6"/>
  <c r="E48" i="6"/>
  <c r="A48" i="6"/>
  <c r="W47" i="6"/>
  <c r="X47" i="6" s="1"/>
  <c r="R47" i="6"/>
  <c r="M47" i="6"/>
  <c r="E47" i="6"/>
  <c r="A47" i="6"/>
  <c r="W46" i="6"/>
  <c r="X46" i="6" s="1"/>
  <c r="R46" i="6"/>
  <c r="M46" i="6"/>
  <c r="E46" i="6"/>
  <c r="A46" i="6"/>
  <c r="W45" i="6"/>
  <c r="X45" i="6" s="1"/>
  <c r="R45" i="6"/>
  <c r="M45" i="6"/>
  <c r="E45" i="6"/>
  <c r="A45" i="6"/>
  <c r="W44" i="6"/>
  <c r="X44" i="6" s="1"/>
  <c r="R44" i="6"/>
  <c r="M44" i="6"/>
  <c r="E44" i="6"/>
  <c r="A44" i="6"/>
  <c r="W43" i="6"/>
  <c r="X43" i="6" s="1"/>
  <c r="R43" i="6"/>
  <c r="M43" i="6"/>
  <c r="E43" i="6"/>
  <c r="A43" i="6"/>
  <c r="R42" i="6"/>
  <c r="M42" i="6"/>
  <c r="E42" i="6"/>
  <c r="A42" i="6"/>
  <c r="R41" i="6"/>
  <c r="M41" i="6"/>
  <c r="E41" i="6"/>
  <c r="A41" i="6"/>
  <c r="R40" i="6"/>
  <c r="M40" i="6"/>
  <c r="E40" i="6"/>
  <c r="A40" i="6"/>
  <c r="R39" i="6"/>
  <c r="M39" i="6"/>
  <c r="E39" i="6"/>
  <c r="A39" i="6"/>
  <c r="R38" i="6"/>
  <c r="M38" i="6"/>
  <c r="E38" i="6"/>
  <c r="A38" i="6"/>
  <c r="R37" i="6"/>
  <c r="M37" i="6"/>
  <c r="E37" i="6"/>
  <c r="A37" i="6"/>
  <c r="R36" i="6"/>
  <c r="M36" i="6"/>
  <c r="E36" i="6"/>
  <c r="A36" i="6"/>
  <c r="R35" i="6"/>
  <c r="M35" i="6"/>
  <c r="E35" i="6"/>
  <c r="A35" i="6"/>
  <c r="R34" i="6"/>
  <c r="M34" i="6"/>
  <c r="E34" i="6"/>
  <c r="A34" i="6"/>
  <c r="R33" i="6"/>
  <c r="M33" i="6"/>
  <c r="E33" i="6"/>
  <c r="A33" i="6"/>
  <c r="R32" i="6"/>
  <c r="M32" i="6"/>
  <c r="E32" i="6"/>
  <c r="A32" i="6"/>
  <c r="R31" i="6"/>
  <c r="M31" i="6"/>
  <c r="E31" i="6"/>
  <c r="A31" i="6"/>
  <c r="W30" i="6"/>
  <c r="X30" i="6" s="1"/>
  <c r="M30" i="6"/>
  <c r="E30" i="6"/>
  <c r="A30" i="6"/>
  <c r="W29" i="6"/>
  <c r="X29" i="6" s="1"/>
  <c r="M29" i="6"/>
  <c r="E29" i="6"/>
  <c r="A29" i="6"/>
  <c r="W28" i="6"/>
  <c r="X28" i="6" s="1"/>
  <c r="M28" i="6"/>
  <c r="E28" i="6"/>
  <c r="A28" i="6"/>
  <c r="W27" i="6"/>
  <c r="X27" i="6" s="1"/>
  <c r="M27" i="6"/>
  <c r="E27" i="6"/>
  <c r="A27" i="6"/>
  <c r="W26" i="6"/>
  <c r="X26" i="6" s="1"/>
  <c r="M26" i="6"/>
  <c r="E26" i="6"/>
  <c r="A26" i="6"/>
  <c r="W25" i="6"/>
  <c r="X25" i="6" s="1"/>
  <c r="M25" i="6"/>
  <c r="E25" i="6"/>
  <c r="A25" i="6"/>
  <c r="W24" i="6"/>
  <c r="X24" i="6" s="1"/>
  <c r="M24" i="6"/>
  <c r="E24" i="6"/>
  <c r="A24" i="6"/>
  <c r="W23" i="6"/>
  <c r="X23" i="6" s="1"/>
  <c r="M23" i="6"/>
  <c r="E23" i="6"/>
  <c r="A23" i="6"/>
  <c r="W22" i="6"/>
  <c r="X22" i="6" s="1"/>
  <c r="M22" i="6"/>
  <c r="E22" i="6"/>
  <c r="A22" i="6"/>
  <c r="W21" i="6"/>
  <c r="X21" i="6" s="1"/>
  <c r="M21" i="6"/>
  <c r="E21" i="6"/>
  <c r="A21" i="6"/>
  <c r="W20" i="6"/>
  <c r="X20" i="6" s="1"/>
  <c r="M20" i="6"/>
  <c r="E20" i="6"/>
  <c r="A20" i="6"/>
  <c r="W19" i="6"/>
  <c r="X19" i="6" s="1"/>
  <c r="M19" i="6"/>
  <c r="E19" i="6"/>
  <c r="A19" i="6"/>
  <c r="W18" i="6"/>
  <c r="X18" i="6" s="1"/>
  <c r="R18" i="6"/>
  <c r="M18" i="6"/>
  <c r="E18" i="6"/>
  <c r="A18" i="6"/>
  <c r="W17" i="6"/>
  <c r="X17" i="6" s="1"/>
  <c r="R17" i="6"/>
  <c r="M17" i="6"/>
  <c r="E17" i="6"/>
  <c r="A17" i="6"/>
  <c r="W16" i="6"/>
  <c r="X16" i="6" s="1"/>
  <c r="R16" i="6"/>
  <c r="M16" i="6"/>
  <c r="E16" i="6"/>
  <c r="A16" i="6"/>
  <c r="W15" i="6"/>
  <c r="X15" i="6" s="1"/>
  <c r="R15" i="6"/>
  <c r="M15" i="6"/>
  <c r="E15" i="6"/>
  <c r="A15" i="6"/>
  <c r="W14" i="6"/>
  <c r="X14" i="6" s="1"/>
  <c r="R14" i="6"/>
  <c r="M14" i="6"/>
  <c r="E14" i="6"/>
  <c r="A14" i="6"/>
  <c r="W13" i="6"/>
  <c r="X13" i="6" s="1"/>
  <c r="R13" i="6"/>
  <c r="M13" i="6"/>
  <c r="E13" i="6"/>
  <c r="A13" i="6"/>
  <c r="W12" i="6"/>
  <c r="X12" i="6" s="1"/>
  <c r="R12" i="6"/>
  <c r="M12" i="6"/>
  <c r="E12" i="6"/>
  <c r="A12" i="6"/>
  <c r="W11" i="6"/>
  <c r="X11" i="6" s="1"/>
  <c r="R11" i="6"/>
  <c r="M11" i="6"/>
  <c r="E11" i="6"/>
  <c r="A11" i="6"/>
  <c r="W10" i="6"/>
  <c r="X10" i="6" s="1"/>
  <c r="R10" i="6"/>
  <c r="M10" i="6"/>
  <c r="E10" i="6"/>
  <c r="A10" i="6"/>
  <c r="W9" i="6"/>
  <c r="X9" i="6" s="1"/>
  <c r="R9" i="6"/>
  <c r="M9" i="6"/>
  <c r="E9" i="6"/>
  <c r="A9" i="6"/>
  <c r="W8" i="6"/>
  <c r="X8" i="6" s="1"/>
  <c r="R8" i="6"/>
  <c r="M8" i="6"/>
  <c r="E8" i="6"/>
  <c r="A8" i="6"/>
  <c r="W7" i="6"/>
  <c r="X7" i="6" s="1"/>
  <c r="S7" i="6"/>
  <c r="R7" i="6"/>
  <c r="M7" i="6"/>
  <c r="L7" i="6"/>
  <c r="E7" i="6"/>
  <c r="A7" i="6"/>
  <c r="D435" i="5"/>
  <c r="C435" i="5"/>
  <c r="I434" i="5"/>
  <c r="D434" i="5"/>
  <c r="M434" i="5" s="1"/>
  <c r="J434" i="5" s="1"/>
  <c r="C434" i="5"/>
  <c r="I433" i="5"/>
  <c r="D433" i="5"/>
  <c r="M433" i="5" s="1"/>
  <c r="J433" i="5" s="1"/>
  <c r="C433" i="5"/>
  <c r="I432" i="5"/>
  <c r="D432" i="5"/>
  <c r="M432" i="5" s="1"/>
  <c r="J432" i="5" s="1"/>
  <c r="C432" i="5"/>
  <c r="I431" i="5"/>
  <c r="D431" i="5"/>
  <c r="M431" i="5" s="1"/>
  <c r="J431" i="5" s="1"/>
  <c r="C431" i="5"/>
  <c r="I430" i="5"/>
  <c r="D430" i="5"/>
  <c r="M430" i="5" s="1"/>
  <c r="J430" i="5" s="1"/>
  <c r="C430" i="5"/>
  <c r="I429" i="5"/>
  <c r="D429" i="5"/>
  <c r="M429" i="5" s="1"/>
  <c r="J429" i="5" s="1"/>
  <c r="C429" i="5"/>
  <c r="I428" i="5"/>
  <c r="D428" i="5"/>
  <c r="M428" i="5" s="1"/>
  <c r="J428" i="5" s="1"/>
  <c r="C428" i="5"/>
  <c r="I427" i="5"/>
  <c r="D427" i="5"/>
  <c r="M427" i="5" s="1"/>
  <c r="J427" i="5" s="1"/>
  <c r="C427" i="5"/>
  <c r="I426" i="5"/>
  <c r="D426" i="5"/>
  <c r="M426" i="5" s="1"/>
  <c r="J426" i="5" s="1"/>
  <c r="C426" i="5"/>
  <c r="I425" i="5"/>
  <c r="D425" i="5"/>
  <c r="M425" i="5" s="1"/>
  <c r="J425" i="5" s="1"/>
  <c r="C425" i="5"/>
  <c r="I424" i="5"/>
  <c r="D424" i="5"/>
  <c r="M424" i="5" s="1"/>
  <c r="J424" i="5" s="1"/>
  <c r="C424" i="5"/>
  <c r="D423" i="5"/>
  <c r="C423" i="5"/>
  <c r="I422" i="5"/>
  <c r="D422" i="5"/>
  <c r="M422" i="5" s="1"/>
  <c r="J422" i="5" s="1"/>
  <c r="C422" i="5"/>
  <c r="I421" i="5"/>
  <c r="D421" i="5"/>
  <c r="M421" i="5" s="1"/>
  <c r="J421" i="5" s="1"/>
  <c r="C421" i="5"/>
  <c r="I420" i="5"/>
  <c r="D420" i="5"/>
  <c r="M420" i="5" s="1"/>
  <c r="J420" i="5" s="1"/>
  <c r="C420" i="5"/>
  <c r="I419" i="5"/>
  <c r="D419" i="5"/>
  <c r="M419" i="5" s="1"/>
  <c r="J419" i="5" s="1"/>
  <c r="C419" i="5"/>
  <c r="I418" i="5"/>
  <c r="D418" i="5"/>
  <c r="M418" i="5" s="1"/>
  <c r="J418" i="5" s="1"/>
  <c r="C418" i="5"/>
  <c r="I417" i="5"/>
  <c r="D417" i="5"/>
  <c r="M417" i="5" s="1"/>
  <c r="J417" i="5" s="1"/>
  <c r="C417" i="5"/>
  <c r="I416" i="5"/>
  <c r="D416" i="5"/>
  <c r="M416" i="5" s="1"/>
  <c r="J416" i="5" s="1"/>
  <c r="C416" i="5"/>
  <c r="I415" i="5"/>
  <c r="D415" i="5"/>
  <c r="M415" i="5" s="1"/>
  <c r="J415" i="5" s="1"/>
  <c r="C415" i="5"/>
  <c r="I414" i="5"/>
  <c r="D414" i="5"/>
  <c r="M414" i="5" s="1"/>
  <c r="J414" i="5" s="1"/>
  <c r="C414" i="5"/>
  <c r="I413" i="5"/>
  <c r="D413" i="5"/>
  <c r="M413" i="5" s="1"/>
  <c r="J413" i="5" s="1"/>
  <c r="C413" i="5"/>
  <c r="I412" i="5"/>
  <c r="D412" i="5"/>
  <c r="M412" i="5" s="1"/>
  <c r="J412" i="5" s="1"/>
  <c r="C412" i="5"/>
  <c r="D411" i="5"/>
  <c r="C411" i="5"/>
  <c r="I410" i="5"/>
  <c r="D410" i="5"/>
  <c r="M410" i="5" s="1"/>
  <c r="J410" i="5" s="1"/>
  <c r="C410" i="5"/>
  <c r="I409" i="5"/>
  <c r="D409" i="5"/>
  <c r="M409" i="5" s="1"/>
  <c r="J409" i="5" s="1"/>
  <c r="C409" i="5"/>
  <c r="I408" i="5"/>
  <c r="D408" i="5"/>
  <c r="M408" i="5" s="1"/>
  <c r="J408" i="5" s="1"/>
  <c r="C408" i="5"/>
  <c r="I407" i="5"/>
  <c r="D407" i="5"/>
  <c r="M407" i="5" s="1"/>
  <c r="J407" i="5" s="1"/>
  <c r="C407" i="5"/>
  <c r="I406" i="5"/>
  <c r="D406" i="5"/>
  <c r="M406" i="5" s="1"/>
  <c r="J406" i="5" s="1"/>
  <c r="C406" i="5"/>
  <c r="I405" i="5"/>
  <c r="D405" i="5"/>
  <c r="M405" i="5" s="1"/>
  <c r="J405" i="5" s="1"/>
  <c r="C405" i="5"/>
  <c r="I404" i="5"/>
  <c r="D404" i="5"/>
  <c r="M404" i="5" s="1"/>
  <c r="J404" i="5" s="1"/>
  <c r="C404" i="5"/>
  <c r="I403" i="5"/>
  <c r="D403" i="5"/>
  <c r="M403" i="5" s="1"/>
  <c r="J403" i="5" s="1"/>
  <c r="C403" i="5"/>
  <c r="I402" i="5"/>
  <c r="D402" i="5"/>
  <c r="M402" i="5" s="1"/>
  <c r="J402" i="5" s="1"/>
  <c r="C402" i="5"/>
  <c r="I401" i="5"/>
  <c r="D401" i="5"/>
  <c r="M401" i="5" s="1"/>
  <c r="J401" i="5" s="1"/>
  <c r="C401" i="5"/>
  <c r="I400" i="5"/>
  <c r="D400" i="5"/>
  <c r="M400" i="5" s="1"/>
  <c r="J400" i="5" s="1"/>
  <c r="C400" i="5"/>
  <c r="D399" i="5"/>
  <c r="C399" i="5"/>
  <c r="I398" i="5"/>
  <c r="D398" i="5"/>
  <c r="M398" i="5" s="1"/>
  <c r="J398" i="5" s="1"/>
  <c r="C398" i="5"/>
  <c r="I397" i="5"/>
  <c r="D397" i="5"/>
  <c r="M397" i="5" s="1"/>
  <c r="J397" i="5" s="1"/>
  <c r="C397" i="5"/>
  <c r="I396" i="5"/>
  <c r="D396" i="5"/>
  <c r="M396" i="5" s="1"/>
  <c r="J396" i="5" s="1"/>
  <c r="C396" i="5"/>
  <c r="I395" i="5"/>
  <c r="D395" i="5"/>
  <c r="M395" i="5" s="1"/>
  <c r="J395" i="5" s="1"/>
  <c r="C395" i="5"/>
  <c r="I394" i="5"/>
  <c r="D394" i="5"/>
  <c r="M394" i="5" s="1"/>
  <c r="J394" i="5" s="1"/>
  <c r="C394" i="5"/>
  <c r="I393" i="5"/>
  <c r="D393" i="5"/>
  <c r="M393" i="5" s="1"/>
  <c r="J393" i="5" s="1"/>
  <c r="C393" i="5"/>
  <c r="I392" i="5"/>
  <c r="D392" i="5"/>
  <c r="M392" i="5" s="1"/>
  <c r="J392" i="5" s="1"/>
  <c r="C392" i="5"/>
  <c r="I391" i="5"/>
  <c r="D391" i="5"/>
  <c r="M391" i="5" s="1"/>
  <c r="J391" i="5" s="1"/>
  <c r="C391" i="5"/>
  <c r="I390" i="5"/>
  <c r="D390" i="5"/>
  <c r="M390" i="5" s="1"/>
  <c r="J390" i="5" s="1"/>
  <c r="C390" i="5"/>
  <c r="I389" i="5"/>
  <c r="D389" i="5"/>
  <c r="M389" i="5" s="1"/>
  <c r="J389" i="5" s="1"/>
  <c r="C389" i="5"/>
  <c r="I388" i="5"/>
  <c r="D388" i="5"/>
  <c r="M388" i="5" s="1"/>
  <c r="J388" i="5" s="1"/>
  <c r="C388" i="5"/>
  <c r="D387" i="5"/>
  <c r="C387" i="5"/>
  <c r="I386" i="5"/>
  <c r="D386" i="5"/>
  <c r="M386" i="5" s="1"/>
  <c r="J386" i="5" s="1"/>
  <c r="C386" i="5"/>
  <c r="I385" i="5"/>
  <c r="D385" i="5"/>
  <c r="M385" i="5" s="1"/>
  <c r="J385" i="5" s="1"/>
  <c r="C385" i="5"/>
  <c r="I384" i="5"/>
  <c r="D384" i="5"/>
  <c r="M384" i="5" s="1"/>
  <c r="J384" i="5" s="1"/>
  <c r="C384" i="5"/>
  <c r="I383" i="5"/>
  <c r="D383" i="5"/>
  <c r="M383" i="5" s="1"/>
  <c r="J383" i="5" s="1"/>
  <c r="C383" i="5"/>
  <c r="I382" i="5"/>
  <c r="D382" i="5"/>
  <c r="M382" i="5" s="1"/>
  <c r="J382" i="5" s="1"/>
  <c r="C382" i="5"/>
  <c r="I381" i="5"/>
  <c r="D381" i="5"/>
  <c r="M381" i="5" s="1"/>
  <c r="J381" i="5" s="1"/>
  <c r="C381" i="5"/>
  <c r="I380" i="5"/>
  <c r="D380" i="5"/>
  <c r="M380" i="5" s="1"/>
  <c r="J380" i="5" s="1"/>
  <c r="C380" i="5"/>
  <c r="I379" i="5"/>
  <c r="D379" i="5"/>
  <c r="M379" i="5" s="1"/>
  <c r="J379" i="5" s="1"/>
  <c r="C379" i="5"/>
  <c r="I378" i="5"/>
  <c r="D378" i="5"/>
  <c r="M378" i="5" s="1"/>
  <c r="J378" i="5" s="1"/>
  <c r="C378" i="5"/>
  <c r="I377" i="5"/>
  <c r="D377" i="5"/>
  <c r="M377" i="5" s="1"/>
  <c r="J377" i="5" s="1"/>
  <c r="C377" i="5"/>
  <c r="I376" i="5"/>
  <c r="D376" i="5"/>
  <c r="M376" i="5" s="1"/>
  <c r="J376" i="5" s="1"/>
  <c r="C376" i="5"/>
  <c r="D375" i="5"/>
  <c r="C375" i="5"/>
  <c r="I374" i="5"/>
  <c r="D374" i="5"/>
  <c r="M374" i="5" s="1"/>
  <c r="J374" i="5" s="1"/>
  <c r="C374" i="5"/>
  <c r="I373" i="5"/>
  <c r="D373" i="5"/>
  <c r="M373" i="5" s="1"/>
  <c r="J373" i="5" s="1"/>
  <c r="C373" i="5"/>
  <c r="I372" i="5"/>
  <c r="D372" i="5"/>
  <c r="M372" i="5" s="1"/>
  <c r="J372" i="5" s="1"/>
  <c r="C372" i="5"/>
  <c r="I371" i="5"/>
  <c r="D371" i="5"/>
  <c r="M371" i="5" s="1"/>
  <c r="J371" i="5" s="1"/>
  <c r="C371" i="5"/>
  <c r="I370" i="5"/>
  <c r="D370" i="5"/>
  <c r="M370" i="5" s="1"/>
  <c r="J370" i="5" s="1"/>
  <c r="C370" i="5"/>
  <c r="I369" i="5"/>
  <c r="D369" i="5"/>
  <c r="M369" i="5" s="1"/>
  <c r="J369" i="5" s="1"/>
  <c r="C369" i="5"/>
  <c r="I368" i="5"/>
  <c r="D368" i="5"/>
  <c r="M368" i="5" s="1"/>
  <c r="J368" i="5" s="1"/>
  <c r="C368" i="5"/>
  <c r="I367" i="5"/>
  <c r="D367" i="5"/>
  <c r="M367" i="5" s="1"/>
  <c r="J367" i="5" s="1"/>
  <c r="C367" i="5"/>
  <c r="I366" i="5"/>
  <c r="D366" i="5"/>
  <c r="M366" i="5" s="1"/>
  <c r="J366" i="5" s="1"/>
  <c r="C366" i="5"/>
  <c r="I365" i="5"/>
  <c r="D365" i="5"/>
  <c r="M365" i="5" s="1"/>
  <c r="J365" i="5" s="1"/>
  <c r="C365" i="5"/>
  <c r="I364" i="5"/>
  <c r="D364" i="5"/>
  <c r="M364" i="5" s="1"/>
  <c r="J364" i="5" s="1"/>
  <c r="C364" i="5"/>
  <c r="D363" i="5"/>
  <c r="C363" i="5"/>
  <c r="I362" i="5"/>
  <c r="D362" i="5"/>
  <c r="M362" i="5" s="1"/>
  <c r="J362" i="5" s="1"/>
  <c r="C362" i="5"/>
  <c r="I361" i="5"/>
  <c r="D361" i="5"/>
  <c r="M361" i="5" s="1"/>
  <c r="J361" i="5" s="1"/>
  <c r="C361" i="5"/>
  <c r="I360" i="5"/>
  <c r="D360" i="5"/>
  <c r="M360" i="5" s="1"/>
  <c r="J360" i="5" s="1"/>
  <c r="C360" i="5"/>
  <c r="I359" i="5"/>
  <c r="D359" i="5"/>
  <c r="M359" i="5" s="1"/>
  <c r="J359" i="5" s="1"/>
  <c r="C359" i="5"/>
  <c r="I358" i="5"/>
  <c r="D358" i="5"/>
  <c r="M358" i="5" s="1"/>
  <c r="J358" i="5" s="1"/>
  <c r="C358" i="5"/>
  <c r="I357" i="5"/>
  <c r="D357" i="5"/>
  <c r="M357" i="5" s="1"/>
  <c r="J357" i="5" s="1"/>
  <c r="C357" i="5"/>
  <c r="I356" i="5"/>
  <c r="D356" i="5"/>
  <c r="M356" i="5" s="1"/>
  <c r="J356" i="5" s="1"/>
  <c r="C356" i="5"/>
  <c r="I355" i="5"/>
  <c r="D355" i="5"/>
  <c r="M355" i="5" s="1"/>
  <c r="J355" i="5" s="1"/>
  <c r="C355" i="5"/>
  <c r="I354" i="5"/>
  <c r="D354" i="5"/>
  <c r="M354" i="5" s="1"/>
  <c r="J354" i="5" s="1"/>
  <c r="C354" i="5"/>
  <c r="I353" i="5"/>
  <c r="D353" i="5"/>
  <c r="M353" i="5" s="1"/>
  <c r="J353" i="5" s="1"/>
  <c r="C353" i="5"/>
  <c r="I352" i="5"/>
  <c r="D352" i="5"/>
  <c r="M352" i="5" s="1"/>
  <c r="J352" i="5" s="1"/>
  <c r="C352" i="5"/>
  <c r="D351" i="5"/>
  <c r="C351" i="5"/>
  <c r="I350" i="5"/>
  <c r="D350" i="5"/>
  <c r="M350" i="5" s="1"/>
  <c r="J350" i="5" s="1"/>
  <c r="C350" i="5"/>
  <c r="I349" i="5"/>
  <c r="D349" i="5"/>
  <c r="M349" i="5" s="1"/>
  <c r="J349" i="5" s="1"/>
  <c r="C349" i="5"/>
  <c r="I348" i="5"/>
  <c r="D348" i="5"/>
  <c r="M348" i="5" s="1"/>
  <c r="J348" i="5" s="1"/>
  <c r="C348" i="5"/>
  <c r="I347" i="5"/>
  <c r="D347" i="5"/>
  <c r="M347" i="5" s="1"/>
  <c r="J347" i="5" s="1"/>
  <c r="C347" i="5"/>
  <c r="I346" i="5"/>
  <c r="D346" i="5"/>
  <c r="M346" i="5" s="1"/>
  <c r="J346" i="5" s="1"/>
  <c r="C346" i="5"/>
  <c r="I345" i="5"/>
  <c r="D345" i="5"/>
  <c r="M345" i="5" s="1"/>
  <c r="J345" i="5" s="1"/>
  <c r="C345" i="5"/>
  <c r="I344" i="5"/>
  <c r="D344" i="5"/>
  <c r="M344" i="5" s="1"/>
  <c r="J344" i="5" s="1"/>
  <c r="C344" i="5"/>
  <c r="I343" i="5"/>
  <c r="D343" i="5"/>
  <c r="M343" i="5" s="1"/>
  <c r="J343" i="5" s="1"/>
  <c r="C343" i="5"/>
  <c r="I342" i="5"/>
  <c r="D342" i="5"/>
  <c r="M342" i="5" s="1"/>
  <c r="J342" i="5" s="1"/>
  <c r="C342" i="5"/>
  <c r="I341" i="5"/>
  <c r="D341" i="5"/>
  <c r="M341" i="5" s="1"/>
  <c r="J341" i="5" s="1"/>
  <c r="C341" i="5"/>
  <c r="I340" i="5"/>
  <c r="D340" i="5"/>
  <c r="M340" i="5" s="1"/>
  <c r="J340" i="5" s="1"/>
  <c r="C340" i="5"/>
  <c r="D339" i="5"/>
  <c r="C339" i="5"/>
  <c r="I338" i="5"/>
  <c r="D338" i="5"/>
  <c r="M338" i="5" s="1"/>
  <c r="J338" i="5" s="1"/>
  <c r="C338" i="5"/>
  <c r="I337" i="5"/>
  <c r="D337" i="5"/>
  <c r="M337" i="5" s="1"/>
  <c r="J337" i="5" s="1"/>
  <c r="C337" i="5"/>
  <c r="I336" i="5"/>
  <c r="D336" i="5"/>
  <c r="M336" i="5" s="1"/>
  <c r="J336" i="5" s="1"/>
  <c r="C336" i="5"/>
  <c r="I335" i="5"/>
  <c r="D335" i="5"/>
  <c r="M335" i="5" s="1"/>
  <c r="J335" i="5" s="1"/>
  <c r="C335" i="5"/>
  <c r="I334" i="5"/>
  <c r="D334" i="5"/>
  <c r="M334" i="5" s="1"/>
  <c r="J334" i="5" s="1"/>
  <c r="C334" i="5"/>
  <c r="I333" i="5"/>
  <c r="D333" i="5"/>
  <c r="M333" i="5" s="1"/>
  <c r="J333" i="5" s="1"/>
  <c r="C333" i="5"/>
  <c r="I332" i="5"/>
  <c r="D332" i="5"/>
  <c r="M332" i="5" s="1"/>
  <c r="J332" i="5" s="1"/>
  <c r="C332" i="5"/>
  <c r="I331" i="5"/>
  <c r="D331" i="5"/>
  <c r="M331" i="5" s="1"/>
  <c r="J331" i="5" s="1"/>
  <c r="C331" i="5"/>
  <c r="I330" i="5"/>
  <c r="D330" i="5"/>
  <c r="M330" i="5" s="1"/>
  <c r="J330" i="5" s="1"/>
  <c r="C330" i="5"/>
  <c r="I329" i="5"/>
  <c r="D329" i="5"/>
  <c r="M329" i="5" s="1"/>
  <c r="J329" i="5" s="1"/>
  <c r="C329" i="5"/>
  <c r="I328" i="5"/>
  <c r="D328" i="5"/>
  <c r="M328" i="5" s="1"/>
  <c r="J328" i="5" s="1"/>
  <c r="C328" i="5"/>
  <c r="D327" i="5"/>
  <c r="C327" i="5"/>
  <c r="I326" i="5"/>
  <c r="D326" i="5"/>
  <c r="M326" i="5" s="1"/>
  <c r="J326" i="5" s="1"/>
  <c r="C326" i="5"/>
  <c r="I325" i="5"/>
  <c r="D325" i="5"/>
  <c r="M325" i="5" s="1"/>
  <c r="J325" i="5" s="1"/>
  <c r="C325" i="5"/>
  <c r="I324" i="5"/>
  <c r="D324" i="5"/>
  <c r="M324" i="5" s="1"/>
  <c r="J324" i="5" s="1"/>
  <c r="C324" i="5"/>
  <c r="I323" i="5"/>
  <c r="D323" i="5"/>
  <c r="M323" i="5" s="1"/>
  <c r="J323" i="5" s="1"/>
  <c r="C323" i="5"/>
  <c r="I322" i="5"/>
  <c r="D322" i="5"/>
  <c r="M322" i="5" s="1"/>
  <c r="J322" i="5" s="1"/>
  <c r="C322" i="5"/>
  <c r="I321" i="5"/>
  <c r="D321" i="5"/>
  <c r="M321" i="5" s="1"/>
  <c r="J321" i="5" s="1"/>
  <c r="C321" i="5"/>
  <c r="I320" i="5"/>
  <c r="D320" i="5"/>
  <c r="M320" i="5" s="1"/>
  <c r="J320" i="5" s="1"/>
  <c r="C320" i="5"/>
  <c r="I319" i="5"/>
  <c r="D319" i="5"/>
  <c r="M319" i="5" s="1"/>
  <c r="J319" i="5" s="1"/>
  <c r="C319" i="5"/>
  <c r="I318" i="5"/>
  <c r="D318" i="5"/>
  <c r="M318" i="5" s="1"/>
  <c r="J318" i="5" s="1"/>
  <c r="C318" i="5"/>
  <c r="I317" i="5"/>
  <c r="D317" i="5"/>
  <c r="M317" i="5" s="1"/>
  <c r="J317" i="5" s="1"/>
  <c r="C317" i="5"/>
  <c r="I316" i="5"/>
  <c r="D316" i="5"/>
  <c r="M316" i="5" s="1"/>
  <c r="J316" i="5" s="1"/>
  <c r="C316" i="5"/>
  <c r="D315" i="5"/>
  <c r="C315" i="5"/>
  <c r="I314" i="5"/>
  <c r="D314" i="5"/>
  <c r="M314" i="5" s="1"/>
  <c r="J314" i="5" s="1"/>
  <c r="C314" i="5"/>
  <c r="I313" i="5"/>
  <c r="D313" i="5"/>
  <c r="M313" i="5" s="1"/>
  <c r="J313" i="5" s="1"/>
  <c r="C313" i="5"/>
  <c r="I312" i="5"/>
  <c r="D312" i="5"/>
  <c r="M312" i="5" s="1"/>
  <c r="J312" i="5" s="1"/>
  <c r="C312" i="5"/>
  <c r="I311" i="5"/>
  <c r="D311" i="5"/>
  <c r="M311" i="5" s="1"/>
  <c r="J311" i="5" s="1"/>
  <c r="C311" i="5"/>
  <c r="I310" i="5"/>
  <c r="D310" i="5"/>
  <c r="M310" i="5" s="1"/>
  <c r="J310" i="5" s="1"/>
  <c r="C310" i="5"/>
  <c r="I309" i="5"/>
  <c r="D309" i="5"/>
  <c r="M309" i="5" s="1"/>
  <c r="J309" i="5" s="1"/>
  <c r="C309" i="5"/>
  <c r="I308" i="5"/>
  <c r="D308" i="5"/>
  <c r="M308" i="5" s="1"/>
  <c r="J308" i="5" s="1"/>
  <c r="C308" i="5"/>
  <c r="I307" i="5"/>
  <c r="D307" i="5"/>
  <c r="M307" i="5" s="1"/>
  <c r="J307" i="5" s="1"/>
  <c r="C307" i="5"/>
  <c r="I306" i="5"/>
  <c r="D306" i="5"/>
  <c r="M306" i="5" s="1"/>
  <c r="J306" i="5" s="1"/>
  <c r="C306" i="5"/>
  <c r="I305" i="5"/>
  <c r="D305" i="5"/>
  <c r="M305" i="5" s="1"/>
  <c r="J305" i="5" s="1"/>
  <c r="C305" i="5"/>
  <c r="I304" i="5"/>
  <c r="D304" i="5"/>
  <c r="M304" i="5" s="1"/>
  <c r="J304" i="5" s="1"/>
  <c r="C304" i="5"/>
  <c r="D303" i="5"/>
  <c r="C303" i="5"/>
  <c r="I302" i="5"/>
  <c r="D302" i="5"/>
  <c r="M302" i="5" s="1"/>
  <c r="J302" i="5" s="1"/>
  <c r="C302" i="5"/>
  <c r="I301" i="5"/>
  <c r="D301" i="5"/>
  <c r="M301" i="5" s="1"/>
  <c r="J301" i="5" s="1"/>
  <c r="C301" i="5"/>
  <c r="I300" i="5"/>
  <c r="D300" i="5"/>
  <c r="M300" i="5" s="1"/>
  <c r="J300" i="5" s="1"/>
  <c r="C300" i="5"/>
  <c r="I299" i="5"/>
  <c r="D299" i="5"/>
  <c r="M299" i="5" s="1"/>
  <c r="J299" i="5" s="1"/>
  <c r="C299" i="5"/>
  <c r="I298" i="5"/>
  <c r="D298" i="5"/>
  <c r="M298" i="5" s="1"/>
  <c r="J298" i="5" s="1"/>
  <c r="C298" i="5"/>
  <c r="I297" i="5"/>
  <c r="D297" i="5"/>
  <c r="M297" i="5" s="1"/>
  <c r="J297" i="5" s="1"/>
  <c r="C297" i="5"/>
  <c r="I296" i="5"/>
  <c r="D296" i="5"/>
  <c r="M296" i="5" s="1"/>
  <c r="J296" i="5" s="1"/>
  <c r="C296" i="5"/>
  <c r="I295" i="5"/>
  <c r="D295" i="5"/>
  <c r="M295" i="5" s="1"/>
  <c r="J295" i="5" s="1"/>
  <c r="C295" i="5"/>
  <c r="I294" i="5"/>
  <c r="D294" i="5"/>
  <c r="M294" i="5" s="1"/>
  <c r="J294" i="5" s="1"/>
  <c r="C294" i="5"/>
  <c r="I293" i="5"/>
  <c r="D293" i="5"/>
  <c r="M293" i="5" s="1"/>
  <c r="J293" i="5" s="1"/>
  <c r="C293" i="5"/>
  <c r="I292" i="5"/>
  <c r="D292" i="5"/>
  <c r="M292" i="5" s="1"/>
  <c r="J292" i="5" s="1"/>
  <c r="C292" i="5"/>
  <c r="D291" i="5"/>
  <c r="C291" i="5"/>
  <c r="I290" i="5"/>
  <c r="D290" i="5"/>
  <c r="M290" i="5" s="1"/>
  <c r="C290" i="5"/>
  <c r="I289" i="5"/>
  <c r="D289" i="5"/>
  <c r="M289" i="5" s="1"/>
  <c r="C289" i="5"/>
  <c r="I288" i="5"/>
  <c r="D288" i="5"/>
  <c r="M288" i="5" s="1"/>
  <c r="C288" i="5"/>
  <c r="I287" i="5"/>
  <c r="D287" i="5"/>
  <c r="M287" i="5" s="1"/>
  <c r="C287" i="5"/>
  <c r="I286" i="5"/>
  <c r="D286" i="5"/>
  <c r="M286" i="5" s="1"/>
  <c r="C286" i="5"/>
  <c r="I285" i="5"/>
  <c r="D285" i="5"/>
  <c r="M285" i="5" s="1"/>
  <c r="C285" i="5"/>
  <c r="I284" i="5"/>
  <c r="D284" i="5"/>
  <c r="M284" i="5" s="1"/>
  <c r="C284" i="5"/>
  <c r="I283" i="5"/>
  <c r="D283" i="5"/>
  <c r="M283" i="5" s="1"/>
  <c r="C283" i="5"/>
  <c r="I282" i="5"/>
  <c r="D282" i="5"/>
  <c r="M282" i="5" s="1"/>
  <c r="C282" i="5"/>
  <c r="I281" i="5"/>
  <c r="D281" i="5"/>
  <c r="M281" i="5" s="1"/>
  <c r="C281" i="5"/>
  <c r="I280" i="5"/>
  <c r="D280" i="5"/>
  <c r="M280" i="5" s="1"/>
  <c r="C280" i="5"/>
  <c r="D279" i="5"/>
  <c r="C279" i="5"/>
  <c r="I278" i="5"/>
  <c r="D278" i="5"/>
  <c r="M278" i="5" s="1"/>
  <c r="C278" i="5"/>
  <c r="I277" i="5"/>
  <c r="D277" i="5"/>
  <c r="M277" i="5" s="1"/>
  <c r="C277" i="5"/>
  <c r="I276" i="5"/>
  <c r="D276" i="5"/>
  <c r="M276" i="5" s="1"/>
  <c r="C276" i="5"/>
  <c r="I275" i="5"/>
  <c r="D275" i="5"/>
  <c r="M275" i="5" s="1"/>
  <c r="C275" i="5"/>
  <c r="I274" i="5"/>
  <c r="D274" i="5"/>
  <c r="M274" i="5" s="1"/>
  <c r="C274" i="5"/>
  <c r="I273" i="5"/>
  <c r="D273" i="5"/>
  <c r="M273" i="5" s="1"/>
  <c r="C273" i="5"/>
  <c r="I272" i="5"/>
  <c r="D272" i="5"/>
  <c r="M272" i="5" s="1"/>
  <c r="C272" i="5"/>
  <c r="I271" i="5"/>
  <c r="D271" i="5"/>
  <c r="M271" i="5" s="1"/>
  <c r="C271" i="5"/>
  <c r="I270" i="5"/>
  <c r="D270" i="5"/>
  <c r="M270" i="5" s="1"/>
  <c r="C270" i="5"/>
  <c r="I269" i="5"/>
  <c r="D269" i="5"/>
  <c r="M269" i="5" s="1"/>
  <c r="C269" i="5"/>
  <c r="I268" i="5"/>
  <c r="D268" i="5"/>
  <c r="M268" i="5" s="1"/>
  <c r="C268" i="5"/>
  <c r="D267" i="5"/>
  <c r="C267" i="5"/>
  <c r="I266" i="5"/>
  <c r="D266" i="5"/>
  <c r="M266" i="5" s="1"/>
  <c r="C266" i="5"/>
  <c r="I265" i="5"/>
  <c r="D265" i="5"/>
  <c r="M265" i="5" s="1"/>
  <c r="C265" i="5"/>
  <c r="I264" i="5"/>
  <c r="D264" i="5"/>
  <c r="M264" i="5" s="1"/>
  <c r="C264" i="5"/>
  <c r="I263" i="5"/>
  <c r="D263" i="5"/>
  <c r="M263" i="5" s="1"/>
  <c r="C263" i="5"/>
  <c r="I262" i="5"/>
  <c r="D262" i="5"/>
  <c r="M262" i="5" s="1"/>
  <c r="C262" i="5"/>
  <c r="I261" i="5"/>
  <c r="D261" i="5"/>
  <c r="M261" i="5" s="1"/>
  <c r="C261" i="5"/>
  <c r="I260" i="5"/>
  <c r="D260" i="5"/>
  <c r="M260" i="5" s="1"/>
  <c r="C260" i="5"/>
  <c r="I259" i="5"/>
  <c r="D259" i="5"/>
  <c r="M259" i="5" s="1"/>
  <c r="C259" i="5"/>
  <c r="I258" i="5"/>
  <c r="D258" i="5"/>
  <c r="M258" i="5" s="1"/>
  <c r="C258" i="5"/>
  <c r="I257" i="5"/>
  <c r="D257" i="5"/>
  <c r="M257" i="5" s="1"/>
  <c r="C257" i="5"/>
  <c r="I256" i="5"/>
  <c r="D256" i="5"/>
  <c r="M256" i="5" s="1"/>
  <c r="C256" i="5"/>
  <c r="D255" i="5"/>
  <c r="C255" i="5"/>
  <c r="I254" i="5"/>
  <c r="D254" i="5"/>
  <c r="M254" i="5" s="1"/>
  <c r="C254" i="5"/>
  <c r="I253" i="5"/>
  <c r="D253" i="5"/>
  <c r="M253" i="5" s="1"/>
  <c r="C253" i="5"/>
  <c r="I252" i="5"/>
  <c r="D252" i="5"/>
  <c r="M252" i="5" s="1"/>
  <c r="C252" i="5"/>
  <c r="I251" i="5"/>
  <c r="D251" i="5"/>
  <c r="M251" i="5" s="1"/>
  <c r="C251" i="5"/>
  <c r="I250" i="5"/>
  <c r="D250" i="5"/>
  <c r="M250" i="5" s="1"/>
  <c r="C250" i="5"/>
  <c r="I249" i="5"/>
  <c r="D249" i="5"/>
  <c r="M249" i="5" s="1"/>
  <c r="C249" i="5"/>
  <c r="I248" i="5"/>
  <c r="D248" i="5"/>
  <c r="M248" i="5" s="1"/>
  <c r="C248" i="5"/>
  <c r="I247" i="5"/>
  <c r="D247" i="5"/>
  <c r="M247" i="5" s="1"/>
  <c r="C247" i="5"/>
  <c r="I246" i="5"/>
  <c r="D246" i="5"/>
  <c r="M246" i="5" s="1"/>
  <c r="C246" i="5"/>
  <c r="I245" i="5"/>
  <c r="D245" i="5"/>
  <c r="M245" i="5" s="1"/>
  <c r="C245" i="5"/>
  <c r="I244" i="5"/>
  <c r="D244" i="5"/>
  <c r="M244" i="5" s="1"/>
  <c r="C244" i="5"/>
  <c r="D243" i="5"/>
  <c r="C243" i="5"/>
  <c r="I242" i="5"/>
  <c r="D242" i="5"/>
  <c r="M242" i="5" s="1"/>
  <c r="C242" i="5"/>
  <c r="I241" i="5"/>
  <c r="D241" i="5"/>
  <c r="M241" i="5" s="1"/>
  <c r="C241" i="5"/>
  <c r="I240" i="5"/>
  <c r="D240" i="5"/>
  <c r="M240" i="5" s="1"/>
  <c r="C240" i="5"/>
  <c r="I239" i="5"/>
  <c r="D239" i="5"/>
  <c r="M239" i="5" s="1"/>
  <c r="C239" i="5"/>
  <c r="I238" i="5"/>
  <c r="D238" i="5"/>
  <c r="M238" i="5" s="1"/>
  <c r="C238" i="5"/>
  <c r="I237" i="5"/>
  <c r="D237" i="5"/>
  <c r="M237" i="5" s="1"/>
  <c r="C237" i="5"/>
  <c r="I236" i="5"/>
  <c r="D236" i="5"/>
  <c r="M236" i="5" s="1"/>
  <c r="C236" i="5"/>
  <c r="I235" i="5"/>
  <c r="D235" i="5"/>
  <c r="M235" i="5" s="1"/>
  <c r="C235" i="5"/>
  <c r="I234" i="5"/>
  <c r="D234" i="5"/>
  <c r="M234" i="5" s="1"/>
  <c r="C234" i="5"/>
  <c r="I233" i="5"/>
  <c r="D233" i="5"/>
  <c r="M233" i="5" s="1"/>
  <c r="C233" i="5"/>
  <c r="I232" i="5"/>
  <c r="D232" i="5"/>
  <c r="M232" i="5" s="1"/>
  <c r="C232" i="5"/>
  <c r="D231" i="5"/>
  <c r="C231" i="5"/>
  <c r="I230" i="5"/>
  <c r="D230" i="5"/>
  <c r="M230" i="5" s="1"/>
  <c r="C230" i="5"/>
  <c r="I229" i="5"/>
  <c r="D229" i="5"/>
  <c r="M229" i="5" s="1"/>
  <c r="C229" i="5"/>
  <c r="I228" i="5"/>
  <c r="D228" i="5"/>
  <c r="M228" i="5" s="1"/>
  <c r="C228" i="5"/>
  <c r="I227" i="5"/>
  <c r="D227" i="5"/>
  <c r="M227" i="5" s="1"/>
  <c r="C227" i="5"/>
  <c r="I226" i="5"/>
  <c r="D226" i="5"/>
  <c r="M226" i="5" s="1"/>
  <c r="C226" i="5"/>
  <c r="I225" i="5"/>
  <c r="D225" i="5"/>
  <c r="M225" i="5" s="1"/>
  <c r="C225" i="5"/>
  <c r="I224" i="5"/>
  <c r="D224" i="5"/>
  <c r="M224" i="5" s="1"/>
  <c r="C224" i="5"/>
  <c r="I223" i="5"/>
  <c r="D223" i="5"/>
  <c r="M223" i="5" s="1"/>
  <c r="C223" i="5"/>
  <c r="I222" i="5"/>
  <c r="D222" i="5"/>
  <c r="M222" i="5" s="1"/>
  <c r="C222" i="5"/>
  <c r="I221" i="5"/>
  <c r="D221" i="5"/>
  <c r="M221" i="5" s="1"/>
  <c r="C221" i="5"/>
  <c r="I220" i="5"/>
  <c r="D220" i="5"/>
  <c r="M220" i="5" s="1"/>
  <c r="C220" i="5"/>
  <c r="D219" i="5"/>
  <c r="C219" i="5"/>
  <c r="I218" i="5"/>
  <c r="D218" i="5"/>
  <c r="M218" i="5" s="1"/>
  <c r="C218" i="5"/>
  <c r="I217" i="5"/>
  <c r="D217" i="5"/>
  <c r="M217" i="5" s="1"/>
  <c r="C217" i="5"/>
  <c r="I216" i="5"/>
  <c r="D216" i="5"/>
  <c r="M216" i="5" s="1"/>
  <c r="C216" i="5"/>
  <c r="I215" i="5"/>
  <c r="D215" i="5"/>
  <c r="M215" i="5" s="1"/>
  <c r="C215" i="5"/>
  <c r="I214" i="5"/>
  <c r="D214" i="5"/>
  <c r="M214" i="5" s="1"/>
  <c r="C214" i="5"/>
  <c r="I213" i="5"/>
  <c r="D213" i="5"/>
  <c r="M213" i="5" s="1"/>
  <c r="C213" i="5"/>
  <c r="I212" i="5"/>
  <c r="D212" i="5"/>
  <c r="M212" i="5" s="1"/>
  <c r="C212" i="5"/>
  <c r="I211" i="5"/>
  <c r="D211" i="5"/>
  <c r="M211" i="5" s="1"/>
  <c r="C211" i="5"/>
  <c r="I210" i="5"/>
  <c r="D210" i="5"/>
  <c r="M210" i="5" s="1"/>
  <c r="C210" i="5"/>
  <c r="I209" i="5"/>
  <c r="D209" i="5"/>
  <c r="M209" i="5" s="1"/>
  <c r="C209" i="5"/>
  <c r="I208" i="5"/>
  <c r="D208" i="5"/>
  <c r="M208" i="5" s="1"/>
  <c r="C208" i="5"/>
  <c r="D207" i="5"/>
  <c r="C207" i="5"/>
  <c r="I206" i="5"/>
  <c r="D206" i="5"/>
  <c r="M206" i="5" s="1"/>
  <c r="C206" i="5"/>
  <c r="I205" i="5"/>
  <c r="D205" i="5"/>
  <c r="M205" i="5" s="1"/>
  <c r="C205" i="5"/>
  <c r="I204" i="5"/>
  <c r="D204" i="5"/>
  <c r="M204" i="5" s="1"/>
  <c r="C204" i="5"/>
  <c r="I203" i="5"/>
  <c r="D203" i="5"/>
  <c r="M203" i="5" s="1"/>
  <c r="C203" i="5"/>
  <c r="I202" i="5"/>
  <c r="D202" i="5"/>
  <c r="M202" i="5" s="1"/>
  <c r="C202" i="5"/>
  <c r="I201" i="5"/>
  <c r="D201" i="5"/>
  <c r="M201" i="5" s="1"/>
  <c r="C201" i="5"/>
  <c r="I200" i="5"/>
  <c r="D200" i="5"/>
  <c r="M200" i="5" s="1"/>
  <c r="C200" i="5"/>
  <c r="I199" i="5"/>
  <c r="D199" i="5"/>
  <c r="M199" i="5" s="1"/>
  <c r="C199" i="5"/>
  <c r="I198" i="5"/>
  <c r="D198" i="5"/>
  <c r="M198" i="5" s="1"/>
  <c r="C198" i="5"/>
  <c r="I197" i="5"/>
  <c r="D197" i="5"/>
  <c r="M197" i="5" s="1"/>
  <c r="C197" i="5"/>
  <c r="I196" i="5"/>
  <c r="D196" i="5"/>
  <c r="M196" i="5" s="1"/>
  <c r="C196" i="5"/>
  <c r="D195" i="5"/>
  <c r="C195" i="5"/>
  <c r="I194" i="5"/>
  <c r="D194" i="5"/>
  <c r="M194" i="5" s="1"/>
  <c r="C194" i="5"/>
  <c r="I193" i="5"/>
  <c r="D193" i="5"/>
  <c r="M193" i="5" s="1"/>
  <c r="C193" i="5"/>
  <c r="I192" i="5"/>
  <c r="D192" i="5"/>
  <c r="M192" i="5" s="1"/>
  <c r="C192" i="5"/>
  <c r="I191" i="5"/>
  <c r="D191" i="5"/>
  <c r="M191" i="5" s="1"/>
  <c r="C191" i="5"/>
  <c r="I190" i="5"/>
  <c r="D190" i="5"/>
  <c r="M190" i="5" s="1"/>
  <c r="C190" i="5"/>
  <c r="I189" i="5"/>
  <c r="D189" i="5"/>
  <c r="M189" i="5" s="1"/>
  <c r="C189" i="5"/>
  <c r="I188" i="5"/>
  <c r="D188" i="5"/>
  <c r="M188" i="5" s="1"/>
  <c r="C188" i="5"/>
  <c r="I187" i="5"/>
  <c r="D187" i="5"/>
  <c r="M187" i="5" s="1"/>
  <c r="C187" i="5"/>
  <c r="I186" i="5"/>
  <c r="D186" i="5"/>
  <c r="M186" i="5" s="1"/>
  <c r="C186" i="5"/>
  <c r="I185" i="5"/>
  <c r="D185" i="5"/>
  <c r="M185" i="5" s="1"/>
  <c r="C185" i="5"/>
  <c r="I184" i="5"/>
  <c r="D184" i="5"/>
  <c r="M184" i="5" s="1"/>
  <c r="C184" i="5"/>
  <c r="D183" i="5"/>
  <c r="C183" i="5"/>
  <c r="I182" i="5"/>
  <c r="D182" i="5"/>
  <c r="M182" i="5" s="1"/>
  <c r="C182" i="5"/>
  <c r="I181" i="5"/>
  <c r="D181" i="5"/>
  <c r="M181" i="5" s="1"/>
  <c r="C181" i="5"/>
  <c r="I180" i="5"/>
  <c r="D180" i="5"/>
  <c r="M180" i="5" s="1"/>
  <c r="C180" i="5"/>
  <c r="I179" i="5"/>
  <c r="D179" i="5"/>
  <c r="M179" i="5" s="1"/>
  <c r="C179" i="5"/>
  <c r="I178" i="5"/>
  <c r="D178" i="5"/>
  <c r="M178" i="5" s="1"/>
  <c r="C178" i="5"/>
  <c r="I177" i="5"/>
  <c r="D177" i="5"/>
  <c r="M177" i="5" s="1"/>
  <c r="C177" i="5"/>
  <c r="I176" i="5"/>
  <c r="D176" i="5"/>
  <c r="M176" i="5" s="1"/>
  <c r="C176" i="5"/>
  <c r="I175" i="5"/>
  <c r="D175" i="5"/>
  <c r="M175" i="5" s="1"/>
  <c r="C175" i="5"/>
  <c r="I174" i="5"/>
  <c r="D174" i="5"/>
  <c r="M174" i="5" s="1"/>
  <c r="C174" i="5"/>
  <c r="I173" i="5"/>
  <c r="D173" i="5"/>
  <c r="M173" i="5" s="1"/>
  <c r="C173" i="5"/>
  <c r="I172" i="5"/>
  <c r="D172" i="5"/>
  <c r="M172" i="5" s="1"/>
  <c r="C172" i="5"/>
  <c r="D171" i="5"/>
  <c r="C171" i="5"/>
  <c r="I170" i="5"/>
  <c r="D170" i="5"/>
  <c r="M170" i="5" s="1"/>
  <c r="C170" i="5"/>
  <c r="I169" i="5"/>
  <c r="D169" i="5"/>
  <c r="M169" i="5" s="1"/>
  <c r="C169" i="5"/>
  <c r="I168" i="5"/>
  <c r="D168" i="5"/>
  <c r="M168" i="5" s="1"/>
  <c r="C168" i="5"/>
  <c r="I167" i="5"/>
  <c r="D167" i="5"/>
  <c r="M167" i="5" s="1"/>
  <c r="C167" i="5"/>
  <c r="I166" i="5"/>
  <c r="D166" i="5"/>
  <c r="M166" i="5" s="1"/>
  <c r="C166" i="5"/>
  <c r="I165" i="5"/>
  <c r="D165" i="5"/>
  <c r="M165" i="5" s="1"/>
  <c r="C165" i="5"/>
  <c r="I164" i="5"/>
  <c r="D164" i="5"/>
  <c r="M164" i="5" s="1"/>
  <c r="C164" i="5"/>
  <c r="I163" i="5"/>
  <c r="D163" i="5"/>
  <c r="M163" i="5" s="1"/>
  <c r="C163" i="5"/>
  <c r="I162" i="5"/>
  <c r="D162" i="5"/>
  <c r="M162" i="5" s="1"/>
  <c r="C162" i="5"/>
  <c r="I161" i="5"/>
  <c r="D161" i="5"/>
  <c r="M161" i="5" s="1"/>
  <c r="C161" i="5"/>
  <c r="I160" i="5"/>
  <c r="D160" i="5"/>
  <c r="M160" i="5" s="1"/>
  <c r="C160" i="5"/>
  <c r="D159" i="5"/>
  <c r="C159" i="5"/>
  <c r="I158" i="5"/>
  <c r="D158" i="5"/>
  <c r="M158" i="5" s="1"/>
  <c r="C158" i="5"/>
  <c r="I157" i="5"/>
  <c r="D157" i="5"/>
  <c r="M157" i="5" s="1"/>
  <c r="C157" i="5"/>
  <c r="I156" i="5"/>
  <c r="D156" i="5"/>
  <c r="M156" i="5" s="1"/>
  <c r="C156" i="5"/>
  <c r="I155" i="5"/>
  <c r="D155" i="5"/>
  <c r="M155" i="5" s="1"/>
  <c r="C155" i="5"/>
  <c r="I154" i="5"/>
  <c r="D154" i="5"/>
  <c r="M154" i="5" s="1"/>
  <c r="C154" i="5"/>
  <c r="I153" i="5"/>
  <c r="D153" i="5"/>
  <c r="M153" i="5" s="1"/>
  <c r="C153" i="5"/>
  <c r="I152" i="5"/>
  <c r="D152" i="5"/>
  <c r="M152" i="5" s="1"/>
  <c r="C152" i="5"/>
  <c r="I151" i="5"/>
  <c r="D151" i="5"/>
  <c r="M151" i="5" s="1"/>
  <c r="C151" i="5"/>
  <c r="I150" i="5"/>
  <c r="D150" i="5"/>
  <c r="M150" i="5" s="1"/>
  <c r="C150" i="5"/>
  <c r="I149" i="5"/>
  <c r="D149" i="5"/>
  <c r="M149" i="5" s="1"/>
  <c r="C149" i="5"/>
  <c r="I148" i="5"/>
  <c r="D148" i="5"/>
  <c r="M148" i="5" s="1"/>
  <c r="C148" i="5"/>
  <c r="D147" i="5"/>
  <c r="C147" i="5"/>
  <c r="I146" i="5"/>
  <c r="D146" i="5"/>
  <c r="M146" i="5" s="1"/>
  <c r="C146" i="5"/>
  <c r="I145" i="5"/>
  <c r="D145" i="5"/>
  <c r="M145" i="5" s="1"/>
  <c r="C145" i="5"/>
  <c r="I144" i="5"/>
  <c r="D144" i="5"/>
  <c r="M144" i="5" s="1"/>
  <c r="C144" i="5"/>
  <c r="I143" i="5"/>
  <c r="D143" i="5"/>
  <c r="M143" i="5" s="1"/>
  <c r="C143" i="5"/>
  <c r="I142" i="5"/>
  <c r="D142" i="5"/>
  <c r="M142" i="5" s="1"/>
  <c r="C142" i="5"/>
  <c r="I141" i="5"/>
  <c r="D141" i="5"/>
  <c r="M141" i="5" s="1"/>
  <c r="C141" i="5"/>
  <c r="I140" i="5"/>
  <c r="D140" i="5"/>
  <c r="M140" i="5" s="1"/>
  <c r="C140" i="5"/>
  <c r="I139" i="5"/>
  <c r="D139" i="5"/>
  <c r="M139" i="5" s="1"/>
  <c r="C139" i="5"/>
  <c r="I138" i="5"/>
  <c r="D138" i="5"/>
  <c r="M138" i="5" s="1"/>
  <c r="C138" i="5"/>
  <c r="I137" i="5"/>
  <c r="D137" i="5"/>
  <c r="M137" i="5" s="1"/>
  <c r="C137" i="5"/>
  <c r="I136" i="5"/>
  <c r="D136" i="5"/>
  <c r="M136" i="5" s="1"/>
  <c r="C136" i="5"/>
  <c r="D135" i="5"/>
  <c r="C135" i="5"/>
  <c r="I134" i="5"/>
  <c r="D134" i="5"/>
  <c r="M134" i="5" s="1"/>
  <c r="C134" i="5"/>
  <c r="I133" i="5"/>
  <c r="D133" i="5"/>
  <c r="M133" i="5" s="1"/>
  <c r="C133" i="5"/>
  <c r="I132" i="5"/>
  <c r="D132" i="5"/>
  <c r="M132" i="5" s="1"/>
  <c r="C132" i="5"/>
  <c r="I131" i="5"/>
  <c r="D131" i="5"/>
  <c r="M131" i="5" s="1"/>
  <c r="C131" i="5"/>
  <c r="I130" i="5"/>
  <c r="D130" i="5"/>
  <c r="M130" i="5" s="1"/>
  <c r="C130" i="5"/>
  <c r="I129" i="5"/>
  <c r="D129" i="5"/>
  <c r="M129" i="5" s="1"/>
  <c r="C129" i="5"/>
  <c r="I128" i="5"/>
  <c r="D128" i="5"/>
  <c r="M128" i="5" s="1"/>
  <c r="C128" i="5"/>
  <c r="I127" i="5"/>
  <c r="D127" i="5"/>
  <c r="M127" i="5" s="1"/>
  <c r="C127" i="5"/>
  <c r="I126" i="5"/>
  <c r="D126" i="5"/>
  <c r="M126" i="5" s="1"/>
  <c r="C126" i="5"/>
  <c r="I125" i="5"/>
  <c r="D125" i="5"/>
  <c r="M125" i="5" s="1"/>
  <c r="C125" i="5"/>
  <c r="I124" i="5"/>
  <c r="D124" i="5"/>
  <c r="M124" i="5" s="1"/>
  <c r="C124" i="5"/>
  <c r="D123" i="5"/>
  <c r="C123" i="5"/>
  <c r="I122" i="5"/>
  <c r="D122" i="5"/>
  <c r="M122" i="5" s="1"/>
  <c r="C122" i="5"/>
  <c r="I121" i="5"/>
  <c r="D121" i="5"/>
  <c r="M121" i="5" s="1"/>
  <c r="C121" i="5"/>
  <c r="I120" i="5"/>
  <c r="D120" i="5"/>
  <c r="M120" i="5" s="1"/>
  <c r="C120" i="5"/>
  <c r="I119" i="5"/>
  <c r="D119" i="5"/>
  <c r="M119" i="5" s="1"/>
  <c r="C119" i="5"/>
  <c r="I118" i="5"/>
  <c r="D118" i="5"/>
  <c r="M118" i="5" s="1"/>
  <c r="C118" i="5"/>
  <c r="I117" i="5"/>
  <c r="D117" i="5"/>
  <c r="M117" i="5" s="1"/>
  <c r="C117" i="5"/>
  <c r="I116" i="5"/>
  <c r="D116" i="5"/>
  <c r="M116" i="5" s="1"/>
  <c r="C116" i="5"/>
  <c r="I115" i="5"/>
  <c r="D115" i="5"/>
  <c r="M115" i="5" s="1"/>
  <c r="C115" i="5"/>
  <c r="I114" i="5"/>
  <c r="D114" i="5"/>
  <c r="M114" i="5" s="1"/>
  <c r="C114" i="5"/>
  <c r="I113" i="5"/>
  <c r="D113" i="5"/>
  <c r="M113" i="5" s="1"/>
  <c r="C113" i="5"/>
  <c r="I112" i="5"/>
  <c r="D112" i="5"/>
  <c r="M112" i="5" s="1"/>
  <c r="C112" i="5"/>
  <c r="D111" i="5"/>
  <c r="C111" i="5"/>
  <c r="I110" i="5"/>
  <c r="D110" i="5"/>
  <c r="M110" i="5" s="1"/>
  <c r="C110" i="5"/>
  <c r="I109" i="5"/>
  <c r="D109" i="5"/>
  <c r="M109" i="5" s="1"/>
  <c r="C109" i="5"/>
  <c r="I108" i="5"/>
  <c r="D108" i="5"/>
  <c r="M108" i="5" s="1"/>
  <c r="C108" i="5"/>
  <c r="I107" i="5"/>
  <c r="D107" i="5"/>
  <c r="M107" i="5" s="1"/>
  <c r="C107" i="5"/>
  <c r="I106" i="5"/>
  <c r="D106" i="5"/>
  <c r="M106" i="5" s="1"/>
  <c r="C106" i="5"/>
  <c r="I105" i="5"/>
  <c r="D105" i="5"/>
  <c r="M105" i="5" s="1"/>
  <c r="C105" i="5"/>
  <c r="I104" i="5"/>
  <c r="D104" i="5"/>
  <c r="M104" i="5" s="1"/>
  <c r="C104" i="5"/>
  <c r="I103" i="5"/>
  <c r="D103" i="5"/>
  <c r="M103" i="5" s="1"/>
  <c r="C103" i="5"/>
  <c r="I102" i="5"/>
  <c r="D102" i="5"/>
  <c r="M102" i="5" s="1"/>
  <c r="C102" i="5"/>
  <c r="I101" i="5"/>
  <c r="D101" i="5"/>
  <c r="M101" i="5" s="1"/>
  <c r="C101" i="5"/>
  <c r="I100" i="5"/>
  <c r="D100" i="5"/>
  <c r="M100" i="5" s="1"/>
  <c r="C100" i="5"/>
  <c r="D99" i="5"/>
  <c r="C99" i="5"/>
  <c r="I98" i="5"/>
  <c r="D98" i="5"/>
  <c r="M98" i="5" s="1"/>
  <c r="C98" i="5"/>
  <c r="I97" i="5"/>
  <c r="D97" i="5"/>
  <c r="M97" i="5" s="1"/>
  <c r="C97" i="5"/>
  <c r="I96" i="5"/>
  <c r="D96" i="5"/>
  <c r="M96" i="5" s="1"/>
  <c r="C96" i="5"/>
  <c r="I95" i="5"/>
  <c r="D95" i="5"/>
  <c r="M95" i="5" s="1"/>
  <c r="C95" i="5"/>
  <c r="I94" i="5"/>
  <c r="D94" i="5"/>
  <c r="M94" i="5" s="1"/>
  <c r="C94" i="5"/>
  <c r="I93" i="5"/>
  <c r="D93" i="5"/>
  <c r="M93" i="5" s="1"/>
  <c r="C93" i="5"/>
  <c r="I92" i="5"/>
  <c r="D92" i="5"/>
  <c r="M92" i="5" s="1"/>
  <c r="C92" i="5"/>
  <c r="I91" i="5"/>
  <c r="D91" i="5"/>
  <c r="M91" i="5" s="1"/>
  <c r="C91" i="5"/>
  <c r="I90" i="5"/>
  <c r="D90" i="5"/>
  <c r="M90" i="5" s="1"/>
  <c r="C90" i="5"/>
  <c r="I89" i="5"/>
  <c r="D89" i="5"/>
  <c r="M89" i="5" s="1"/>
  <c r="C89" i="5"/>
  <c r="I88" i="5"/>
  <c r="D88" i="5"/>
  <c r="M88" i="5" s="1"/>
  <c r="C88" i="5"/>
  <c r="D87" i="5"/>
  <c r="C87" i="5"/>
  <c r="I86" i="5"/>
  <c r="D86" i="5"/>
  <c r="M86" i="5" s="1"/>
  <c r="C86" i="5"/>
  <c r="I85" i="5"/>
  <c r="D85" i="5"/>
  <c r="M85" i="5" s="1"/>
  <c r="C85" i="5"/>
  <c r="I84" i="5"/>
  <c r="D84" i="5"/>
  <c r="M84" i="5" s="1"/>
  <c r="C84" i="5"/>
  <c r="I83" i="5"/>
  <c r="D83" i="5"/>
  <c r="M83" i="5" s="1"/>
  <c r="C83" i="5"/>
  <c r="I82" i="5"/>
  <c r="D82" i="5"/>
  <c r="M82" i="5" s="1"/>
  <c r="C82" i="5"/>
  <c r="I81" i="5"/>
  <c r="D81" i="5"/>
  <c r="M81" i="5" s="1"/>
  <c r="C81" i="5"/>
  <c r="I80" i="5"/>
  <c r="D80" i="5"/>
  <c r="M80" i="5" s="1"/>
  <c r="C80" i="5"/>
  <c r="I79" i="5"/>
  <c r="D79" i="5"/>
  <c r="M79" i="5" s="1"/>
  <c r="C79" i="5"/>
  <c r="I78" i="5"/>
  <c r="D78" i="5"/>
  <c r="M78" i="5" s="1"/>
  <c r="C78" i="5"/>
  <c r="I77" i="5"/>
  <c r="D77" i="5"/>
  <c r="M77" i="5" s="1"/>
  <c r="C77" i="5"/>
  <c r="I76" i="5"/>
  <c r="D76" i="5"/>
  <c r="M76" i="5" s="1"/>
  <c r="C76" i="5"/>
  <c r="D75" i="5"/>
  <c r="C75" i="5"/>
  <c r="I74" i="5"/>
  <c r="D74" i="5"/>
  <c r="M74" i="5" s="1"/>
  <c r="C74" i="5"/>
  <c r="I73" i="5"/>
  <c r="D73" i="5"/>
  <c r="M73" i="5" s="1"/>
  <c r="C73" i="5"/>
  <c r="I72" i="5"/>
  <c r="D72" i="5"/>
  <c r="M72" i="5" s="1"/>
  <c r="C72" i="5"/>
  <c r="I71" i="5"/>
  <c r="D71" i="5"/>
  <c r="M71" i="5" s="1"/>
  <c r="C71" i="5"/>
  <c r="I70" i="5"/>
  <c r="D70" i="5"/>
  <c r="M70" i="5" s="1"/>
  <c r="C70" i="5"/>
  <c r="I69" i="5"/>
  <c r="D69" i="5"/>
  <c r="M69" i="5" s="1"/>
  <c r="C69" i="5"/>
  <c r="I68" i="5"/>
  <c r="D68" i="5"/>
  <c r="M68" i="5" s="1"/>
  <c r="C68" i="5"/>
  <c r="I67" i="5"/>
  <c r="D67" i="5"/>
  <c r="M67" i="5" s="1"/>
  <c r="C67" i="5"/>
  <c r="I66" i="5"/>
  <c r="D66" i="5"/>
  <c r="M66" i="5" s="1"/>
  <c r="C66" i="5"/>
  <c r="I65" i="5"/>
  <c r="D65" i="5"/>
  <c r="M65" i="5" s="1"/>
  <c r="C65" i="5"/>
  <c r="I64" i="5"/>
  <c r="D64" i="5"/>
  <c r="M64" i="5" s="1"/>
  <c r="C64" i="5"/>
  <c r="D63" i="5"/>
  <c r="C63" i="5"/>
  <c r="I62" i="5"/>
  <c r="D62" i="5"/>
  <c r="M62" i="5" s="1"/>
  <c r="C62" i="5"/>
  <c r="I61" i="5"/>
  <c r="D61" i="5"/>
  <c r="M61" i="5" s="1"/>
  <c r="C61" i="5"/>
  <c r="I60" i="5"/>
  <c r="D60" i="5"/>
  <c r="M60" i="5" s="1"/>
  <c r="C60" i="5"/>
  <c r="I59" i="5"/>
  <c r="D59" i="5"/>
  <c r="M59" i="5" s="1"/>
  <c r="C59" i="5"/>
  <c r="I58" i="5"/>
  <c r="D58" i="5"/>
  <c r="M58" i="5" s="1"/>
  <c r="C58" i="5"/>
  <c r="I57" i="5"/>
  <c r="D57" i="5"/>
  <c r="M57" i="5" s="1"/>
  <c r="C57" i="5"/>
  <c r="I56" i="5"/>
  <c r="D56" i="5"/>
  <c r="M56" i="5" s="1"/>
  <c r="C56" i="5"/>
  <c r="I55" i="5"/>
  <c r="D55" i="5"/>
  <c r="M55" i="5" s="1"/>
  <c r="C55" i="5"/>
  <c r="I54" i="5"/>
  <c r="D54" i="5"/>
  <c r="M54" i="5" s="1"/>
  <c r="C54" i="5"/>
  <c r="I53" i="5"/>
  <c r="D53" i="5"/>
  <c r="M53" i="5" s="1"/>
  <c r="C53" i="5"/>
  <c r="I52" i="5"/>
  <c r="D52" i="5"/>
  <c r="M52" i="5" s="1"/>
  <c r="C52" i="5"/>
  <c r="D51" i="5"/>
  <c r="C51" i="5"/>
  <c r="I50" i="5"/>
  <c r="D50" i="5"/>
  <c r="M50" i="5" s="1"/>
  <c r="C50" i="5"/>
  <c r="I49" i="5"/>
  <c r="D49" i="5"/>
  <c r="M49" i="5" s="1"/>
  <c r="C49" i="5"/>
  <c r="I48" i="5"/>
  <c r="D48" i="5"/>
  <c r="M48" i="5" s="1"/>
  <c r="C48" i="5"/>
  <c r="I47" i="5"/>
  <c r="D47" i="5"/>
  <c r="M47" i="5" s="1"/>
  <c r="C47" i="5"/>
  <c r="I46" i="5"/>
  <c r="D46" i="5"/>
  <c r="M46" i="5" s="1"/>
  <c r="C46" i="5"/>
  <c r="I45" i="5"/>
  <c r="D45" i="5"/>
  <c r="M45" i="5" s="1"/>
  <c r="C45" i="5"/>
  <c r="I44" i="5"/>
  <c r="D44" i="5"/>
  <c r="M44" i="5" s="1"/>
  <c r="C44" i="5"/>
  <c r="I43" i="5"/>
  <c r="D43" i="5"/>
  <c r="M43" i="5" s="1"/>
  <c r="C43" i="5"/>
  <c r="I42" i="5"/>
  <c r="D42" i="5"/>
  <c r="M42" i="5" s="1"/>
  <c r="C42" i="5"/>
  <c r="I41" i="5"/>
  <c r="D41" i="5"/>
  <c r="M41" i="5" s="1"/>
  <c r="C41" i="5"/>
  <c r="I40" i="5"/>
  <c r="D40" i="5"/>
  <c r="M40" i="5" s="1"/>
  <c r="C40" i="5"/>
  <c r="D39" i="5"/>
  <c r="C39" i="5"/>
  <c r="I38" i="5"/>
  <c r="D38" i="5"/>
  <c r="M38" i="5" s="1"/>
  <c r="C38" i="5"/>
  <c r="I37" i="5"/>
  <c r="D37" i="5"/>
  <c r="M37" i="5" s="1"/>
  <c r="C37" i="5"/>
  <c r="I36" i="5"/>
  <c r="D36" i="5"/>
  <c r="M36" i="5" s="1"/>
  <c r="C36" i="5"/>
  <c r="I35" i="5"/>
  <c r="D35" i="5"/>
  <c r="M35" i="5" s="1"/>
  <c r="C35" i="5"/>
  <c r="I34" i="5"/>
  <c r="D34" i="5"/>
  <c r="M34" i="5" s="1"/>
  <c r="C34" i="5"/>
  <c r="I33" i="5"/>
  <c r="D33" i="5"/>
  <c r="M33" i="5" s="1"/>
  <c r="C33" i="5"/>
  <c r="I32" i="5"/>
  <c r="D32" i="5"/>
  <c r="M32" i="5" s="1"/>
  <c r="C32" i="5"/>
  <c r="I31" i="5"/>
  <c r="D31" i="5"/>
  <c r="M31" i="5" s="1"/>
  <c r="C31" i="5"/>
  <c r="I30" i="5"/>
  <c r="D30" i="5"/>
  <c r="M30" i="5" s="1"/>
  <c r="C30" i="5"/>
  <c r="I29" i="5"/>
  <c r="D29" i="5"/>
  <c r="M29" i="5" s="1"/>
  <c r="C29" i="5"/>
  <c r="I28" i="5"/>
  <c r="D28" i="5"/>
  <c r="M28" i="5" s="1"/>
  <c r="C28" i="5"/>
  <c r="D27" i="5"/>
  <c r="C27" i="5"/>
  <c r="I26" i="5"/>
  <c r="D26" i="5"/>
  <c r="M26" i="5" s="1"/>
  <c r="C26" i="5"/>
  <c r="I25" i="5"/>
  <c r="D25" i="5"/>
  <c r="M25" i="5" s="1"/>
  <c r="C25" i="5"/>
  <c r="I24" i="5"/>
  <c r="D24" i="5"/>
  <c r="M24" i="5" s="1"/>
  <c r="C24" i="5"/>
  <c r="I23" i="5"/>
  <c r="D23" i="5"/>
  <c r="M23" i="5" s="1"/>
  <c r="C23" i="5"/>
  <c r="I22" i="5"/>
  <c r="D22" i="5"/>
  <c r="M22" i="5" s="1"/>
  <c r="C22" i="5"/>
  <c r="I21" i="5"/>
  <c r="D21" i="5"/>
  <c r="M21" i="5" s="1"/>
  <c r="C21" i="5"/>
  <c r="I20" i="5"/>
  <c r="D20" i="5"/>
  <c r="M20" i="5" s="1"/>
  <c r="C20" i="5"/>
  <c r="I19" i="5"/>
  <c r="D19" i="5"/>
  <c r="M19" i="5" s="1"/>
  <c r="C19" i="5"/>
  <c r="I18" i="5"/>
  <c r="D18" i="5"/>
  <c r="M18" i="5" s="1"/>
  <c r="C18" i="5"/>
  <c r="I17" i="5"/>
  <c r="D17" i="5"/>
  <c r="M17" i="5" s="1"/>
  <c r="C17" i="5"/>
  <c r="I16" i="5"/>
  <c r="D16" i="5"/>
  <c r="M16" i="5" s="1"/>
  <c r="C16" i="5"/>
  <c r="D15" i="5"/>
  <c r="C15" i="5"/>
  <c r="I14" i="5"/>
  <c r="D14" i="5"/>
  <c r="M14" i="5" s="1"/>
  <c r="C14" i="5"/>
  <c r="I13" i="5"/>
  <c r="D13" i="5"/>
  <c r="M13" i="5" s="1"/>
  <c r="C13" i="5"/>
  <c r="I12" i="5"/>
  <c r="D12" i="5"/>
  <c r="M12" i="5" s="1"/>
  <c r="C12" i="5"/>
  <c r="I11" i="5"/>
  <c r="D11" i="5"/>
  <c r="M11" i="5" s="1"/>
  <c r="C11" i="5"/>
  <c r="I10" i="5"/>
  <c r="D10" i="5"/>
  <c r="M10" i="5" s="1"/>
  <c r="C10" i="5"/>
  <c r="I9" i="5"/>
  <c r="D9" i="5"/>
  <c r="M9" i="5" s="1"/>
  <c r="C9" i="5"/>
  <c r="I8" i="5"/>
  <c r="D8" i="5"/>
  <c r="M8" i="5" s="1"/>
  <c r="C8" i="5"/>
  <c r="I7" i="5"/>
  <c r="D7" i="5"/>
  <c r="M7" i="5" s="1"/>
  <c r="C7" i="5"/>
  <c r="I6" i="5"/>
  <c r="D6" i="5"/>
  <c r="M6" i="5" s="1"/>
  <c r="C6" i="5"/>
  <c r="I5" i="5"/>
  <c r="D5" i="5"/>
  <c r="M5" i="5" s="1"/>
  <c r="C5" i="5"/>
  <c r="I4" i="5"/>
  <c r="D4" i="5"/>
  <c r="M4" i="5" s="1"/>
  <c r="C4" i="5"/>
  <c r="W54" i="4"/>
  <c r="R54" i="4"/>
  <c r="G54" i="4"/>
  <c r="F54" i="4"/>
  <c r="E54" i="4"/>
  <c r="D54" i="4"/>
  <c r="C54" i="4"/>
  <c r="A54" i="4"/>
  <c r="W53" i="4"/>
  <c r="R53" i="4"/>
  <c r="G53" i="4"/>
  <c r="F53" i="4"/>
  <c r="E53" i="4"/>
  <c r="D53" i="4"/>
  <c r="C53" i="4"/>
  <c r="A53" i="4"/>
  <c r="W52" i="4"/>
  <c r="R52" i="4"/>
  <c r="G52" i="4"/>
  <c r="F52" i="4"/>
  <c r="E52" i="4"/>
  <c r="D52" i="4"/>
  <c r="C52" i="4"/>
  <c r="A52" i="4"/>
  <c r="W51" i="4"/>
  <c r="R51" i="4"/>
  <c r="G51" i="4"/>
  <c r="F51" i="4"/>
  <c r="E51" i="4"/>
  <c r="D51" i="4"/>
  <c r="C51" i="4"/>
  <c r="A51" i="4"/>
  <c r="W50" i="4"/>
  <c r="R50" i="4"/>
  <c r="G50" i="4"/>
  <c r="F50" i="4"/>
  <c r="E50" i="4"/>
  <c r="D50" i="4"/>
  <c r="C50" i="4"/>
  <c r="A50" i="4"/>
  <c r="W49" i="4"/>
  <c r="R49" i="4"/>
  <c r="G49" i="4"/>
  <c r="F49" i="4"/>
  <c r="E49" i="4"/>
  <c r="D49" i="4"/>
  <c r="C49" i="4"/>
  <c r="A49" i="4"/>
  <c r="W48" i="4"/>
  <c r="R48" i="4"/>
  <c r="G48" i="4"/>
  <c r="F48" i="4"/>
  <c r="E48" i="4"/>
  <c r="D48" i="4"/>
  <c r="C48" i="4"/>
  <c r="A48" i="4"/>
  <c r="W47" i="4"/>
  <c r="R47" i="4"/>
  <c r="G47" i="4"/>
  <c r="F47" i="4"/>
  <c r="E47" i="4"/>
  <c r="D47" i="4"/>
  <c r="C47" i="4"/>
  <c r="A47" i="4"/>
  <c r="W46" i="4"/>
  <c r="R46" i="4"/>
  <c r="G46" i="4"/>
  <c r="F46" i="4"/>
  <c r="E46" i="4"/>
  <c r="D46" i="4"/>
  <c r="C46" i="4"/>
  <c r="A46" i="4"/>
  <c r="W45" i="4"/>
  <c r="R45" i="4"/>
  <c r="G45" i="4"/>
  <c r="F45" i="4"/>
  <c r="E45" i="4"/>
  <c r="D45" i="4"/>
  <c r="C45" i="4"/>
  <c r="A45" i="4"/>
  <c r="W44" i="4"/>
  <c r="R44" i="4"/>
  <c r="G44" i="4"/>
  <c r="F44" i="4"/>
  <c r="E44" i="4"/>
  <c r="D44" i="4"/>
  <c r="C44" i="4"/>
  <c r="A44" i="4"/>
  <c r="W43" i="4"/>
  <c r="R43" i="4"/>
  <c r="G43" i="4"/>
  <c r="F43" i="4"/>
  <c r="E43" i="4"/>
  <c r="D43" i="4"/>
  <c r="C43" i="4"/>
  <c r="A43" i="4"/>
  <c r="R42" i="4"/>
  <c r="G42" i="4"/>
  <c r="F42" i="4"/>
  <c r="E42" i="4"/>
  <c r="D42" i="4"/>
  <c r="C42" i="4"/>
  <c r="A42" i="4"/>
  <c r="R41" i="4"/>
  <c r="G41" i="4"/>
  <c r="F41" i="4"/>
  <c r="E41" i="4"/>
  <c r="D41" i="4"/>
  <c r="C41" i="4"/>
  <c r="A41" i="4"/>
  <c r="R40" i="4"/>
  <c r="G40" i="4"/>
  <c r="F40" i="4"/>
  <c r="E40" i="4"/>
  <c r="D40" i="4"/>
  <c r="C40" i="4"/>
  <c r="A40" i="4"/>
  <c r="R39" i="4"/>
  <c r="G39" i="4"/>
  <c r="F39" i="4"/>
  <c r="E39" i="4"/>
  <c r="D39" i="4"/>
  <c r="C39" i="4"/>
  <c r="A39" i="4"/>
  <c r="R38" i="4"/>
  <c r="G38" i="4"/>
  <c r="F38" i="4"/>
  <c r="E38" i="4"/>
  <c r="D38" i="4"/>
  <c r="C38" i="4"/>
  <c r="A38" i="4"/>
  <c r="R37" i="4"/>
  <c r="G37" i="4"/>
  <c r="F37" i="4"/>
  <c r="E37" i="4"/>
  <c r="D37" i="4"/>
  <c r="C37" i="4"/>
  <c r="A37" i="4"/>
  <c r="R36" i="4"/>
  <c r="G36" i="4"/>
  <c r="F36" i="4"/>
  <c r="E36" i="4"/>
  <c r="D36" i="4"/>
  <c r="C36" i="4"/>
  <c r="A36" i="4"/>
  <c r="R35" i="4"/>
  <c r="G35" i="4"/>
  <c r="F35" i="4"/>
  <c r="E35" i="4"/>
  <c r="D35" i="4"/>
  <c r="C35" i="4"/>
  <c r="A35" i="4"/>
  <c r="R34" i="4"/>
  <c r="G34" i="4"/>
  <c r="F34" i="4"/>
  <c r="E34" i="4"/>
  <c r="D34" i="4"/>
  <c r="C34" i="4"/>
  <c r="A34" i="4"/>
  <c r="R33" i="4"/>
  <c r="G33" i="4"/>
  <c r="F33" i="4"/>
  <c r="E33" i="4"/>
  <c r="D33" i="4"/>
  <c r="C33" i="4"/>
  <c r="A33" i="4"/>
  <c r="R32" i="4"/>
  <c r="G32" i="4"/>
  <c r="F32" i="4"/>
  <c r="E32" i="4"/>
  <c r="D32" i="4"/>
  <c r="C32" i="4"/>
  <c r="A32" i="4"/>
  <c r="R31" i="4"/>
  <c r="G31" i="4"/>
  <c r="F31" i="4"/>
  <c r="E31" i="4"/>
  <c r="D31" i="4"/>
  <c r="C31" i="4"/>
  <c r="A31" i="4"/>
  <c r="W30" i="4"/>
  <c r="G30" i="4"/>
  <c r="F30" i="4"/>
  <c r="E30" i="4"/>
  <c r="D30" i="4"/>
  <c r="C30" i="4"/>
  <c r="A30" i="4"/>
  <c r="W29" i="4"/>
  <c r="G29" i="4"/>
  <c r="F29" i="4"/>
  <c r="E29" i="4"/>
  <c r="D29" i="4"/>
  <c r="C29" i="4"/>
  <c r="A29" i="4"/>
  <c r="W28" i="4"/>
  <c r="G28" i="4"/>
  <c r="F28" i="4"/>
  <c r="E28" i="4"/>
  <c r="D28" i="4"/>
  <c r="C28" i="4"/>
  <c r="A28" i="4"/>
  <c r="W27" i="4"/>
  <c r="G27" i="4"/>
  <c r="F27" i="4"/>
  <c r="E27" i="4"/>
  <c r="D27" i="4"/>
  <c r="C27" i="4"/>
  <c r="A27" i="4"/>
  <c r="W26" i="4"/>
  <c r="G26" i="4"/>
  <c r="F26" i="4"/>
  <c r="E26" i="4"/>
  <c r="D26" i="4"/>
  <c r="C26" i="4"/>
  <c r="A26" i="4"/>
  <c r="W25" i="4"/>
  <c r="G25" i="4"/>
  <c r="F25" i="4"/>
  <c r="E25" i="4"/>
  <c r="D25" i="4"/>
  <c r="C25" i="4"/>
  <c r="A25" i="4"/>
  <c r="W24" i="4"/>
  <c r="G24" i="4"/>
  <c r="F24" i="4"/>
  <c r="E24" i="4"/>
  <c r="D24" i="4"/>
  <c r="C24" i="4"/>
  <c r="A24" i="4"/>
  <c r="W23" i="4"/>
  <c r="G23" i="4"/>
  <c r="F23" i="4"/>
  <c r="E23" i="4"/>
  <c r="D23" i="4"/>
  <c r="C23" i="4"/>
  <c r="A23" i="4"/>
  <c r="W22" i="4"/>
  <c r="G22" i="4"/>
  <c r="F22" i="4"/>
  <c r="E22" i="4"/>
  <c r="D22" i="4"/>
  <c r="C22" i="4"/>
  <c r="A22" i="4"/>
  <c r="W21" i="4"/>
  <c r="G21" i="4"/>
  <c r="F21" i="4"/>
  <c r="E21" i="4"/>
  <c r="D21" i="4"/>
  <c r="C21" i="4"/>
  <c r="A21" i="4"/>
  <c r="W20" i="4"/>
  <c r="G20" i="4"/>
  <c r="F20" i="4"/>
  <c r="E20" i="4"/>
  <c r="D20" i="4"/>
  <c r="C20" i="4"/>
  <c r="A20" i="4"/>
  <c r="W19" i="4"/>
  <c r="G19" i="4"/>
  <c r="F19" i="4"/>
  <c r="E19" i="4"/>
  <c r="D19" i="4"/>
  <c r="C19" i="4"/>
  <c r="A19" i="4"/>
  <c r="W18" i="4"/>
  <c r="R18" i="4"/>
  <c r="G18" i="4"/>
  <c r="F18" i="4"/>
  <c r="D18" i="4"/>
  <c r="C18" i="4"/>
  <c r="E18" i="4" s="1"/>
  <c r="A18" i="4"/>
  <c r="W17" i="4"/>
  <c r="R17" i="4"/>
  <c r="G17" i="4"/>
  <c r="F17" i="4"/>
  <c r="D17" i="4"/>
  <c r="C17" i="4"/>
  <c r="E17" i="4" s="1"/>
  <c r="A17" i="4"/>
  <c r="W16" i="4"/>
  <c r="R16" i="4"/>
  <c r="G16" i="4"/>
  <c r="F16" i="4"/>
  <c r="D16" i="4"/>
  <c r="C16" i="4"/>
  <c r="E16" i="4" s="1"/>
  <c r="A16" i="4"/>
  <c r="W15" i="4"/>
  <c r="R15" i="4"/>
  <c r="G15" i="4"/>
  <c r="F15" i="4"/>
  <c r="D15" i="4"/>
  <c r="C15" i="4"/>
  <c r="E15" i="4" s="1"/>
  <c r="A15" i="4"/>
  <c r="W14" i="4"/>
  <c r="R14" i="4"/>
  <c r="G14" i="4"/>
  <c r="F14" i="4"/>
  <c r="D14" i="4"/>
  <c r="C14" i="4"/>
  <c r="E14" i="4" s="1"/>
  <c r="A14" i="4"/>
  <c r="W13" i="4"/>
  <c r="R13" i="4"/>
  <c r="G13" i="4"/>
  <c r="F13" i="4"/>
  <c r="D13" i="4"/>
  <c r="C13" i="4"/>
  <c r="E13" i="4" s="1"/>
  <c r="A13" i="4"/>
  <c r="W12" i="4"/>
  <c r="R12" i="4"/>
  <c r="G12" i="4"/>
  <c r="F12" i="4"/>
  <c r="D12" i="4"/>
  <c r="C12" i="4"/>
  <c r="E12" i="4" s="1"/>
  <c r="A12" i="4"/>
  <c r="W11" i="4"/>
  <c r="R11" i="4"/>
  <c r="G11" i="4"/>
  <c r="F11" i="4"/>
  <c r="D11" i="4"/>
  <c r="C11" i="4"/>
  <c r="E11" i="4" s="1"/>
  <c r="A11" i="4"/>
  <c r="W10" i="4"/>
  <c r="R10" i="4"/>
  <c r="G10" i="4"/>
  <c r="F10" i="4"/>
  <c r="D10" i="4"/>
  <c r="C10" i="4"/>
  <c r="E10" i="4" s="1"/>
  <c r="A10" i="4"/>
  <c r="W9" i="4"/>
  <c r="R9" i="4"/>
  <c r="G9" i="4"/>
  <c r="F9" i="4"/>
  <c r="D9" i="4"/>
  <c r="C9" i="4"/>
  <c r="E9" i="4" s="1"/>
  <c r="A9" i="4"/>
  <c r="W8" i="4"/>
  <c r="R8" i="4"/>
  <c r="G8" i="4"/>
  <c r="F8" i="4"/>
  <c r="D8" i="4"/>
  <c r="C8" i="4"/>
  <c r="E8" i="4" s="1"/>
  <c r="A8" i="4"/>
  <c r="W7" i="4"/>
  <c r="S7" i="4"/>
  <c r="R7" i="4"/>
  <c r="N7" i="4"/>
  <c r="L7" i="4"/>
  <c r="G7" i="4"/>
  <c r="F7" i="4"/>
  <c r="D7" i="4"/>
  <c r="C7" i="4"/>
  <c r="A7" i="4"/>
  <c r="M54" i="3"/>
  <c r="H54" i="3"/>
  <c r="B54" i="3"/>
  <c r="A54" i="3"/>
  <c r="M53" i="3"/>
  <c r="H53" i="3"/>
  <c r="B53" i="3"/>
  <c r="A53" i="3"/>
  <c r="M52" i="3"/>
  <c r="H52" i="3"/>
  <c r="B52" i="3"/>
  <c r="A52" i="3"/>
  <c r="M51" i="3"/>
  <c r="H51" i="3"/>
  <c r="B51" i="3"/>
  <c r="A51" i="3"/>
  <c r="M50" i="3"/>
  <c r="H50" i="3"/>
  <c r="B50" i="3"/>
  <c r="A50" i="3"/>
  <c r="M49" i="3"/>
  <c r="H49" i="3"/>
  <c r="B49" i="3"/>
  <c r="A49" i="3"/>
  <c r="M48" i="3"/>
  <c r="H48" i="3"/>
  <c r="B48" i="3"/>
  <c r="A48" i="3"/>
  <c r="M47" i="3"/>
  <c r="H47" i="3"/>
  <c r="B47" i="3"/>
  <c r="A47" i="3"/>
  <c r="M46" i="3"/>
  <c r="H46" i="3"/>
  <c r="B46" i="3"/>
  <c r="A46" i="3"/>
  <c r="M45" i="3"/>
  <c r="H45" i="3"/>
  <c r="B45" i="3"/>
  <c r="A45" i="3"/>
  <c r="M44" i="3"/>
  <c r="H44" i="3"/>
  <c r="B44" i="3"/>
  <c r="A44" i="3"/>
  <c r="M43" i="3"/>
  <c r="H43" i="3"/>
  <c r="B43" i="3"/>
  <c r="A43" i="3"/>
  <c r="M42" i="3"/>
  <c r="B42" i="3"/>
  <c r="A42" i="3"/>
  <c r="M41" i="3"/>
  <c r="B41" i="3"/>
  <c r="A41" i="3"/>
  <c r="M40" i="3"/>
  <c r="B40" i="3"/>
  <c r="A40" i="3"/>
  <c r="M39" i="3"/>
  <c r="B39" i="3"/>
  <c r="A39" i="3"/>
  <c r="M38" i="3"/>
  <c r="B38" i="3"/>
  <c r="A38" i="3"/>
  <c r="M37" i="3"/>
  <c r="B37" i="3"/>
  <c r="A37" i="3"/>
  <c r="M36" i="3"/>
  <c r="B36" i="3"/>
  <c r="A36" i="3"/>
  <c r="M35" i="3"/>
  <c r="B35" i="3"/>
  <c r="A35" i="3"/>
  <c r="M34" i="3"/>
  <c r="B34" i="3"/>
  <c r="A34" i="3"/>
  <c r="M33" i="3"/>
  <c r="B33" i="3"/>
  <c r="A33" i="3"/>
  <c r="M32" i="3"/>
  <c r="B32" i="3"/>
  <c r="A32" i="3"/>
  <c r="M31" i="3"/>
  <c r="B31" i="3"/>
  <c r="A31" i="3"/>
  <c r="H30" i="3"/>
  <c r="B30" i="3"/>
  <c r="A30" i="3"/>
  <c r="H29" i="3"/>
  <c r="B29" i="3"/>
  <c r="A29" i="3"/>
  <c r="H28" i="3"/>
  <c r="B28" i="3"/>
  <c r="A28" i="3"/>
  <c r="H27" i="3"/>
  <c r="B27" i="3"/>
  <c r="A27" i="3"/>
  <c r="H26" i="3"/>
  <c r="B26" i="3"/>
  <c r="A26" i="3"/>
  <c r="H25" i="3"/>
  <c r="B25" i="3"/>
  <c r="A25" i="3"/>
  <c r="H24" i="3"/>
  <c r="B24" i="3"/>
  <c r="A24" i="3"/>
  <c r="H23" i="3"/>
  <c r="B23" i="3"/>
  <c r="A23" i="3"/>
  <c r="H22" i="3"/>
  <c r="B22" i="3"/>
  <c r="A22" i="3"/>
  <c r="H21" i="3"/>
  <c r="B21" i="3"/>
  <c r="A21" i="3"/>
  <c r="H20" i="3"/>
  <c r="B20" i="3"/>
  <c r="A20" i="3"/>
  <c r="H19" i="3"/>
  <c r="B19" i="3"/>
  <c r="A19" i="3"/>
  <c r="M18" i="3"/>
  <c r="H18" i="3"/>
  <c r="B18" i="3"/>
  <c r="A18" i="3"/>
  <c r="M17" i="3"/>
  <c r="H17" i="3"/>
  <c r="B17" i="3"/>
  <c r="A17" i="3"/>
  <c r="M16" i="3"/>
  <c r="H16" i="3"/>
  <c r="B16" i="3"/>
  <c r="A16" i="3"/>
  <c r="M15" i="3"/>
  <c r="H15" i="3"/>
  <c r="B15" i="3"/>
  <c r="A15" i="3"/>
  <c r="M14" i="3"/>
  <c r="H14" i="3"/>
  <c r="B14" i="3"/>
  <c r="A14" i="3"/>
  <c r="M13" i="3"/>
  <c r="H13" i="3"/>
  <c r="B13" i="3"/>
  <c r="A13" i="3"/>
  <c r="M12" i="3"/>
  <c r="H12" i="3"/>
  <c r="B12" i="3"/>
  <c r="A12" i="3"/>
  <c r="M11" i="3"/>
  <c r="H11" i="3"/>
  <c r="B11" i="3"/>
  <c r="A11" i="3"/>
  <c r="M10" i="3"/>
  <c r="H10" i="3"/>
  <c r="B10" i="3"/>
  <c r="A10" i="3"/>
  <c r="M9" i="3"/>
  <c r="H9" i="3"/>
  <c r="B9" i="3"/>
  <c r="A9" i="3"/>
  <c r="M8" i="3"/>
  <c r="H8" i="3"/>
  <c r="B8" i="3"/>
  <c r="A8" i="3"/>
  <c r="M7" i="3"/>
  <c r="H7" i="3"/>
  <c r="G7" i="3"/>
  <c r="B7" i="3"/>
  <c r="A7" i="3"/>
  <c r="B21" i="2"/>
  <c r="E7" i="4" l="1"/>
  <c r="X7" i="4"/>
  <c r="H8" i="4"/>
  <c r="X8" i="4"/>
  <c r="H9" i="4"/>
  <c r="X9" i="4"/>
  <c r="H10" i="4"/>
  <c r="X10" i="4"/>
  <c r="H11" i="4"/>
  <c r="X11" i="4"/>
  <c r="H12" i="4"/>
  <c r="X12" i="4"/>
  <c r="H13" i="4"/>
  <c r="X13" i="4"/>
  <c r="H14" i="4"/>
  <c r="X14" i="4"/>
  <c r="H15" i="4"/>
  <c r="X15" i="4"/>
  <c r="H16" i="4"/>
  <c r="X16" i="4"/>
  <c r="H17" i="4"/>
  <c r="X17" i="4"/>
  <c r="H18" i="4"/>
  <c r="X18" i="4"/>
  <c r="H19" i="4"/>
  <c r="X19" i="4"/>
  <c r="H20" i="4"/>
  <c r="X20" i="4"/>
  <c r="H21" i="4"/>
  <c r="X21" i="4"/>
  <c r="H22" i="4"/>
  <c r="X22" i="4"/>
  <c r="H23" i="4"/>
  <c r="X23" i="4"/>
  <c r="H24" i="4"/>
  <c r="X24" i="4"/>
  <c r="H25" i="4"/>
  <c r="X25" i="4"/>
  <c r="H26" i="4"/>
  <c r="X26" i="4"/>
  <c r="H27" i="4"/>
  <c r="X27" i="4"/>
  <c r="H28" i="4"/>
  <c r="X28" i="4"/>
  <c r="H29" i="4"/>
  <c r="X29" i="4"/>
  <c r="H30" i="4"/>
  <c r="X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X43" i="4"/>
  <c r="H44" i="4"/>
  <c r="X44" i="4"/>
  <c r="H45" i="4"/>
  <c r="X45" i="4"/>
  <c r="H46" i="4"/>
  <c r="X46" i="4"/>
  <c r="H47" i="4"/>
  <c r="X47" i="4"/>
  <c r="H48" i="4"/>
  <c r="X48" i="4"/>
  <c r="H49" i="4"/>
  <c r="X49" i="4"/>
  <c r="H50" i="4"/>
  <c r="X50" i="4"/>
  <c r="H51" i="4"/>
  <c r="X51" i="4"/>
  <c r="H52" i="4"/>
  <c r="X52" i="4"/>
  <c r="H53" i="4"/>
  <c r="X53" i="4"/>
  <c r="H54" i="4"/>
  <c r="X54" i="4"/>
  <c r="L4" i="5"/>
  <c r="G4" i="5"/>
  <c r="F4" i="5"/>
  <c r="L5" i="5"/>
  <c r="G5" i="5"/>
  <c r="L6" i="5"/>
  <c r="G6" i="5"/>
  <c r="L7" i="5"/>
  <c r="G7" i="5"/>
  <c r="L8" i="5"/>
  <c r="G8" i="5"/>
  <c r="L9" i="5"/>
  <c r="G9" i="5"/>
  <c r="L10" i="5"/>
  <c r="G10" i="5"/>
  <c r="L11" i="5"/>
  <c r="G11" i="5"/>
  <c r="L12" i="5"/>
  <c r="G12" i="5"/>
  <c r="L13" i="5"/>
  <c r="G13" i="5"/>
  <c r="L14" i="5"/>
  <c r="G14" i="5"/>
  <c r="L15" i="5"/>
  <c r="G15" i="5"/>
  <c r="M15" i="5"/>
  <c r="I15" i="5"/>
  <c r="L16" i="5"/>
  <c r="G16" i="5"/>
  <c r="F16" i="5"/>
  <c r="L17" i="5"/>
  <c r="G17" i="5"/>
  <c r="L18" i="5"/>
  <c r="G18" i="5"/>
  <c r="L19" i="5"/>
  <c r="G19" i="5"/>
  <c r="L20" i="5"/>
  <c r="G20" i="5"/>
  <c r="L21" i="5"/>
  <c r="G21" i="5"/>
  <c r="L22" i="5"/>
  <c r="G22" i="5"/>
  <c r="L23" i="5"/>
  <c r="G23" i="5"/>
  <c r="L24" i="5"/>
  <c r="G24" i="5"/>
  <c r="L25" i="5"/>
  <c r="G25" i="5"/>
  <c r="L26" i="5"/>
  <c r="G26" i="5"/>
  <c r="L27" i="5"/>
  <c r="G27" i="5"/>
  <c r="M27" i="5"/>
  <c r="I27" i="5"/>
  <c r="L28" i="5"/>
  <c r="G28" i="5"/>
  <c r="F28" i="5"/>
  <c r="L29" i="5"/>
  <c r="G29" i="5"/>
  <c r="L30" i="5"/>
  <c r="G30" i="5"/>
  <c r="L31" i="5"/>
  <c r="G31" i="5"/>
  <c r="L32" i="5"/>
  <c r="G32" i="5"/>
  <c r="L33" i="5"/>
  <c r="G33" i="5"/>
  <c r="L34" i="5"/>
  <c r="G34" i="5"/>
  <c r="L35" i="5"/>
  <c r="G35" i="5"/>
  <c r="L36" i="5"/>
  <c r="G36" i="5"/>
  <c r="L37" i="5"/>
  <c r="G37" i="5"/>
  <c r="L38" i="5"/>
  <c r="G38" i="5"/>
  <c r="L39" i="5"/>
  <c r="G39" i="5"/>
  <c r="M39" i="5"/>
  <c r="I39" i="5"/>
  <c r="L40" i="5"/>
  <c r="G40" i="5"/>
  <c r="F40" i="5"/>
  <c r="L41" i="5"/>
  <c r="G41" i="5"/>
  <c r="L42" i="5"/>
  <c r="G42" i="5"/>
  <c r="L43" i="5"/>
  <c r="G43" i="5"/>
  <c r="L44" i="5"/>
  <c r="G44" i="5"/>
  <c r="L45" i="5"/>
  <c r="G45" i="5"/>
  <c r="L46" i="5"/>
  <c r="G46" i="5"/>
  <c r="L47" i="5"/>
  <c r="G47" i="5"/>
  <c r="L48" i="5"/>
  <c r="G48" i="5"/>
  <c r="L49" i="5"/>
  <c r="G49" i="5"/>
  <c r="L50" i="5"/>
  <c r="G50" i="5"/>
  <c r="L51" i="5"/>
  <c r="G51" i="5"/>
  <c r="M51" i="5"/>
  <c r="I51" i="5"/>
  <c r="L52" i="5"/>
  <c r="G52" i="5"/>
  <c r="F52" i="5"/>
  <c r="L53" i="5"/>
  <c r="G53" i="5"/>
  <c r="L54" i="5"/>
  <c r="G54" i="5"/>
  <c r="L55" i="5"/>
  <c r="G55" i="5"/>
  <c r="L56" i="5"/>
  <c r="G56" i="5"/>
  <c r="L57" i="5"/>
  <c r="G57" i="5"/>
  <c r="L58" i="5"/>
  <c r="G58" i="5"/>
  <c r="L59" i="5"/>
  <c r="G59" i="5"/>
  <c r="L60" i="5"/>
  <c r="G60" i="5"/>
  <c r="L61" i="5"/>
  <c r="G61" i="5"/>
  <c r="L62" i="5"/>
  <c r="G62" i="5"/>
  <c r="L63" i="5"/>
  <c r="G63" i="5"/>
  <c r="M63" i="5"/>
  <c r="I63" i="5"/>
  <c r="L64" i="5"/>
  <c r="G64" i="5"/>
  <c r="F64" i="5"/>
  <c r="L65" i="5"/>
  <c r="G65" i="5"/>
  <c r="L66" i="5"/>
  <c r="G66" i="5"/>
  <c r="L67" i="5"/>
  <c r="G67" i="5"/>
  <c r="L68" i="5"/>
  <c r="G68" i="5"/>
  <c r="L69" i="5"/>
  <c r="G69" i="5"/>
  <c r="L70" i="5"/>
  <c r="G70" i="5"/>
  <c r="L71" i="5"/>
  <c r="G71" i="5"/>
  <c r="L72" i="5"/>
  <c r="G72" i="5"/>
  <c r="L73" i="5"/>
  <c r="G73" i="5"/>
  <c r="L74" i="5"/>
  <c r="G74" i="5"/>
  <c r="L75" i="5"/>
  <c r="G75" i="5"/>
  <c r="M75" i="5"/>
  <c r="I75" i="5"/>
  <c r="L76" i="5"/>
  <c r="G76" i="5"/>
  <c r="F76" i="5"/>
  <c r="L77" i="5"/>
  <c r="G77" i="5"/>
  <c r="L78" i="5"/>
  <c r="G78" i="5"/>
  <c r="L79" i="5"/>
  <c r="G79" i="5"/>
  <c r="L80" i="5"/>
  <c r="G80" i="5"/>
  <c r="L81" i="5"/>
  <c r="G81" i="5"/>
  <c r="L82" i="5"/>
  <c r="G82" i="5"/>
  <c r="L83" i="5"/>
  <c r="G83" i="5"/>
  <c r="L84" i="5"/>
  <c r="G84" i="5"/>
  <c r="L85" i="5"/>
  <c r="G85" i="5"/>
  <c r="L86" i="5"/>
  <c r="G86" i="5"/>
  <c r="L87" i="5"/>
  <c r="G87" i="5"/>
  <c r="M87" i="5"/>
  <c r="I87" i="5"/>
  <c r="L88" i="5"/>
  <c r="G88" i="5"/>
  <c r="F88" i="5"/>
  <c r="L89" i="5"/>
  <c r="G89" i="5"/>
  <c r="L90" i="5"/>
  <c r="G90" i="5"/>
  <c r="L91" i="5"/>
  <c r="G91" i="5"/>
  <c r="L92" i="5"/>
  <c r="G92" i="5"/>
  <c r="L93" i="5"/>
  <c r="G93" i="5"/>
  <c r="L94" i="5"/>
  <c r="G94" i="5"/>
  <c r="L95" i="5"/>
  <c r="G95" i="5"/>
  <c r="L96" i="5"/>
  <c r="G96" i="5"/>
  <c r="L97" i="5"/>
  <c r="G97" i="5"/>
  <c r="L98" i="5"/>
  <c r="G98" i="5"/>
  <c r="L99" i="5"/>
  <c r="G99" i="5"/>
  <c r="M99" i="5"/>
  <c r="I99" i="5"/>
  <c r="L100" i="5"/>
  <c r="G100" i="5"/>
  <c r="F100" i="5"/>
  <c r="L101" i="5"/>
  <c r="G101" i="5"/>
  <c r="L102" i="5"/>
  <c r="G102" i="5"/>
  <c r="L103" i="5"/>
  <c r="G103" i="5"/>
  <c r="L104" i="5"/>
  <c r="G104" i="5"/>
  <c r="L105" i="5"/>
  <c r="G105" i="5"/>
  <c r="L106" i="5"/>
  <c r="G106" i="5"/>
  <c r="L107" i="5"/>
  <c r="G107" i="5"/>
  <c r="L108" i="5"/>
  <c r="G108" i="5"/>
  <c r="L109" i="5"/>
  <c r="G109" i="5"/>
  <c r="L110" i="5"/>
  <c r="G110" i="5"/>
  <c r="L111" i="5"/>
  <c r="G111" i="5"/>
  <c r="M111" i="5"/>
  <c r="I111" i="5"/>
  <c r="L112" i="5"/>
  <c r="G112" i="5"/>
  <c r="F112" i="5"/>
  <c r="L113" i="5"/>
  <c r="G113" i="5"/>
  <c r="L114" i="5"/>
  <c r="G114" i="5"/>
  <c r="L115" i="5"/>
  <c r="G115" i="5"/>
  <c r="L116" i="5"/>
  <c r="G116" i="5"/>
  <c r="L117" i="5"/>
  <c r="G117" i="5"/>
  <c r="L118" i="5"/>
  <c r="G118" i="5"/>
  <c r="L119" i="5"/>
  <c r="G119" i="5"/>
  <c r="L120" i="5"/>
  <c r="G120" i="5"/>
  <c r="L121" i="5"/>
  <c r="G121" i="5"/>
  <c r="L122" i="5"/>
  <c r="G122" i="5"/>
  <c r="L123" i="5"/>
  <c r="G123" i="5"/>
  <c r="M123" i="5"/>
  <c r="I123" i="5"/>
  <c r="L124" i="5"/>
  <c r="G124" i="5"/>
  <c r="F124" i="5"/>
  <c r="L125" i="5"/>
  <c r="G125" i="5"/>
  <c r="L126" i="5"/>
  <c r="G126" i="5"/>
  <c r="L127" i="5"/>
  <c r="G127" i="5"/>
  <c r="L128" i="5"/>
  <c r="G128" i="5"/>
  <c r="L129" i="5"/>
  <c r="G129" i="5"/>
  <c r="L130" i="5"/>
  <c r="G130" i="5"/>
  <c r="L131" i="5"/>
  <c r="G131" i="5"/>
  <c r="L132" i="5"/>
  <c r="G132" i="5"/>
  <c r="L133" i="5"/>
  <c r="G133" i="5"/>
  <c r="L134" i="5"/>
  <c r="G134" i="5"/>
  <c r="L135" i="5"/>
  <c r="G135" i="5"/>
  <c r="M135" i="5"/>
  <c r="I135" i="5"/>
  <c r="L136" i="5"/>
  <c r="G136" i="5"/>
  <c r="F136" i="5"/>
  <c r="L137" i="5"/>
  <c r="G137" i="5"/>
  <c r="L138" i="5"/>
  <c r="G138" i="5"/>
  <c r="L139" i="5"/>
  <c r="G139" i="5"/>
  <c r="L140" i="5"/>
  <c r="G140" i="5"/>
  <c r="L141" i="5"/>
  <c r="G141" i="5"/>
  <c r="L142" i="5"/>
  <c r="G142" i="5"/>
  <c r="L143" i="5"/>
  <c r="G143" i="5"/>
  <c r="L144" i="5"/>
  <c r="G144" i="5"/>
  <c r="L145" i="5"/>
  <c r="G145" i="5"/>
  <c r="L146" i="5"/>
  <c r="G146" i="5"/>
  <c r="L147" i="5"/>
  <c r="G147" i="5"/>
  <c r="M147" i="5"/>
  <c r="I147" i="5"/>
  <c r="L148" i="5"/>
  <c r="G148" i="5"/>
  <c r="F148" i="5"/>
  <c r="L149" i="5"/>
  <c r="G149" i="5"/>
  <c r="L150" i="5"/>
  <c r="G150" i="5"/>
  <c r="L151" i="5"/>
  <c r="G151" i="5"/>
  <c r="L152" i="5"/>
  <c r="G152" i="5"/>
  <c r="L153" i="5"/>
  <c r="G153" i="5"/>
  <c r="L154" i="5"/>
  <c r="G154" i="5"/>
  <c r="L155" i="5"/>
  <c r="G155" i="5"/>
  <c r="L156" i="5"/>
  <c r="G156" i="5"/>
  <c r="L157" i="5"/>
  <c r="G157" i="5"/>
  <c r="L158" i="5"/>
  <c r="G158" i="5"/>
  <c r="L159" i="5"/>
  <c r="G159" i="5"/>
  <c r="M159" i="5"/>
  <c r="I159" i="5"/>
  <c r="L160" i="5"/>
  <c r="G160" i="5"/>
  <c r="F160" i="5"/>
  <c r="L161" i="5"/>
  <c r="G161" i="5"/>
  <c r="L162" i="5"/>
  <c r="G162" i="5"/>
  <c r="L163" i="5"/>
  <c r="G163" i="5"/>
  <c r="L164" i="5"/>
  <c r="G164" i="5"/>
  <c r="L165" i="5"/>
  <c r="G165" i="5"/>
  <c r="L166" i="5"/>
  <c r="G166" i="5"/>
  <c r="L167" i="5"/>
  <c r="G167" i="5"/>
  <c r="L168" i="5"/>
  <c r="G168" i="5"/>
  <c r="L169" i="5"/>
  <c r="G169" i="5"/>
  <c r="L170" i="5"/>
  <c r="G170" i="5"/>
  <c r="L171" i="5"/>
  <c r="G171" i="5"/>
  <c r="M171" i="5"/>
  <c r="I171" i="5"/>
  <c r="L172" i="5"/>
  <c r="G172" i="5"/>
  <c r="F172" i="5"/>
  <c r="L173" i="5"/>
  <c r="G173" i="5"/>
  <c r="L174" i="5"/>
  <c r="G174" i="5"/>
  <c r="L175" i="5"/>
  <c r="G175" i="5"/>
  <c r="L176" i="5"/>
  <c r="G176" i="5"/>
  <c r="L177" i="5"/>
  <c r="G177" i="5"/>
  <c r="L178" i="5"/>
  <c r="G178" i="5"/>
  <c r="L179" i="5"/>
  <c r="G179" i="5"/>
  <c r="L180" i="5"/>
  <c r="G180" i="5"/>
  <c r="L181" i="5"/>
  <c r="G181" i="5"/>
  <c r="L182" i="5"/>
  <c r="G182" i="5"/>
  <c r="L183" i="5"/>
  <c r="G183" i="5"/>
  <c r="M183" i="5"/>
  <c r="I183" i="5"/>
  <c r="L184" i="5"/>
  <c r="G184" i="5"/>
  <c r="F184" i="5"/>
  <c r="L185" i="5"/>
  <c r="G185" i="5"/>
  <c r="L186" i="5"/>
  <c r="G186" i="5"/>
  <c r="L187" i="5"/>
  <c r="G187" i="5"/>
  <c r="L188" i="5"/>
  <c r="G188" i="5"/>
  <c r="L189" i="5"/>
  <c r="G189" i="5"/>
  <c r="L190" i="5"/>
  <c r="G190" i="5"/>
  <c r="L191" i="5"/>
  <c r="G191" i="5"/>
  <c r="L192" i="5"/>
  <c r="G192" i="5"/>
  <c r="L193" i="5"/>
  <c r="G193" i="5"/>
  <c r="L194" i="5"/>
  <c r="G194" i="5"/>
  <c r="L195" i="5"/>
  <c r="G195" i="5"/>
  <c r="M195" i="5"/>
  <c r="I195" i="5"/>
  <c r="L196" i="5"/>
  <c r="G196" i="5"/>
  <c r="F196" i="5"/>
  <c r="L197" i="5"/>
  <c r="G197" i="5"/>
  <c r="L198" i="5"/>
  <c r="G198" i="5"/>
  <c r="L199" i="5"/>
  <c r="G199" i="5"/>
  <c r="L200" i="5"/>
  <c r="G200" i="5"/>
  <c r="L201" i="5"/>
  <c r="G201" i="5"/>
  <c r="L202" i="5"/>
  <c r="G202" i="5"/>
  <c r="L203" i="5"/>
  <c r="G203" i="5"/>
  <c r="L204" i="5"/>
  <c r="G204" i="5"/>
  <c r="L205" i="5"/>
  <c r="G205" i="5"/>
  <c r="L206" i="5"/>
  <c r="G206" i="5"/>
  <c r="L207" i="5"/>
  <c r="G207" i="5"/>
  <c r="M207" i="5"/>
  <c r="I207" i="5"/>
  <c r="L208" i="5"/>
  <c r="G208" i="5"/>
  <c r="F208" i="5"/>
  <c r="L209" i="5"/>
  <c r="G209" i="5"/>
  <c r="L210" i="5"/>
  <c r="G210" i="5"/>
  <c r="L211" i="5"/>
  <c r="G211" i="5"/>
  <c r="L212" i="5"/>
  <c r="G212" i="5"/>
  <c r="L213" i="5"/>
  <c r="G213" i="5"/>
  <c r="L214" i="5"/>
  <c r="G214" i="5"/>
  <c r="L215" i="5"/>
  <c r="G215" i="5"/>
  <c r="L216" i="5"/>
  <c r="G216" i="5"/>
  <c r="L217" i="5"/>
  <c r="G217" i="5"/>
  <c r="L218" i="5"/>
  <c r="G218" i="5"/>
  <c r="L219" i="5"/>
  <c r="G219" i="5"/>
  <c r="M219" i="5"/>
  <c r="I219" i="5"/>
  <c r="L220" i="5"/>
  <c r="G220" i="5"/>
  <c r="F220" i="5"/>
  <c r="L221" i="5"/>
  <c r="G221" i="5"/>
  <c r="L222" i="5"/>
  <c r="G222" i="5"/>
  <c r="L223" i="5"/>
  <c r="G223" i="5"/>
  <c r="L224" i="5"/>
  <c r="G224" i="5"/>
  <c r="L225" i="5"/>
  <c r="G225" i="5"/>
  <c r="L226" i="5"/>
  <c r="G226" i="5"/>
  <c r="L227" i="5"/>
  <c r="G227" i="5"/>
  <c r="L228" i="5"/>
  <c r="G228" i="5"/>
  <c r="L229" i="5"/>
  <c r="G229" i="5"/>
  <c r="L230" i="5"/>
  <c r="G230" i="5"/>
  <c r="L231" i="5"/>
  <c r="G231" i="5"/>
  <c r="M231" i="5"/>
  <c r="I231" i="5"/>
  <c r="L232" i="5"/>
  <c r="G232" i="5"/>
  <c r="F232" i="5"/>
  <c r="L233" i="5"/>
  <c r="G233" i="5"/>
  <c r="L234" i="5"/>
  <c r="G234" i="5"/>
  <c r="L235" i="5"/>
  <c r="G235" i="5"/>
  <c r="L236" i="5"/>
  <c r="G236" i="5"/>
  <c r="L237" i="5"/>
  <c r="G237" i="5"/>
  <c r="L238" i="5"/>
  <c r="G238" i="5"/>
  <c r="L239" i="5"/>
  <c r="G239" i="5"/>
  <c r="L240" i="5"/>
  <c r="G240" i="5"/>
  <c r="L241" i="5"/>
  <c r="G241" i="5"/>
  <c r="L242" i="5"/>
  <c r="G242" i="5"/>
  <c r="L243" i="5"/>
  <c r="G243" i="5"/>
  <c r="M243" i="5"/>
  <c r="I243" i="5"/>
  <c r="L244" i="5"/>
  <c r="G244" i="5"/>
  <c r="F244" i="5"/>
  <c r="L245" i="5"/>
  <c r="G245" i="5"/>
  <c r="L246" i="5"/>
  <c r="G246" i="5"/>
  <c r="L247" i="5"/>
  <c r="G247" i="5"/>
  <c r="L248" i="5"/>
  <c r="G248" i="5"/>
  <c r="L249" i="5"/>
  <c r="G249" i="5"/>
  <c r="L250" i="5"/>
  <c r="G250" i="5"/>
  <c r="L251" i="5"/>
  <c r="G251" i="5"/>
  <c r="L252" i="5"/>
  <c r="G252" i="5"/>
  <c r="L253" i="5"/>
  <c r="G253" i="5"/>
  <c r="L254" i="5"/>
  <c r="G254" i="5"/>
  <c r="L255" i="5"/>
  <c r="G255" i="5"/>
  <c r="M255" i="5"/>
  <c r="I255" i="5"/>
  <c r="L256" i="5"/>
  <c r="G256" i="5"/>
  <c r="F256" i="5"/>
  <c r="L257" i="5"/>
  <c r="G257" i="5"/>
  <c r="L258" i="5"/>
  <c r="G258" i="5"/>
  <c r="L259" i="5"/>
  <c r="G259" i="5"/>
  <c r="L260" i="5"/>
  <c r="G260" i="5"/>
  <c r="L261" i="5"/>
  <c r="G261" i="5"/>
  <c r="L262" i="5"/>
  <c r="G262" i="5"/>
  <c r="L263" i="5"/>
  <c r="G263" i="5"/>
  <c r="L264" i="5"/>
  <c r="G264" i="5"/>
  <c r="L265" i="5"/>
  <c r="G265" i="5"/>
  <c r="L266" i="5"/>
  <c r="G266" i="5"/>
  <c r="L267" i="5"/>
  <c r="G267" i="5"/>
  <c r="M267" i="5"/>
  <c r="I267" i="5"/>
  <c r="L268" i="5"/>
  <c r="G268" i="5"/>
  <c r="F268" i="5"/>
  <c r="L269" i="5"/>
  <c r="G269" i="5"/>
  <c r="L270" i="5"/>
  <c r="G270" i="5"/>
  <c r="L271" i="5"/>
  <c r="G271" i="5"/>
  <c r="L272" i="5"/>
  <c r="G272" i="5"/>
  <c r="L273" i="5"/>
  <c r="G273" i="5"/>
  <c r="L274" i="5"/>
  <c r="G274" i="5"/>
  <c r="L275" i="5"/>
  <c r="G275" i="5"/>
  <c r="L276" i="5"/>
  <c r="G276" i="5"/>
  <c r="L277" i="5"/>
  <c r="G277" i="5"/>
  <c r="L278" i="5"/>
  <c r="G278" i="5"/>
  <c r="L279" i="5"/>
  <c r="G279" i="5"/>
  <c r="M279" i="5"/>
  <c r="I279" i="5"/>
  <c r="L280" i="5"/>
  <c r="G280" i="5"/>
  <c r="F280" i="5"/>
  <c r="L281" i="5"/>
  <c r="G281" i="5"/>
  <c r="L282" i="5"/>
  <c r="G282" i="5"/>
  <c r="L283" i="5"/>
  <c r="G283" i="5"/>
  <c r="L284" i="5"/>
  <c r="G284" i="5"/>
  <c r="L285" i="5"/>
  <c r="G285" i="5"/>
  <c r="L286" i="5"/>
  <c r="G286" i="5"/>
  <c r="L287" i="5"/>
  <c r="G287" i="5"/>
  <c r="L288" i="5"/>
  <c r="G288" i="5"/>
  <c r="L289" i="5"/>
  <c r="G289" i="5"/>
  <c r="L290" i="5"/>
  <c r="G290" i="5"/>
  <c r="L291" i="5"/>
  <c r="G291" i="5"/>
  <c r="M291" i="5"/>
  <c r="I291" i="5"/>
  <c r="L292" i="5"/>
  <c r="G292" i="5"/>
  <c r="F292" i="5"/>
  <c r="K292" i="5"/>
  <c r="L293" i="5"/>
  <c r="G293" i="5"/>
  <c r="K293" i="5"/>
  <c r="L294" i="5"/>
  <c r="G294" i="5"/>
  <c r="K294" i="5"/>
  <c r="L295" i="5"/>
  <c r="G295" i="5"/>
  <c r="K295" i="5"/>
  <c r="L296" i="5"/>
  <c r="G296" i="5"/>
  <c r="K296" i="5"/>
  <c r="L297" i="5"/>
  <c r="G297" i="5"/>
  <c r="K297" i="5"/>
  <c r="L298" i="5"/>
  <c r="G298" i="5"/>
  <c r="K298" i="5"/>
  <c r="L299" i="5"/>
  <c r="G299" i="5"/>
  <c r="K299" i="5"/>
  <c r="L300" i="5"/>
  <c r="G300" i="5"/>
  <c r="K300" i="5"/>
  <c r="L301" i="5"/>
  <c r="G301" i="5"/>
  <c r="K301" i="5"/>
  <c r="L302" i="5"/>
  <c r="G302" i="5"/>
  <c r="K302" i="5"/>
  <c r="L303" i="5"/>
  <c r="G303" i="5"/>
  <c r="M303" i="5"/>
  <c r="J303" i="5" s="1"/>
  <c r="I303" i="5"/>
  <c r="K303" i="5" s="1"/>
  <c r="L304" i="5"/>
  <c r="G304" i="5"/>
  <c r="F304" i="5"/>
  <c r="K304" i="5"/>
  <c r="L305" i="5"/>
  <c r="G305" i="5"/>
  <c r="K305" i="5"/>
  <c r="L306" i="5"/>
  <c r="G306" i="5"/>
  <c r="K306" i="5"/>
  <c r="L307" i="5"/>
  <c r="G307" i="5"/>
  <c r="K307" i="5"/>
  <c r="L308" i="5"/>
  <c r="G308" i="5"/>
  <c r="K308" i="5"/>
  <c r="L309" i="5"/>
  <c r="G309" i="5"/>
  <c r="K309" i="5"/>
  <c r="L310" i="5"/>
  <c r="G310" i="5"/>
  <c r="K310" i="5"/>
  <c r="L311" i="5"/>
  <c r="G311" i="5"/>
  <c r="K311" i="5"/>
  <c r="L312" i="5"/>
  <c r="G312" i="5"/>
  <c r="K312" i="5"/>
  <c r="L313" i="5"/>
  <c r="G313" i="5"/>
  <c r="K313" i="5"/>
  <c r="L314" i="5"/>
  <c r="G314" i="5"/>
  <c r="K314" i="5"/>
  <c r="L315" i="5"/>
  <c r="G315" i="5"/>
  <c r="M315" i="5"/>
  <c r="J315" i="5" s="1"/>
  <c r="I315" i="5"/>
  <c r="K315" i="5" s="1"/>
  <c r="L316" i="5"/>
  <c r="G316" i="5"/>
  <c r="F316" i="5"/>
  <c r="K316" i="5"/>
  <c r="L317" i="5"/>
  <c r="G317" i="5"/>
  <c r="K317" i="5"/>
  <c r="L318" i="5"/>
  <c r="G318" i="5"/>
  <c r="K318" i="5"/>
  <c r="L319" i="5"/>
  <c r="G319" i="5"/>
  <c r="K319" i="5"/>
  <c r="L320" i="5"/>
  <c r="G320" i="5"/>
  <c r="K320" i="5"/>
  <c r="L321" i="5"/>
  <c r="G321" i="5"/>
  <c r="K321" i="5"/>
  <c r="L322" i="5"/>
  <c r="G322" i="5"/>
  <c r="K322" i="5"/>
  <c r="L323" i="5"/>
  <c r="G323" i="5"/>
  <c r="K323" i="5"/>
  <c r="L324" i="5"/>
  <c r="G324" i="5"/>
  <c r="K324" i="5"/>
  <c r="L325" i="5"/>
  <c r="G325" i="5"/>
  <c r="K325" i="5"/>
  <c r="L326" i="5"/>
  <c r="G326" i="5"/>
  <c r="K326" i="5"/>
  <c r="L327" i="5"/>
  <c r="G327" i="5"/>
  <c r="M327" i="5"/>
  <c r="J327" i="5" s="1"/>
  <c r="I327" i="5"/>
  <c r="K327" i="5" s="1"/>
  <c r="L328" i="5"/>
  <c r="G328" i="5"/>
  <c r="F328" i="5"/>
  <c r="K328" i="5"/>
  <c r="L329" i="5"/>
  <c r="G329" i="5"/>
  <c r="K329" i="5"/>
  <c r="L330" i="5"/>
  <c r="G330" i="5"/>
  <c r="K330" i="5"/>
  <c r="L331" i="5"/>
  <c r="G331" i="5"/>
  <c r="K331" i="5"/>
  <c r="L332" i="5"/>
  <c r="G332" i="5"/>
  <c r="K332" i="5"/>
  <c r="L333" i="5"/>
  <c r="G333" i="5"/>
  <c r="K333" i="5"/>
  <c r="L334" i="5"/>
  <c r="G334" i="5"/>
  <c r="K334" i="5"/>
  <c r="L335" i="5"/>
  <c r="G335" i="5"/>
  <c r="K335" i="5"/>
  <c r="L336" i="5"/>
  <c r="G336" i="5"/>
  <c r="K336" i="5"/>
  <c r="L337" i="5"/>
  <c r="G337" i="5"/>
  <c r="K337" i="5"/>
  <c r="L338" i="5"/>
  <c r="G338" i="5"/>
  <c r="K338" i="5"/>
  <c r="L339" i="5"/>
  <c r="G339" i="5"/>
  <c r="M339" i="5"/>
  <c r="J339" i="5" s="1"/>
  <c r="I339" i="5"/>
  <c r="K339" i="5" s="1"/>
  <c r="L340" i="5"/>
  <c r="G340" i="5"/>
  <c r="F340" i="5"/>
  <c r="K340" i="5"/>
  <c r="L341" i="5"/>
  <c r="G341" i="5"/>
  <c r="K341" i="5"/>
  <c r="L342" i="5"/>
  <c r="G342" i="5"/>
  <c r="K342" i="5"/>
  <c r="L343" i="5"/>
  <c r="G343" i="5"/>
  <c r="K343" i="5"/>
  <c r="L344" i="5"/>
  <c r="G344" i="5"/>
  <c r="K344" i="5"/>
  <c r="L345" i="5"/>
  <c r="G345" i="5"/>
  <c r="K345" i="5"/>
  <c r="L346" i="5"/>
  <c r="G346" i="5"/>
  <c r="K346" i="5"/>
  <c r="L347" i="5"/>
  <c r="G347" i="5"/>
  <c r="K347" i="5"/>
  <c r="L348" i="5"/>
  <c r="G348" i="5"/>
  <c r="K348" i="5"/>
  <c r="L349" i="5"/>
  <c r="G349" i="5"/>
  <c r="K349" i="5"/>
  <c r="L350" i="5"/>
  <c r="G350" i="5"/>
  <c r="K350" i="5"/>
  <c r="L351" i="5"/>
  <c r="G351" i="5"/>
  <c r="M351" i="5"/>
  <c r="J351" i="5" s="1"/>
  <c r="I351" i="5"/>
  <c r="K351" i="5" s="1"/>
  <c r="L352" i="5"/>
  <c r="G352" i="5"/>
  <c r="F352" i="5"/>
  <c r="K352" i="5"/>
  <c r="L353" i="5"/>
  <c r="G353" i="5"/>
  <c r="K353" i="5"/>
  <c r="L354" i="5"/>
  <c r="G354" i="5"/>
  <c r="K354" i="5"/>
  <c r="L355" i="5"/>
  <c r="G355" i="5"/>
  <c r="K355" i="5"/>
  <c r="L356" i="5"/>
  <c r="G356" i="5"/>
  <c r="K356" i="5"/>
  <c r="L357" i="5"/>
  <c r="G357" i="5"/>
  <c r="K357" i="5"/>
  <c r="L358" i="5"/>
  <c r="G358" i="5"/>
  <c r="K358" i="5"/>
  <c r="L359" i="5"/>
  <c r="G359" i="5"/>
  <c r="K359" i="5"/>
  <c r="L360" i="5"/>
  <c r="G360" i="5"/>
  <c r="K360" i="5"/>
  <c r="L361" i="5"/>
  <c r="G361" i="5"/>
  <c r="K361" i="5"/>
  <c r="L362" i="5"/>
  <c r="G362" i="5"/>
  <c r="K362" i="5"/>
  <c r="L363" i="5"/>
  <c r="G363" i="5"/>
  <c r="M363" i="5"/>
  <c r="J363" i="5" s="1"/>
  <c r="I363" i="5"/>
  <c r="K363" i="5" s="1"/>
  <c r="L364" i="5"/>
  <c r="G364" i="5"/>
  <c r="F364" i="5"/>
  <c r="K364" i="5"/>
  <c r="L365" i="5"/>
  <c r="G365" i="5"/>
  <c r="K365" i="5"/>
  <c r="L366" i="5"/>
  <c r="G366" i="5"/>
  <c r="K366" i="5"/>
  <c r="L367" i="5"/>
  <c r="G367" i="5"/>
  <c r="K367" i="5"/>
  <c r="L368" i="5"/>
  <c r="G368" i="5"/>
  <c r="K368" i="5"/>
  <c r="L369" i="5"/>
  <c r="G369" i="5"/>
  <c r="K369" i="5"/>
  <c r="L370" i="5"/>
  <c r="G370" i="5"/>
  <c r="K370" i="5"/>
  <c r="L371" i="5"/>
  <c r="G371" i="5"/>
  <c r="K371" i="5"/>
  <c r="L372" i="5"/>
  <c r="G372" i="5"/>
  <c r="K372" i="5"/>
  <c r="L373" i="5"/>
  <c r="G373" i="5"/>
  <c r="K373" i="5"/>
  <c r="L374" i="5"/>
  <c r="G374" i="5"/>
  <c r="K374" i="5"/>
  <c r="L375" i="5"/>
  <c r="G375" i="5"/>
  <c r="M375" i="5"/>
  <c r="J375" i="5" s="1"/>
  <c r="I375" i="5"/>
  <c r="K375" i="5" s="1"/>
  <c r="L376" i="5"/>
  <c r="G376" i="5"/>
  <c r="F376" i="5"/>
  <c r="K376" i="5"/>
  <c r="L377" i="5"/>
  <c r="G377" i="5"/>
  <c r="K377" i="5"/>
  <c r="L378" i="5"/>
  <c r="G378" i="5"/>
  <c r="K378" i="5"/>
  <c r="L379" i="5"/>
  <c r="G379" i="5"/>
  <c r="K379" i="5"/>
  <c r="L380" i="5"/>
  <c r="G380" i="5"/>
  <c r="K380" i="5"/>
  <c r="L381" i="5"/>
  <c r="G381" i="5"/>
  <c r="K381" i="5"/>
  <c r="L382" i="5"/>
  <c r="G382" i="5"/>
  <c r="K382" i="5"/>
  <c r="L383" i="5"/>
  <c r="G383" i="5"/>
  <c r="K383" i="5"/>
  <c r="L384" i="5"/>
  <c r="G384" i="5"/>
  <c r="K384" i="5"/>
  <c r="L385" i="5"/>
  <c r="G385" i="5"/>
  <c r="K385" i="5"/>
  <c r="L386" i="5"/>
  <c r="G386" i="5"/>
  <c r="K386" i="5"/>
  <c r="L387" i="5"/>
  <c r="G387" i="5"/>
  <c r="M387" i="5"/>
  <c r="J387" i="5" s="1"/>
  <c r="I387" i="5"/>
  <c r="K387" i="5" s="1"/>
  <c r="L388" i="5"/>
  <c r="G388" i="5"/>
  <c r="F388" i="5"/>
  <c r="K388" i="5"/>
  <c r="L389" i="5"/>
  <c r="G389" i="5"/>
  <c r="K389" i="5"/>
  <c r="L390" i="5"/>
  <c r="G390" i="5"/>
  <c r="K390" i="5"/>
  <c r="L391" i="5"/>
  <c r="G391" i="5"/>
  <c r="K391" i="5"/>
  <c r="L392" i="5"/>
  <c r="G392" i="5"/>
  <c r="K392" i="5"/>
  <c r="L393" i="5"/>
  <c r="G393" i="5"/>
  <c r="K393" i="5"/>
  <c r="L394" i="5"/>
  <c r="G394" i="5"/>
  <c r="K394" i="5"/>
  <c r="L395" i="5"/>
  <c r="G395" i="5"/>
  <c r="K395" i="5"/>
  <c r="L396" i="5"/>
  <c r="G396" i="5"/>
  <c r="K396" i="5"/>
  <c r="L397" i="5"/>
  <c r="G397" i="5"/>
  <c r="K397" i="5"/>
  <c r="L398" i="5"/>
  <c r="G398" i="5"/>
  <c r="K398" i="5"/>
  <c r="L399" i="5"/>
  <c r="G399" i="5"/>
  <c r="M399" i="5"/>
  <c r="J399" i="5" s="1"/>
  <c r="I399" i="5"/>
  <c r="K399" i="5" s="1"/>
  <c r="L400" i="5"/>
  <c r="G400" i="5"/>
  <c r="F400" i="5"/>
  <c r="K400" i="5"/>
  <c r="L401" i="5"/>
  <c r="G401" i="5"/>
  <c r="K401" i="5"/>
  <c r="L402" i="5"/>
  <c r="G402" i="5"/>
  <c r="K402" i="5"/>
  <c r="L403" i="5"/>
  <c r="G403" i="5"/>
  <c r="K403" i="5"/>
  <c r="L404" i="5"/>
  <c r="G404" i="5"/>
  <c r="K404" i="5"/>
  <c r="L405" i="5"/>
  <c r="G405" i="5"/>
  <c r="K405" i="5"/>
  <c r="L406" i="5"/>
  <c r="G406" i="5"/>
  <c r="K406" i="5"/>
  <c r="L407" i="5"/>
  <c r="G407" i="5"/>
  <c r="K407" i="5"/>
  <c r="L408" i="5"/>
  <c r="G408" i="5"/>
  <c r="K408" i="5"/>
  <c r="L409" i="5"/>
  <c r="G409" i="5"/>
  <c r="K409" i="5"/>
  <c r="L410" i="5"/>
  <c r="G410" i="5"/>
  <c r="K410" i="5"/>
  <c r="L411" i="5"/>
  <c r="G411" i="5"/>
  <c r="M411" i="5"/>
  <c r="J411" i="5" s="1"/>
  <c r="I411" i="5"/>
  <c r="K411" i="5" s="1"/>
  <c r="L412" i="5"/>
  <c r="G412" i="5"/>
  <c r="F412" i="5"/>
  <c r="K412" i="5"/>
  <c r="L413" i="5"/>
  <c r="G413" i="5"/>
  <c r="K413" i="5"/>
  <c r="L414" i="5"/>
  <c r="G414" i="5"/>
  <c r="K414" i="5"/>
  <c r="L415" i="5"/>
  <c r="G415" i="5"/>
  <c r="K415" i="5"/>
  <c r="L416" i="5"/>
  <c r="G416" i="5"/>
  <c r="K416" i="5"/>
  <c r="L417" i="5"/>
  <c r="G417" i="5"/>
  <c r="K417" i="5"/>
  <c r="L418" i="5"/>
  <c r="G418" i="5"/>
  <c r="K418" i="5"/>
  <c r="L419" i="5"/>
  <c r="G419" i="5"/>
  <c r="K419" i="5"/>
  <c r="L420" i="5"/>
  <c r="G420" i="5"/>
  <c r="K420" i="5"/>
  <c r="L421" i="5"/>
  <c r="G421" i="5"/>
  <c r="K421" i="5"/>
  <c r="L422" i="5"/>
  <c r="G422" i="5"/>
  <c r="K422" i="5"/>
  <c r="L423" i="5"/>
  <c r="G423" i="5"/>
  <c r="M423" i="5"/>
  <c r="J423" i="5" s="1"/>
  <c r="I423" i="5"/>
  <c r="K423" i="5" s="1"/>
  <c r="L424" i="5"/>
  <c r="G424" i="5"/>
  <c r="F424" i="5"/>
  <c r="K424" i="5"/>
  <c r="L425" i="5"/>
  <c r="G425" i="5"/>
  <c r="K425" i="5"/>
  <c r="L426" i="5"/>
  <c r="G426" i="5"/>
  <c r="K426" i="5"/>
  <c r="L427" i="5"/>
  <c r="G427" i="5"/>
  <c r="K427" i="5"/>
  <c r="L428" i="5"/>
  <c r="G428" i="5"/>
  <c r="K428" i="5"/>
  <c r="L429" i="5"/>
  <c r="G429" i="5"/>
  <c r="K429" i="5"/>
  <c r="L430" i="5"/>
  <c r="G430" i="5"/>
  <c r="K430" i="5"/>
  <c r="L431" i="5"/>
  <c r="G431" i="5"/>
  <c r="K431" i="5"/>
  <c r="L432" i="5"/>
  <c r="G432" i="5"/>
  <c r="K432" i="5"/>
  <c r="L433" i="5"/>
  <c r="G433" i="5"/>
  <c r="K433" i="5"/>
  <c r="L434" i="5"/>
  <c r="G434" i="5"/>
  <c r="K434" i="5"/>
  <c r="L435" i="5"/>
  <c r="G435" i="5"/>
  <c r="M435" i="5"/>
  <c r="J435" i="5" s="1"/>
  <c r="I435" i="5"/>
  <c r="K435" i="5" s="1"/>
  <c r="C15" i="7"/>
  <c r="C14" i="7"/>
  <c r="C13" i="7"/>
  <c r="C12" i="7"/>
  <c r="C11" i="7"/>
  <c r="C10" i="7"/>
  <c r="C9" i="7"/>
  <c r="C8" i="7"/>
  <c r="C7" i="7"/>
  <c r="C6" i="7"/>
  <c r="C5" i="7"/>
  <c r="C4" i="7"/>
  <c r="H7" i="6"/>
  <c r="I7" i="6" s="1"/>
  <c r="K7" i="6" s="1"/>
  <c r="AD7" i="6"/>
  <c r="T7" i="6"/>
  <c r="Y7" i="6"/>
  <c r="Z7" i="6" s="1"/>
  <c r="C27" i="7"/>
  <c r="C26" i="7"/>
  <c r="C25" i="7"/>
  <c r="C24" i="7"/>
  <c r="C23" i="7"/>
  <c r="C22" i="7"/>
  <c r="C21" i="7"/>
  <c r="C20" i="7"/>
  <c r="C19" i="7"/>
  <c r="C18" i="7"/>
  <c r="C17" i="7"/>
  <c r="C16" i="7"/>
  <c r="H8" i="6"/>
  <c r="I8" i="6" s="1"/>
  <c r="K8" i="6" s="1"/>
  <c r="Y8" i="6"/>
  <c r="Z8" i="6" s="1"/>
  <c r="C39" i="7"/>
  <c r="C38" i="7"/>
  <c r="C37" i="7"/>
  <c r="C36" i="7"/>
  <c r="C35" i="7"/>
  <c r="C34" i="7"/>
  <c r="C33" i="7"/>
  <c r="C32" i="7"/>
  <c r="C31" i="7"/>
  <c r="C30" i="7"/>
  <c r="C29" i="7"/>
  <c r="C28" i="7"/>
  <c r="H9" i="6"/>
  <c r="I9" i="6" s="1"/>
  <c r="K9" i="6" s="1"/>
  <c r="Y9" i="6"/>
  <c r="Z9" i="6" s="1"/>
  <c r="C51" i="7"/>
  <c r="C50" i="7"/>
  <c r="C49" i="7"/>
  <c r="C48" i="7"/>
  <c r="C47" i="7"/>
  <c r="C46" i="7"/>
  <c r="C45" i="7"/>
  <c r="C44" i="7"/>
  <c r="C43" i="7"/>
  <c r="C42" i="7"/>
  <c r="C41" i="7"/>
  <c r="C40" i="7"/>
  <c r="H10" i="6"/>
  <c r="I10" i="6" s="1"/>
  <c r="K10" i="6" s="1"/>
  <c r="Y10" i="6"/>
  <c r="Z10" i="6" s="1"/>
  <c r="C63" i="7"/>
  <c r="C62" i="7"/>
  <c r="C61" i="7"/>
  <c r="C60" i="7"/>
  <c r="C59" i="7"/>
  <c r="C58" i="7"/>
  <c r="C57" i="7"/>
  <c r="C56" i="7"/>
  <c r="C55" i="7"/>
  <c r="C54" i="7"/>
  <c r="C53" i="7"/>
  <c r="C52" i="7"/>
  <c r="H11" i="6"/>
  <c r="I11" i="6" s="1"/>
  <c r="K11" i="6" s="1"/>
  <c r="Y11" i="6"/>
  <c r="Z11" i="6" s="1"/>
  <c r="C75" i="7"/>
  <c r="C74" i="7"/>
  <c r="C73" i="7"/>
  <c r="C72" i="7"/>
  <c r="C71" i="7"/>
  <c r="C70" i="7"/>
  <c r="C69" i="7"/>
  <c r="C68" i="7"/>
  <c r="C67" i="7"/>
  <c r="C66" i="7"/>
  <c r="C65" i="7"/>
  <c r="C64" i="7"/>
  <c r="H12" i="6"/>
  <c r="I12" i="6" s="1"/>
  <c r="K12" i="6" s="1"/>
  <c r="Y12" i="6"/>
  <c r="Z12" i="6" s="1"/>
  <c r="C87" i="7"/>
  <c r="C86" i="7"/>
  <c r="C85" i="7"/>
  <c r="C84" i="7"/>
  <c r="C83" i="7"/>
  <c r="C82" i="7"/>
  <c r="C81" i="7"/>
  <c r="C80" i="7"/>
  <c r="C79" i="7"/>
  <c r="C78" i="7"/>
  <c r="C77" i="7"/>
  <c r="C76" i="7"/>
  <c r="H13" i="6"/>
  <c r="I13" i="6" s="1"/>
  <c r="K13" i="6" s="1"/>
  <c r="Y13" i="6"/>
  <c r="Z13" i="6" s="1"/>
  <c r="C99" i="7"/>
  <c r="C98" i="7"/>
  <c r="C97" i="7"/>
  <c r="C96" i="7"/>
  <c r="C95" i="7"/>
  <c r="C94" i="7"/>
  <c r="C93" i="7"/>
  <c r="C92" i="7"/>
  <c r="C91" i="7"/>
  <c r="C90" i="7"/>
  <c r="C89" i="7"/>
  <c r="C88" i="7"/>
  <c r="H14" i="6"/>
  <c r="I14" i="6" s="1"/>
  <c r="K14" i="6" s="1"/>
  <c r="Y14" i="6"/>
  <c r="Z14" i="6" s="1"/>
  <c r="C111" i="7"/>
  <c r="C110" i="7"/>
  <c r="C109" i="7"/>
  <c r="C108" i="7"/>
  <c r="C107" i="7"/>
  <c r="C106" i="7"/>
  <c r="C105" i="7"/>
  <c r="C104" i="7"/>
  <c r="C103" i="7"/>
  <c r="C102" i="7"/>
  <c r="C101" i="7"/>
  <c r="C100" i="7"/>
  <c r="H15" i="6"/>
  <c r="I15" i="6" s="1"/>
  <c r="K15" i="6" s="1"/>
  <c r="Y15" i="6"/>
  <c r="Z15" i="6" s="1"/>
  <c r="C123" i="7"/>
  <c r="C122" i="7"/>
  <c r="C121" i="7"/>
  <c r="C120" i="7"/>
  <c r="C119" i="7"/>
  <c r="C118" i="7"/>
  <c r="C117" i="7"/>
  <c r="C116" i="7"/>
  <c r="C115" i="7"/>
  <c r="C114" i="7"/>
  <c r="C113" i="7"/>
  <c r="C112" i="7"/>
  <c r="H16" i="6"/>
  <c r="I16" i="6" s="1"/>
  <c r="K16" i="6" s="1"/>
  <c r="Y16" i="6"/>
  <c r="Z16" i="6" s="1"/>
  <c r="C135" i="7"/>
  <c r="C134" i="7"/>
  <c r="C133" i="7"/>
  <c r="C132" i="7"/>
  <c r="C131" i="7"/>
  <c r="C130" i="7"/>
  <c r="C129" i="7"/>
  <c r="C128" i="7"/>
  <c r="C127" i="7"/>
  <c r="C126" i="7"/>
  <c r="C125" i="7"/>
  <c r="C124" i="7"/>
  <c r="H17" i="6"/>
  <c r="I17" i="6" s="1"/>
  <c r="K17" i="6" s="1"/>
  <c r="Y17" i="6"/>
  <c r="Z17" i="6" s="1"/>
  <c r="C147" i="7"/>
  <c r="C146" i="7"/>
  <c r="C145" i="7"/>
  <c r="C144" i="7"/>
  <c r="C143" i="7"/>
  <c r="C142" i="7"/>
  <c r="C141" i="7"/>
  <c r="C140" i="7"/>
  <c r="C139" i="7"/>
  <c r="C138" i="7"/>
  <c r="C137" i="7"/>
  <c r="C136" i="7"/>
  <c r="H18" i="6"/>
  <c r="I18" i="6" s="1"/>
  <c r="K18" i="6" s="1"/>
  <c r="Y18" i="6"/>
  <c r="Z18" i="6" s="1"/>
  <c r="C159" i="7"/>
  <c r="C158" i="7"/>
  <c r="C157" i="7"/>
  <c r="C156" i="7"/>
  <c r="C155" i="7"/>
  <c r="C154" i="7"/>
  <c r="C153" i="7"/>
  <c r="C152" i="7"/>
  <c r="C151" i="7"/>
  <c r="C150" i="7"/>
  <c r="C149" i="7"/>
  <c r="C148" i="7"/>
  <c r="H19" i="6"/>
  <c r="I19" i="6" s="1"/>
  <c r="K19" i="6" s="1"/>
  <c r="Y19" i="6"/>
  <c r="Z19" i="6" s="1"/>
  <c r="C171" i="7"/>
  <c r="C170" i="7"/>
  <c r="C169" i="7"/>
  <c r="C168" i="7"/>
  <c r="C167" i="7"/>
  <c r="C166" i="7"/>
  <c r="C165" i="7"/>
  <c r="C164" i="7"/>
  <c r="C163" i="7"/>
  <c r="C162" i="7"/>
  <c r="C161" i="7"/>
  <c r="C160" i="7"/>
  <c r="H20" i="6"/>
  <c r="I20" i="6" s="1"/>
  <c r="K20" i="6" s="1"/>
  <c r="Y20" i="6"/>
  <c r="Z20" i="6" s="1"/>
  <c r="C183" i="7"/>
  <c r="C182" i="7"/>
  <c r="C181" i="7"/>
  <c r="C180" i="7"/>
  <c r="C179" i="7"/>
  <c r="C178" i="7"/>
  <c r="C177" i="7"/>
  <c r="C176" i="7"/>
  <c r="C175" i="7"/>
  <c r="C174" i="7"/>
  <c r="C173" i="7"/>
  <c r="C172" i="7"/>
  <c r="H21" i="6"/>
  <c r="I21" i="6" s="1"/>
  <c r="K21" i="6" s="1"/>
  <c r="Y21" i="6"/>
  <c r="Z21" i="6" s="1"/>
  <c r="C195" i="7"/>
  <c r="C194" i="7"/>
  <c r="C193" i="7"/>
  <c r="C192" i="7"/>
  <c r="C191" i="7"/>
  <c r="C190" i="7"/>
  <c r="C189" i="7"/>
  <c r="C188" i="7"/>
  <c r="C187" i="7"/>
  <c r="C186" i="7"/>
  <c r="C185" i="7"/>
  <c r="C184" i="7"/>
  <c r="H22" i="6"/>
  <c r="I22" i="6" s="1"/>
  <c r="K22" i="6" s="1"/>
  <c r="Y22" i="6"/>
  <c r="Z22" i="6" s="1"/>
  <c r="C207" i="7"/>
  <c r="C206" i="7"/>
  <c r="C205" i="7"/>
  <c r="C204" i="7"/>
  <c r="C203" i="7"/>
  <c r="C202" i="7"/>
  <c r="C201" i="7"/>
  <c r="C200" i="7"/>
  <c r="C199" i="7"/>
  <c r="C198" i="7"/>
  <c r="C197" i="7"/>
  <c r="C196" i="7"/>
  <c r="H23" i="6"/>
  <c r="I23" i="6" s="1"/>
  <c r="K23" i="6" s="1"/>
  <c r="Y23" i="6"/>
  <c r="Z23" i="6" s="1"/>
  <c r="C219" i="7"/>
  <c r="C218" i="7"/>
  <c r="C217" i="7"/>
  <c r="C216" i="7"/>
  <c r="C215" i="7"/>
  <c r="C214" i="7"/>
  <c r="C213" i="7"/>
  <c r="C212" i="7"/>
  <c r="C211" i="7"/>
  <c r="C210" i="7"/>
  <c r="C209" i="7"/>
  <c r="C208" i="7"/>
  <c r="H24" i="6"/>
  <c r="I24" i="6" s="1"/>
  <c r="K24" i="6" s="1"/>
  <c r="Y24" i="6"/>
  <c r="Z24" i="6" s="1"/>
  <c r="C231" i="7"/>
  <c r="C230" i="7"/>
  <c r="C229" i="7"/>
  <c r="C228" i="7"/>
  <c r="C227" i="7"/>
  <c r="C226" i="7"/>
  <c r="C225" i="7"/>
  <c r="C224" i="7"/>
  <c r="C223" i="7"/>
  <c r="C222" i="7"/>
  <c r="C221" i="7"/>
  <c r="C220" i="7"/>
  <c r="H25" i="6"/>
  <c r="I25" i="6" s="1"/>
  <c r="K25" i="6" s="1"/>
  <c r="Y25" i="6"/>
  <c r="Z25" i="6" s="1"/>
  <c r="C243" i="7"/>
  <c r="C242" i="7"/>
  <c r="C241" i="7"/>
  <c r="C240" i="7"/>
  <c r="C239" i="7"/>
  <c r="C238" i="7"/>
  <c r="C237" i="7"/>
  <c r="C236" i="7"/>
  <c r="C235" i="7"/>
  <c r="C234" i="7"/>
  <c r="C233" i="7"/>
  <c r="C232" i="7"/>
  <c r="H26" i="6"/>
  <c r="I26" i="6" s="1"/>
  <c r="K26" i="6" s="1"/>
  <c r="Y26" i="6"/>
  <c r="Z26" i="6" s="1"/>
  <c r="C255" i="7"/>
  <c r="C254" i="7"/>
  <c r="C253" i="7"/>
  <c r="C252" i="7"/>
  <c r="C251" i="7"/>
  <c r="C250" i="7"/>
  <c r="C249" i="7"/>
  <c r="C248" i="7"/>
  <c r="C247" i="7"/>
  <c r="C246" i="7"/>
  <c r="C245" i="7"/>
  <c r="C244" i="7"/>
  <c r="H27" i="6"/>
  <c r="I27" i="6" s="1"/>
  <c r="K27" i="6" s="1"/>
  <c r="Y27" i="6"/>
  <c r="Z27" i="6" s="1"/>
  <c r="C267" i="7"/>
  <c r="C266" i="7"/>
  <c r="C265" i="7"/>
  <c r="C264" i="7"/>
  <c r="C263" i="7"/>
  <c r="C262" i="7"/>
  <c r="C261" i="7"/>
  <c r="C260" i="7"/>
  <c r="C259" i="7"/>
  <c r="C258" i="7"/>
  <c r="C257" i="7"/>
  <c r="C256" i="7"/>
  <c r="H28" i="6"/>
  <c r="I28" i="6" s="1"/>
  <c r="K28" i="6" s="1"/>
  <c r="Y28" i="6"/>
  <c r="Z28" i="6" s="1"/>
  <c r="C279" i="7"/>
  <c r="C278" i="7"/>
  <c r="C277" i="7"/>
  <c r="C276" i="7"/>
  <c r="C275" i="7"/>
  <c r="C274" i="7"/>
  <c r="C273" i="7"/>
  <c r="C272" i="7"/>
  <c r="C271" i="7"/>
  <c r="C270" i="7"/>
  <c r="C269" i="7"/>
  <c r="C268" i="7"/>
  <c r="H29" i="6"/>
  <c r="I29" i="6" s="1"/>
  <c r="K29" i="6" s="1"/>
  <c r="Y29" i="6"/>
  <c r="Z29" i="6" s="1"/>
  <c r="C291" i="7"/>
  <c r="C290" i="7"/>
  <c r="C289" i="7"/>
  <c r="C288" i="7"/>
  <c r="C287" i="7"/>
  <c r="C286" i="7"/>
  <c r="C285" i="7"/>
  <c r="C284" i="7"/>
  <c r="C283" i="7"/>
  <c r="C282" i="7"/>
  <c r="C281" i="7"/>
  <c r="C280" i="7"/>
  <c r="H30" i="6"/>
  <c r="I30" i="6" s="1"/>
  <c r="K30" i="6" s="1"/>
  <c r="Y30" i="6"/>
  <c r="Z30" i="6" s="1"/>
  <c r="C303" i="7"/>
  <c r="C302" i="7"/>
  <c r="C301" i="7"/>
  <c r="C300" i="7"/>
  <c r="C299" i="7"/>
  <c r="C298" i="7"/>
  <c r="C297" i="7"/>
  <c r="C296" i="7"/>
  <c r="C295" i="7"/>
  <c r="C294" i="7"/>
  <c r="C293" i="7"/>
  <c r="C292" i="7"/>
  <c r="H31" i="6"/>
  <c r="I31" i="6" s="1"/>
  <c r="K31" i="6" s="1"/>
  <c r="C315" i="7"/>
  <c r="C314" i="7"/>
  <c r="C313" i="7"/>
  <c r="C312" i="7"/>
  <c r="C311" i="7"/>
  <c r="C310" i="7"/>
  <c r="C309" i="7"/>
  <c r="C308" i="7"/>
  <c r="C307" i="7"/>
  <c r="C306" i="7"/>
  <c r="C305" i="7"/>
  <c r="C304" i="7"/>
  <c r="H32" i="6"/>
  <c r="I32" i="6" s="1"/>
  <c r="K32" i="6" s="1"/>
  <c r="C327" i="7"/>
  <c r="C326" i="7"/>
  <c r="C325" i="7"/>
  <c r="C324" i="7"/>
  <c r="C323" i="7"/>
  <c r="C322" i="7"/>
  <c r="C321" i="7"/>
  <c r="C320" i="7"/>
  <c r="C319" i="7"/>
  <c r="C318" i="7"/>
  <c r="C317" i="7"/>
  <c r="C316" i="7"/>
  <c r="H33" i="6"/>
  <c r="I33" i="6" s="1"/>
  <c r="K33" i="6" s="1"/>
  <c r="C339" i="7"/>
  <c r="C338" i="7"/>
  <c r="C337" i="7"/>
  <c r="C336" i="7"/>
  <c r="C335" i="7"/>
  <c r="C334" i="7"/>
  <c r="C333" i="7"/>
  <c r="C332" i="7"/>
  <c r="C331" i="7"/>
  <c r="C330" i="7"/>
  <c r="C329" i="7"/>
  <c r="C328" i="7"/>
  <c r="H34" i="6"/>
  <c r="I34" i="6" s="1"/>
  <c r="K34" i="6" s="1"/>
  <c r="C351" i="7"/>
  <c r="C350" i="7"/>
  <c r="C349" i="7"/>
  <c r="C348" i="7"/>
  <c r="C347" i="7"/>
  <c r="C346" i="7"/>
  <c r="C345" i="7"/>
  <c r="C344" i="7"/>
  <c r="C343" i="7"/>
  <c r="C342" i="7"/>
  <c r="C341" i="7"/>
  <c r="C340" i="7"/>
  <c r="H35" i="6"/>
  <c r="I35" i="6" s="1"/>
  <c r="K35" i="6" s="1"/>
  <c r="C363" i="7"/>
  <c r="C362" i="7"/>
  <c r="C361" i="7"/>
  <c r="C360" i="7"/>
  <c r="C359" i="7"/>
  <c r="C358" i="7"/>
  <c r="C357" i="7"/>
  <c r="C356" i="7"/>
  <c r="C355" i="7"/>
  <c r="C354" i="7"/>
  <c r="C353" i="7"/>
  <c r="C352" i="7"/>
  <c r="H36" i="6"/>
  <c r="I36" i="6" s="1"/>
  <c r="K36" i="6" s="1"/>
  <c r="C375" i="7"/>
  <c r="C374" i="7"/>
  <c r="C373" i="7"/>
  <c r="C372" i="7"/>
  <c r="C371" i="7"/>
  <c r="C370" i="7"/>
  <c r="C369" i="7"/>
  <c r="C368" i="7"/>
  <c r="C367" i="7"/>
  <c r="C366" i="7"/>
  <c r="C365" i="7"/>
  <c r="C364" i="7"/>
  <c r="H37" i="6"/>
  <c r="I37" i="6" s="1"/>
  <c r="K37" i="6" s="1"/>
  <c r="C387" i="7"/>
  <c r="C386" i="7"/>
  <c r="C385" i="7"/>
  <c r="C384" i="7"/>
  <c r="C383" i="7"/>
  <c r="C382" i="7"/>
  <c r="C381" i="7"/>
  <c r="C380" i="7"/>
  <c r="C379" i="7"/>
  <c r="C378" i="7"/>
  <c r="C377" i="7"/>
  <c r="C376" i="7"/>
  <c r="H38" i="6"/>
  <c r="I38" i="6" s="1"/>
  <c r="K38" i="6" s="1"/>
  <c r="C399" i="7"/>
  <c r="C398" i="7"/>
  <c r="C397" i="7"/>
  <c r="C396" i="7"/>
  <c r="C395" i="7"/>
  <c r="C394" i="7"/>
  <c r="C393" i="7"/>
  <c r="C392" i="7"/>
  <c r="C391" i="7"/>
  <c r="C390" i="7"/>
  <c r="C389" i="7"/>
  <c r="C388" i="7"/>
  <c r="H39" i="6"/>
  <c r="I39" i="6" s="1"/>
  <c r="K39" i="6" s="1"/>
  <c r="C411" i="7"/>
  <c r="C410" i="7"/>
  <c r="C409" i="7"/>
  <c r="C408" i="7"/>
  <c r="C407" i="7"/>
  <c r="C406" i="7"/>
  <c r="C405" i="7"/>
  <c r="C404" i="7"/>
  <c r="C403" i="7"/>
  <c r="C402" i="7"/>
  <c r="C401" i="7"/>
  <c r="C400" i="7"/>
  <c r="H40" i="6"/>
  <c r="I40" i="6" s="1"/>
  <c r="K40" i="6" s="1"/>
  <c r="C423" i="7"/>
  <c r="C422" i="7"/>
  <c r="C421" i="7"/>
  <c r="C420" i="7"/>
  <c r="C419" i="7"/>
  <c r="C418" i="7"/>
  <c r="C417" i="7"/>
  <c r="C416" i="7"/>
  <c r="C415" i="7"/>
  <c r="C414" i="7"/>
  <c r="C413" i="7"/>
  <c r="C412" i="7"/>
  <c r="H41" i="6"/>
  <c r="I41" i="6" s="1"/>
  <c r="K41" i="6" s="1"/>
  <c r="C435" i="7"/>
  <c r="C434" i="7"/>
  <c r="C433" i="7"/>
  <c r="C432" i="7"/>
  <c r="C431" i="7"/>
  <c r="C430" i="7"/>
  <c r="C429" i="7"/>
  <c r="C428" i="7"/>
  <c r="C427" i="7"/>
  <c r="C426" i="7"/>
  <c r="C425" i="7"/>
  <c r="C424" i="7"/>
  <c r="H42" i="6"/>
  <c r="I42" i="6" s="1"/>
  <c r="K42" i="6" s="1"/>
  <c r="H43" i="6"/>
  <c r="I43" i="6" s="1"/>
  <c r="K43" i="6" s="1"/>
  <c r="Y43" i="6"/>
  <c r="Z43" i="6" s="1"/>
  <c r="H44" i="6"/>
  <c r="I44" i="6" s="1"/>
  <c r="K44" i="6" s="1"/>
  <c r="Y44" i="6"/>
  <c r="Z44" i="6" s="1"/>
  <c r="H45" i="6"/>
  <c r="I45" i="6" s="1"/>
  <c r="K45" i="6" s="1"/>
  <c r="Y45" i="6"/>
  <c r="Z45" i="6" s="1"/>
  <c r="H46" i="6"/>
  <c r="I46" i="6" s="1"/>
  <c r="K46" i="6" s="1"/>
  <c r="Y46" i="6"/>
  <c r="Z46" i="6" s="1"/>
  <c r="H47" i="6"/>
  <c r="I47" i="6" s="1"/>
  <c r="K47" i="6" s="1"/>
  <c r="Y47" i="6"/>
  <c r="Z47" i="6" s="1"/>
  <c r="H48" i="6"/>
  <c r="I48" i="6" s="1"/>
  <c r="K48" i="6" s="1"/>
  <c r="Y48" i="6"/>
  <c r="Z48" i="6" s="1"/>
  <c r="H49" i="6"/>
  <c r="I49" i="6" s="1"/>
  <c r="K49" i="6" s="1"/>
  <c r="Y49" i="6"/>
  <c r="Z49" i="6" s="1"/>
  <c r="H50" i="6"/>
  <c r="I50" i="6" s="1"/>
  <c r="K50" i="6" s="1"/>
  <c r="Y50" i="6"/>
  <c r="Z50" i="6" s="1"/>
  <c r="H51" i="6"/>
  <c r="I51" i="6" s="1"/>
  <c r="K51" i="6" s="1"/>
  <c r="Y51" i="6"/>
  <c r="Z51" i="6" s="1"/>
  <c r="H52" i="6"/>
  <c r="I52" i="6" s="1"/>
  <c r="K52" i="6" s="1"/>
  <c r="Y52" i="6"/>
  <c r="Z52" i="6" s="1"/>
  <c r="H53" i="6"/>
  <c r="I53" i="6" s="1"/>
  <c r="K53" i="6" s="1"/>
  <c r="Y53" i="6"/>
  <c r="Z53" i="6" s="1"/>
  <c r="H54" i="6"/>
  <c r="I54" i="6" s="1"/>
  <c r="K54" i="6" s="1"/>
  <c r="Y54" i="6"/>
  <c r="Z54" i="6" s="1"/>
  <c r="M15" i="7"/>
  <c r="I15" i="7"/>
  <c r="M27" i="7"/>
  <c r="I27" i="7"/>
  <c r="M39" i="7"/>
  <c r="I39" i="7"/>
  <c r="M51" i="7"/>
  <c r="I51" i="7"/>
  <c r="M63" i="7"/>
  <c r="I63" i="7"/>
  <c r="M75" i="7"/>
  <c r="I75" i="7"/>
  <c r="M87" i="7"/>
  <c r="I87" i="7"/>
  <c r="M99" i="7"/>
  <c r="I99" i="7"/>
  <c r="M111" i="7"/>
  <c r="I111" i="7"/>
  <c r="M123" i="7"/>
  <c r="I123" i="7"/>
  <c r="M135" i="7"/>
  <c r="I135" i="7"/>
  <c r="M147" i="7"/>
  <c r="I147" i="7"/>
  <c r="M159" i="7"/>
  <c r="I159" i="7"/>
  <c r="M171" i="7"/>
  <c r="I171" i="7"/>
  <c r="M183" i="7"/>
  <c r="I183" i="7"/>
  <c r="M195" i="7"/>
  <c r="I195" i="7"/>
  <c r="M207" i="7"/>
  <c r="I207" i="7"/>
  <c r="M219" i="7"/>
  <c r="I219" i="7"/>
  <c r="M231" i="7"/>
  <c r="I231" i="7"/>
  <c r="M243" i="7"/>
  <c r="I243" i="7"/>
  <c r="M255" i="7"/>
  <c r="I255" i="7"/>
  <c r="M267" i="7"/>
  <c r="I267" i="7"/>
  <c r="M279" i="7"/>
  <c r="I279" i="7"/>
  <c r="M291" i="7"/>
  <c r="I291" i="7"/>
  <c r="K292" i="7"/>
  <c r="K293" i="7"/>
  <c r="K294" i="7"/>
  <c r="K295" i="7"/>
  <c r="K296" i="7"/>
  <c r="K297" i="7"/>
  <c r="K298" i="7"/>
  <c r="K299" i="7"/>
  <c r="K300" i="7"/>
  <c r="K301" i="7"/>
  <c r="K302" i="7"/>
  <c r="M303" i="7"/>
  <c r="J303" i="7" s="1"/>
  <c r="I303" i="7"/>
  <c r="K303" i="7" s="1"/>
  <c r="K304" i="7"/>
  <c r="K305" i="7"/>
  <c r="K306" i="7"/>
  <c r="K307" i="7"/>
  <c r="K308" i="7"/>
  <c r="K309" i="7"/>
  <c r="K310" i="7"/>
  <c r="K311" i="7"/>
  <c r="K312" i="7"/>
  <c r="K313" i="7"/>
  <c r="K314" i="7"/>
  <c r="M315" i="7"/>
  <c r="J315" i="7" s="1"/>
  <c r="I315" i="7"/>
  <c r="K315" i="7" s="1"/>
  <c r="K316" i="7"/>
  <c r="K317" i="7"/>
  <c r="K318" i="7"/>
  <c r="K319" i="7"/>
  <c r="K320" i="7"/>
  <c r="K321" i="7"/>
  <c r="K322" i="7"/>
  <c r="K323" i="7"/>
  <c r="K324" i="7"/>
  <c r="K325" i="7"/>
  <c r="K326" i="7"/>
  <c r="M327" i="7"/>
  <c r="J327" i="7" s="1"/>
  <c r="I327" i="7"/>
  <c r="K327" i="7" s="1"/>
  <c r="K328" i="7"/>
  <c r="K329" i="7"/>
  <c r="K330" i="7"/>
  <c r="K331" i="7"/>
  <c r="K332" i="7"/>
  <c r="K333" i="7"/>
  <c r="K334" i="7"/>
  <c r="K335" i="7"/>
  <c r="K336" i="7"/>
  <c r="K337" i="7"/>
  <c r="K338" i="7"/>
  <c r="M339" i="7"/>
  <c r="J339" i="7" s="1"/>
  <c r="I339" i="7"/>
  <c r="K339" i="7" s="1"/>
  <c r="K340" i="7"/>
  <c r="K341" i="7"/>
  <c r="K342" i="7"/>
  <c r="K343" i="7"/>
  <c r="K344" i="7"/>
  <c r="K345" i="7"/>
  <c r="K346" i="7"/>
  <c r="K347" i="7"/>
  <c r="K348" i="7"/>
  <c r="K349" i="7"/>
  <c r="K350" i="7"/>
  <c r="M351" i="7"/>
  <c r="J351" i="7" s="1"/>
  <c r="I351" i="7"/>
  <c r="K351" i="7" s="1"/>
  <c r="K352" i="7"/>
  <c r="K353" i="7"/>
  <c r="K354" i="7"/>
  <c r="K355" i="7"/>
  <c r="K356" i="7"/>
  <c r="K357" i="7"/>
  <c r="K358" i="7"/>
  <c r="K359" i="7"/>
  <c r="K360" i="7"/>
  <c r="K361" i="7"/>
  <c r="K362" i="7"/>
  <c r="M363" i="7"/>
  <c r="J363" i="7" s="1"/>
  <c r="I363" i="7"/>
  <c r="K363" i="7" s="1"/>
  <c r="K364" i="7"/>
  <c r="K365" i="7"/>
  <c r="K366" i="7"/>
  <c r="K367" i="7"/>
  <c r="K368" i="7"/>
  <c r="K369" i="7"/>
  <c r="K370" i="7"/>
  <c r="K371" i="7"/>
  <c r="K372" i="7"/>
  <c r="K373" i="7"/>
  <c r="K374" i="7"/>
  <c r="M375" i="7"/>
  <c r="J375" i="7" s="1"/>
  <c r="I375" i="7"/>
  <c r="K375" i="7" s="1"/>
  <c r="K376" i="7"/>
  <c r="K377" i="7"/>
  <c r="K378" i="7"/>
  <c r="K379" i="7"/>
  <c r="K380" i="7"/>
  <c r="K381" i="7"/>
  <c r="K382" i="7"/>
  <c r="K383" i="7"/>
  <c r="K384" i="7"/>
  <c r="K385" i="7"/>
  <c r="K386" i="7"/>
  <c r="M387" i="7"/>
  <c r="J387" i="7" s="1"/>
  <c r="I387" i="7"/>
  <c r="K387" i="7" s="1"/>
  <c r="K388" i="7"/>
  <c r="K389" i="7"/>
  <c r="K390" i="7"/>
  <c r="K391" i="7"/>
  <c r="K392" i="7"/>
  <c r="K393" i="7"/>
  <c r="K394" i="7"/>
  <c r="K395" i="7"/>
  <c r="K396" i="7"/>
  <c r="K397" i="7"/>
  <c r="K398" i="7"/>
  <c r="M399" i="7"/>
  <c r="J399" i="7" s="1"/>
  <c r="I399" i="7"/>
  <c r="K399" i="7" s="1"/>
  <c r="K400" i="7"/>
  <c r="K401" i="7"/>
  <c r="K402" i="7"/>
  <c r="K403" i="7"/>
  <c r="K404" i="7"/>
  <c r="K405" i="7"/>
  <c r="K406" i="7"/>
  <c r="K407" i="7"/>
  <c r="K408" i="7"/>
  <c r="K409" i="7"/>
  <c r="K410" i="7"/>
  <c r="M411" i="7"/>
  <c r="J411" i="7" s="1"/>
  <c r="I411" i="7"/>
  <c r="K411" i="7" s="1"/>
  <c r="K412" i="7"/>
  <c r="K413" i="7"/>
  <c r="K414" i="7"/>
  <c r="K415" i="7"/>
  <c r="K416" i="7"/>
  <c r="K417" i="7"/>
  <c r="K418" i="7"/>
  <c r="K419" i="7"/>
  <c r="K420" i="7"/>
  <c r="K421" i="7"/>
  <c r="K422" i="7"/>
  <c r="M423" i="7"/>
  <c r="J423" i="7" s="1"/>
  <c r="I423" i="7"/>
  <c r="K423" i="7" s="1"/>
  <c r="K424" i="7"/>
  <c r="K425" i="7"/>
  <c r="K426" i="7"/>
  <c r="K427" i="7"/>
  <c r="K428" i="7"/>
  <c r="K429" i="7"/>
  <c r="K430" i="7"/>
  <c r="K431" i="7"/>
  <c r="K432" i="7"/>
  <c r="K433" i="7"/>
  <c r="K434" i="7"/>
  <c r="M435" i="7"/>
  <c r="J435" i="7" s="1"/>
  <c r="I435" i="7"/>
  <c r="K435" i="7" s="1"/>
  <c r="L424" i="7" l="1"/>
  <c r="G424" i="7"/>
  <c r="F424" i="7"/>
  <c r="L425" i="7"/>
  <c r="G425" i="7"/>
  <c r="L426" i="7"/>
  <c r="G426" i="7"/>
  <c r="L427" i="7"/>
  <c r="G427" i="7"/>
  <c r="L428" i="7"/>
  <c r="G428" i="7"/>
  <c r="L429" i="7"/>
  <c r="G429" i="7"/>
  <c r="L430" i="7"/>
  <c r="G430" i="7"/>
  <c r="L431" i="7"/>
  <c r="G431" i="7"/>
  <c r="L432" i="7"/>
  <c r="G432" i="7"/>
  <c r="L433" i="7"/>
  <c r="G433" i="7"/>
  <c r="L434" i="7"/>
  <c r="G434" i="7"/>
  <c r="L435" i="7"/>
  <c r="G435" i="7"/>
  <c r="L412" i="7"/>
  <c r="G412" i="7"/>
  <c r="F412" i="7"/>
  <c r="L413" i="7"/>
  <c r="G413" i="7"/>
  <c r="L414" i="7"/>
  <c r="G414" i="7"/>
  <c r="L415" i="7"/>
  <c r="G415" i="7"/>
  <c r="L416" i="7"/>
  <c r="G416" i="7"/>
  <c r="L417" i="7"/>
  <c r="G417" i="7"/>
  <c r="L418" i="7"/>
  <c r="G418" i="7"/>
  <c r="L419" i="7"/>
  <c r="G419" i="7"/>
  <c r="L420" i="7"/>
  <c r="G420" i="7"/>
  <c r="L421" i="7"/>
  <c r="G421" i="7"/>
  <c r="L422" i="7"/>
  <c r="G422" i="7"/>
  <c r="L423" i="7"/>
  <c r="G423" i="7"/>
  <c r="L400" i="7"/>
  <c r="G400" i="7"/>
  <c r="F400" i="7"/>
  <c r="L401" i="7"/>
  <c r="G401" i="7"/>
  <c r="L402" i="7"/>
  <c r="G402" i="7"/>
  <c r="L403" i="7"/>
  <c r="G403" i="7"/>
  <c r="L404" i="7"/>
  <c r="G404" i="7"/>
  <c r="L405" i="7"/>
  <c r="G405" i="7"/>
  <c r="L406" i="7"/>
  <c r="G406" i="7"/>
  <c r="L407" i="7"/>
  <c r="G407" i="7"/>
  <c r="L408" i="7"/>
  <c r="G408" i="7"/>
  <c r="L409" i="7"/>
  <c r="G409" i="7"/>
  <c r="L410" i="7"/>
  <c r="G410" i="7"/>
  <c r="L411" i="7"/>
  <c r="G411" i="7"/>
  <c r="L388" i="7"/>
  <c r="G388" i="7"/>
  <c r="F388" i="7"/>
  <c r="L389" i="7"/>
  <c r="G389" i="7"/>
  <c r="L390" i="7"/>
  <c r="G390" i="7"/>
  <c r="L391" i="7"/>
  <c r="G391" i="7"/>
  <c r="L392" i="7"/>
  <c r="G392" i="7"/>
  <c r="L393" i="7"/>
  <c r="G393" i="7"/>
  <c r="L394" i="7"/>
  <c r="G394" i="7"/>
  <c r="L395" i="7"/>
  <c r="G395" i="7"/>
  <c r="L396" i="7"/>
  <c r="G396" i="7"/>
  <c r="L397" i="7"/>
  <c r="G397" i="7"/>
  <c r="L398" i="7"/>
  <c r="G398" i="7"/>
  <c r="L399" i="7"/>
  <c r="G399" i="7"/>
  <c r="L376" i="7"/>
  <c r="G376" i="7"/>
  <c r="F376" i="7"/>
  <c r="L377" i="7"/>
  <c r="G377" i="7"/>
  <c r="L378" i="7"/>
  <c r="G378" i="7"/>
  <c r="L379" i="7"/>
  <c r="G379" i="7"/>
  <c r="L380" i="7"/>
  <c r="G380" i="7"/>
  <c r="L381" i="7"/>
  <c r="G381" i="7"/>
  <c r="L382" i="7"/>
  <c r="G382" i="7"/>
  <c r="L383" i="7"/>
  <c r="G383" i="7"/>
  <c r="L384" i="7"/>
  <c r="G384" i="7"/>
  <c r="L385" i="7"/>
  <c r="G385" i="7"/>
  <c r="L386" i="7"/>
  <c r="G386" i="7"/>
  <c r="L387" i="7"/>
  <c r="G387" i="7"/>
  <c r="L364" i="7"/>
  <c r="G364" i="7"/>
  <c r="F364" i="7"/>
  <c r="L365" i="7"/>
  <c r="G365" i="7"/>
  <c r="L366" i="7"/>
  <c r="G366" i="7"/>
  <c r="L367" i="7"/>
  <c r="G367" i="7"/>
  <c r="L368" i="7"/>
  <c r="G368" i="7"/>
  <c r="L369" i="7"/>
  <c r="G369" i="7"/>
  <c r="L370" i="7"/>
  <c r="G370" i="7"/>
  <c r="L371" i="7"/>
  <c r="G371" i="7"/>
  <c r="L372" i="7"/>
  <c r="G372" i="7"/>
  <c r="L373" i="7"/>
  <c r="G373" i="7"/>
  <c r="L374" i="7"/>
  <c r="G374" i="7"/>
  <c r="L375" i="7"/>
  <c r="G375" i="7"/>
  <c r="L352" i="7"/>
  <c r="G352" i="7"/>
  <c r="F352" i="7"/>
  <c r="L353" i="7"/>
  <c r="G353" i="7"/>
  <c r="L354" i="7"/>
  <c r="G354" i="7"/>
  <c r="L355" i="7"/>
  <c r="G355" i="7"/>
  <c r="L356" i="7"/>
  <c r="G356" i="7"/>
  <c r="L357" i="7"/>
  <c r="G357" i="7"/>
  <c r="L358" i="7"/>
  <c r="G358" i="7"/>
  <c r="L359" i="7"/>
  <c r="G359" i="7"/>
  <c r="L360" i="7"/>
  <c r="G360" i="7"/>
  <c r="L361" i="7"/>
  <c r="G361" i="7"/>
  <c r="L362" i="7"/>
  <c r="G362" i="7"/>
  <c r="L363" i="7"/>
  <c r="G363" i="7"/>
  <c r="L340" i="7"/>
  <c r="G340" i="7"/>
  <c r="F340" i="7"/>
  <c r="L341" i="7"/>
  <c r="G341" i="7"/>
  <c r="L342" i="7"/>
  <c r="G342" i="7"/>
  <c r="L343" i="7"/>
  <c r="G343" i="7"/>
  <c r="L344" i="7"/>
  <c r="G344" i="7"/>
  <c r="L345" i="7"/>
  <c r="G345" i="7"/>
  <c r="L346" i="7"/>
  <c r="G346" i="7"/>
  <c r="L347" i="7"/>
  <c r="G347" i="7"/>
  <c r="L348" i="7"/>
  <c r="G348" i="7"/>
  <c r="L349" i="7"/>
  <c r="G349" i="7"/>
  <c r="L350" i="7"/>
  <c r="G350" i="7"/>
  <c r="L351" i="7"/>
  <c r="G351" i="7"/>
  <c r="L328" i="7"/>
  <c r="G328" i="7"/>
  <c r="F328" i="7"/>
  <c r="L329" i="7"/>
  <c r="G329" i="7"/>
  <c r="L330" i="7"/>
  <c r="G330" i="7"/>
  <c r="L331" i="7"/>
  <c r="G331" i="7"/>
  <c r="L332" i="7"/>
  <c r="G332" i="7"/>
  <c r="L333" i="7"/>
  <c r="G333" i="7"/>
  <c r="L334" i="7"/>
  <c r="G334" i="7"/>
  <c r="L335" i="7"/>
  <c r="G335" i="7"/>
  <c r="L336" i="7"/>
  <c r="G336" i="7"/>
  <c r="L337" i="7"/>
  <c r="G337" i="7"/>
  <c r="L338" i="7"/>
  <c r="G338" i="7"/>
  <c r="L339" i="7"/>
  <c r="G339" i="7"/>
  <c r="L316" i="7"/>
  <c r="G316" i="7"/>
  <c r="F316" i="7"/>
  <c r="L317" i="7"/>
  <c r="G317" i="7"/>
  <c r="L318" i="7"/>
  <c r="G318" i="7"/>
  <c r="L319" i="7"/>
  <c r="G319" i="7"/>
  <c r="L320" i="7"/>
  <c r="G320" i="7"/>
  <c r="L321" i="7"/>
  <c r="G321" i="7"/>
  <c r="L322" i="7"/>
  <c r="G322" i="7"/>
  <c r="L323" i="7"/>
  <c r="G323" i="7"/>
  <c r="L324" i="7"/>
  <c r="G324" i="7"/>
  <c r="L325" i="7"/>
  <c r="G325" i="7"/>
  <c r="L326" i="7"/>
  <c r="G326" i="7"/>
  <c r="L327" i="7"/>
  <c r="G327" i="7"/>
  <c r="L304" i="7"/>
  <c r="G304" i="7"/>
  <c r="F304" i="7"/>
  <c r="L305" i="7"/>
  <c r="G305" i="7"/>
  <c r="L306" i="7"/>
  <c r="G306" i="7"/>
  <c r="L307" i="7"/>
  <c r="G307" i="7"/>
  <c r="L308" i="7"/>
  <c r="G308" i="7"/>
  <c r="L309" i="7"/>
  <c r="G309" i="7"/>
  <c r="L310" i="7"/>
  <c r="G310" i="7"/>
  <c r="L311" i="7"/>
  <c r="G311" i="7"/>
  <c r="L312" i="7"/>
  <c r="G312" i="7"/>
  <c r="L313" i="7"/>
  <c r="G313" i="7"/>
  <c r="L314" i="7"/>
  <c r="G314" i="7"/>
  <c r="L315" i="7"/>
  <c r="G315" i="7"/>
  <c r="L292" i="7"/>
  <c r="G292" i="7"/>
  <c r="F292" i="7"/>
  <c r="L293" i="7"/>
  <c r="G293" i="7"/>
  <c r="L294" i="7"/>
  <c r="G294" i="7"/>
  <c r="L295" i="7"/>
  <c r="G295" i="7"/>
  <c r="L296" i="7"/>
  <c r="G296" i="7"/>
  <c r="L297" i="7"/>
  <c r="G297" i="7"/>
  <c r="L298" i="7"/>
  <c r="G298" i="7"/>
  <c r="L299" i="7"/>
  <c r="G299" i="7"/>
  <c r="L300" i="7"/>
  <c r="G300" i="7"/>
  <c r="L301" i="7"/>
  <c r="G301" i="7"/>
  <c r="L302" i="7"/>
  <c r="G302" i="7"/>
  <c r="L303" i="7"/>
  <c r="G303" i="7"/>
  <c r="L280" i="7"/>
  <c r="G280" i="7"/>
  <c r="F280" i="7"/>
  <c r="L281" i="7"/>
  <c r="G281" i="7"/>
  <c r="L282" i="7"/>
  <c r="G282" i="7"/>
  <c r="L283" i="7"/>
  <c r="G283" i="7"/>
  <c r="L284" i="7"/>
  <c r="G284" i="7"/>
  <c r="L285" i="7"/>
  <c r="G285" i="7"/>
  <c r="L286" i="7"/>
  <c r="G286" i="7"/>
  <c r="L287" i="7"/>
  <c r="G287" i="7"/>
  <c r="L288" i="7"/>
  <c r="G288" i="7"/>
  <c r="L289" i="7"/>
  <c r="G289" i="7"/>
  <c r="L290" i="7"/>
  <c r="G290" i="7"/>
  <c r="L291" i="7"/>
  <c r="G291" i="7"/>
  <c r="L268" i="7"/>
  <c r="G268" i="7"/>
  <c r="F268" i="7"/>
  <c r="L269" i="7"/>
  <c r="G269" i="7"/>
  <c r="L270" i="7"/>
  <c r="G270" i="7"/>
  <c r="L271" i="7"/>
  <c r="G271" i="7"/>
  <c r="L272" i="7"/>
  <c r="G272" i="7"/>
  <c r="L273" i="7"/>
  <c r="G273" i="7"/>
  <c r="L274" i="7"/>
  <c r="G274" i="7"/>
  <c r="L275" i="7"/>
  <c r="G275" i="7"/>
  <c r="L276" i="7"/>
  <c r="G276" i="7"/>
  <c r="L277" i="7"/>
  <c r="G277" i="7"/>
  <c r="L278" i="7"/>
  <c r="G278" i="7"/>
  <c r="L279" i="7"/>
  <c r="G279" i="7"/>
  <c r="L256" i="7"/>
  <c r="G256" i="7"/>
  <c r="F256" i="7"/>
  <c r="L257" i="7"/>
  <c r="G257" i="7"/>
  <c r="L258" i="7"/>
  <c r="G258" i="7"/>
  <c r="L259" i="7"/>
  <c r="G259" i="7"/>
  <c r="L260" i="7"/>
  <c r="G260" i="7"/>
  <c r="L261" i="7"/>
  <c r="G261" i="7"/>
  <c r="L262" i="7"/>
  <c r="G262" i="7"/>
  <c r="L263" i="7"/>
  <c r="G263" i="7"/>
  <c r="L264" i="7"/>
  <c r="G264" i="7"/>
  <c r="L265" i="7"/>
  <c r="G265" i="7"/>
  <c r="L266" i="7"/>
  <c r="G266" i="7"/>
  <c r="L267" i="7"/>
  <c r="G267" i="7"/>
  <c r="L244" i="7"/>
  <c r="G244" i="7"/>
  <c r="F244" i="7"/>
  <c r="L245" i="7"/>
  <c r="G245" i="7"/>
  <c r="L246" i="7"/>
  <c r="G246" i="7"/>
  <c r="L247" i="7"/>
  <c r="G247" i="7"/>
  <c r="L248" i="7"/>
  <c r="G248" i="7"/>
  <c r="L249" i="7"/>
  <c r="G249" i="7"/>
  <c r="L250" i="7"/>
  <c r="G250" i="7"/>
  <c r="L251" i="7"/>
  <c r="G251" i="7"/>
  <c r="L252" i="7"/>
  <c r="G252" i="7"/>
  <c r="L253" i="7"/>
  <c r="G253" i="7"/>
  <c r="L254" i="7"/>
  <c r="G254" i="7"/>
  <c r="L255" i="7"/>
  <c r="G255" i="7"/>
  <c r="L232" i="7"/>
  <c r="G232" i="7"/>
  <c r="F232" i="7"/>
  <c r="L233" i="7"/>
  <c r="G233" i="7"/>
  <c r="L234" i="7"/>
  <c r="G234" i="7"/>
  <c r="L235" i="7"/>
  <c r="G235" i="7"/>
  <c r="L236" i="7"/>
  <c r="G236" i="7"/>
  <c r="L237" i="7"/>
  <c r="G237" i="7"/>
  <c r="L238" i="7"/>
  <c r="G238" i="7"/>
  <c r="L239" i="7"/>
  <c r="G239" i="7"/>
  <c r="L240" i="7"/>
  <c r="G240" i="7"/>
  <c r="L241" i="7"/>
  <c r="G241" i="7"/>
  <c r="L242" i="7"/>
  <c r="G242" i="7"/>
  <c r="L243" i="7"/>
  <c r="G243" i="7"/>
  <c r="L220" i="7"/>
  <c r="G220" i="7"/>
  <c r="F220" i="7"/>
  <c r="L221" i="7"/>
  <c r="G221" i="7"/>
  <c r="L222" i="7"/>
  <c r="G222" i="7"/>
  <c r="L223" i="7"/>
  <c r="G223" i="7"/>
  <c r="L224" i="7"/>
  <c r="G224" i="7"/>
  <c r="L225" i="7"/>
  <c r="G225" i="7"/>
  <c r="L226" i="7"/>
  <c r="G226" i="7"/>
  <c r="L227" i="7"/>
  <c r="G227" i="7"/>
  <c r="L228" i="7"/>
  <c r="G228" i="7"/>
  <c r="L229" i="7"/>
  <c r="G229" i="7"/>
  <c r="L230" i="7"/>
  <c r="G230" i="7"/>
  <c r="L231" i="7"/>
  <c r="G231" i="7"/>
  <c r="L208" i="7"/>
  <c r="G208" i="7"/>
  <c r="F208" i="7"/>
  <c r="L209" i="7"/>
  <c r="G209" i="7"/>
  <c r="L210" i="7"/>
  <c r="G210" i="7"/>
  <c r="L211" i="7"/>
  <c r="G211" i="7"/>
  <c r="L212" i="7"/>
  <c r="G212" i="7"/>
  <c r="L213" i="7"/>
  <c r="G213" i="7"/>
  <c r="L214" i="7"/>
  <c r="G214" i="7"/>
  <c r="L215" i="7"/>
  <c r="G215" i="7"/>
  <c r="L216" i="7"/>
  <c r="G216" i="7"/>
  <c r="L217" i="7"/>
  <c r="G217" i="7"/>
  <c r="L218" i="7"/>
  <c r="G218" i="7"/>
  <c r="L219" i="7"/>
  <c r="G219" i="7"/>
  <c r="L196" i="7"/>
  <c r="G196" i="7"/>
  <c r="F196" i="7"/>
  <c r="L197" i="7"/>
  <c r="G197" i="7"/>
  <c r="L198" i="7"/>
  <c r="G198" i="7"/>
  <c r="L199" i="7"/>
  <c r="G199" i="7"/>
  <c r="L200" i="7"/>
  <c r="G200" i="7"/>
  <c r="L201" i="7"/>
  <c r="G201" i="7"/>
  <c r="L202" i="7"/>
  <c r="G202" i="7"/>
  <c r="L203" i="7"/>
  <c r="G203" i="7"/>
  <c r="L204" i="7"/>
  <c r="G204" i="7"/>
  <c r="L205" i="7"/>
  <c r="G205" i="7"/>
  <c r="L206" i="7"/>
  <c r="G206" i="7"/>
  <c r="L207" i="7"/>
  <c r="G207" i="7"/>
  <c r="L184" i="7"/>
  <c r="G184" i="7"/>
  <c r="F184" i="7"/>
  <c r="L185" i="7"/>
  <c r="G185" i="7"/>
  <c r="L186" i="7"/>
  <c r="G186" i="7"/>
  <c r="L187" i="7"/>
  <c r="G187" i="7"/>
  <c r="L188" i="7"/>
  <c r="G188" i="7"/>
  <c r="L189" i="7"/>
  <c r="G189" i="7"/>
  <c r="L190" i="7"/>
  <c r="G190" i="7"/>
  <c r="L191" i="7"/>
  <c r="G191" i="7"/>
  <c r="L192" i="7"/>
  <c r="G192" i="7"/>
  <c r="L193" i="7"/>
  <c r="G193" i="7"/>
  <c r="L194" i="7"/>
  <c r="G194" i="7"/>
  <c r="L195" i="7"/>
  <c r="G195" i="7"/>
  <c r="L172" i="7"/>
  <c r="G172" i="7"/>
  <c r="F172" i="7"/>
  <c r="L173" i="7"/>
  <c r="G173" i="7"/>
  <c r="L174" i="7"/>
  <c r="G174" i="7"/>
  <c r="L175" i="7"/>
  <c r="G175" i="7"/>
  <c r="L176" i="7"/>
  <c r="G176" i="7"/>
  <c r="L177" i="7"/>
  <c r="G177" i="7"/>
  <c r="L178" i="7"/>
  <c r="G178" i="7"/>
  <c r="L179" i="7"/>
  <c r="G179" i="7"/>
  <c r="L180" i="7"/>
  <c r="G180" i="7"/>
  <c r="L181" i="7"/>
  <c r="G181" i="7"/>
  <c r="L182" i="7"/>
  <c r="G182" i="7"/>
  <c r="L183" i="7"/>
  <c r="G183" i="7"/>
  <c r="L160" i="7"/>
  <c r="G160" i="7"/>
  <c r="F160" i="7"/>
  <c r="L161" i="7"/>
  <c r="G161" i="7"/>
  <c r="L162" i="7"/>
  <c r="G162" i="7"/>
  <c r="L163" i="7"/>
  <c r="G163" i="7"/>
  <c r="L164" i="7"/>
  <c r="G164" i="7"/>
  <c r="L165" i="7"/>
  <c r="G165" i="7"/>
  <c r="L166" i="7"/>
  <c r="G166" i="7"/>
  <c r="L167" i="7"/>
  <c r="G167" i="7"/>
  <c r="L168" i="7"/>
  <c r="G168" i="7"/>
  <c r="L169" i="7"/>
  <c r="G169" i="7"/>
  <c r="L170" i="7"/>
  <c r="G170" i="7"/>
  <c r="L171" i="7"/>
  <c r="G171" i="7"/>
  <c r="L148" i="7"/>
  <c r="G148" i="7"/>
  <c r="F148" i="7"/>
  <c r="L149" i="7"/>
  <c r="G149" i="7"/>
  <c r="L150" i="7"/>
  <c r="G150" i="7"/>
  <c r="L151" i="7"/>
  <c r="G151" i="7"/>
  <c r="L152" i="7"/>
  <c r="G152" i="7"/>
  <c r="L153" i="7"/>
  <c r="G153" i="7"/>
  <c r="L154" i="7"/>
  <c r="G154" i="7"/>
  <c r="L155" i="7"/>
  <c r="G155" i="7"/>
  <c r="L156" i="7"/>
  <c r="G156" i="7"/>
  <c r="L157" i="7"/>
  <c r="G157" i="7"/>
  <c r="L158" i="7"/>
  <c r="G158" i="7"/>
  <c r="L159" i="7"/>
  <c r="G159" i="7"/>
  <c r="L136" i="7"/>
  <c r="G136" i="7"/>
  <c r="F136" i="7"/>
  <c r="L137" i="7"/>
  <c r="G137" i="7"/>
  <c r="L138" i="7"/>
  <c r="G138" i="7"/>
  <c r="L139" i="7"/>
  <c r="G139" i="7"/>
  <c r="L140" i="7"/>
  <c r="G140" i="7"/>
  <c r="L141" i="7"/>
  <c r="G141" i="7"/>
  <c r="L142" i="7"/>
  <c r="G142" i="7"/>
  <c r="L143" i="7"/>
  <c r="G143" i="7"/>
  <c r="L144" i="7"/>
  <c r="G144" i="7"/>
  <c r="L145" i="7"/>
  <c r="G145" i="7"/>
  <c r="L146" i="7"/>
  <c r="G146" i="7"/>
  <c r="L147" i="7"/>
  <c r="G147" i="7"/>
  <c r="L124" i="7"/>
  <c r="G124" i="7"/>
  <c r="F124" i="7"/>
  <c r="L125" i="7"/>
  <c r="G125" i="7"/>
  <c r="L126" i="7"/>
  <c r="G126" i="7"/>
  <c r="L127" i="7"/>
  <c r="G127" i="7"/>
  <c r="L128" i="7"/>
  <c r="G128" i="7"/>
  <c r="L129" i="7"/>
  <c r="G129" i="7"/>
  <c r="L130" i="7"/>
  <c r="G130" i="7"/>
  <c r="L131" i="7"/>
  <c r="G131" i="7"/>
  <c r="L132" i="7"/>
  <c r="G132" i="7"/>
  <c r="L133" i="7"/>
  <c r="G133" i="7"/>
  <c r="L134" i="7"/>
  <c r="G134" i="7"/>
  <c r="L135" i="7"/>
  <c r="G135" i="7"/>
  <c r="L112" i="7"/>
  <c r="G112" i="7"/>
  <c r="F112" i="7"/>
  <c r="L113" i="7"/>
  <c r="G113" i="7"/>
  <c r="L114" i="7"/>
  <c r="G114" i="7"/>
  <c r="L115" i="7"/>
  <c r="G115" i="7"/>
  <c r="L116" i="7"/>
  <c r="G116" i="7"/>
  <c r="L117" i="7"/>
  <c r="G117" i="7"/>
  <c r="L118" i="7"/>
  <c r="G118" i="7"/>
  <c r="L119" i="7"/>
  <c r="G119" i="7"/>
  <c r="L120" i="7"/>
  <c r="G120" i="7"/>
  <c r="L121" i="7"/>
  <c r="G121" i="7"/>
  <c r="L122" i="7"/>
  <c r="G122" i="7"/>
  <c r="L123" i="7"/>
  <c r="G123" i="7"/>
  <c r="L100" i="7"/>
  <c r="G100" i="7"/>
  <c r="F100" i="7"/>
  <c r="L101" i="7"/>
  <c r="G101" i="7"/>
  <c r="L102" i="7"/>
  <c r="G102" i="7"/>
  <c r="L103" i="7"/>
  <c r="G103" i="7"/>
  <c r="L104" i="7"/>
  <c r="G104" i="7"/>
  <c r="L105" i="7"/>
  <c r="G105" i="7"/>
  <c r="L106" i="7"/>
  <c r="G106" i="7"/>
  <c r="L107" i="7"/>
  <c r="G107" i="7"/>
  <c r="L108" i="7"/>
  <c r="G108" i="7"/>
  <c r="L109" i="7"/>
  <c r="G109" i="7"/>
  <c r="L110" i="7"/>
  <c r="G110" i="7"/>
  <c r="L111" i="7"/>
  <c r="G111" i="7"/>
  <c r="L88" i="7"/>
  <c r="G88" i="7"/>
  <c r="F88" i="7"/>
  <c r="L89" i="7"/>
  <c r="G89" i="7"/>
  <c r="L90" i="7"/>
  <c r="G90" i="7"/>
  <c r="L91" i="7"/>
  <c r="G91" i="7"/>
  <c r="L92" i="7"/>
  <c r="G92" i="7"/>
  <c r="L93" i="7"/>
  <c r="G93" i="7"/>
  <c r="L94" i="7"/>
  <c r="G94" i="7"/>
  <c r="L95" i="7"/>
  <c r="G95" i="7"/>
  <c r="L96" i="7"/>
  <c r="G96" i="7"/>
  <c r="L97" i="7"/>
  <c r="G97" i="7"/>
  <c r="L98" i="7"/>
  <c r="G98" i="7"/>
  <c r="L99" i="7"/>
  <c r="G99" i="7"/>
  <c r="L76" i="7"/>
  <c r="G76" i="7"/>
  <c r="F76" i="7"/>
  <c r="L77" i="7"/>
  <c r="G77" i="7"/>
  <c r="L78" i="7"/>
  <c r="G78" i="7"/>
  <c r="L79" i="7"/>
  <c r="G79" i="7"/>
  <c r="L80" i="7"/>
  <c r="G80" i="7"/>
  <c r="L81" i="7"/>
  <c r="G81" i="7"/>
  <c r="L82" i="7"/>
  <c r="G82" i="7"/>
  <c r="L83" i="7"/>
  <c r="G83" i="7"/>
  <c r="L84" i="7"/>
  <c r="G84" i="7"/>
  <c r="L85" i="7"/>
  <c r="G85" i="7"/>
  <c r="L86" i="7"/>
  <c r="G86" i="7"/>
  <c r="L87" i="7"/>
  <c r="G87" i="7"/>
  <c r="L64" i="7"/>
  <c r="G64" i="7"/>
  <c r="F64" i="7"/>
  <c r="L65" i="7"/>
  <c r="G65" i="7"/>
  <c r="L66" i="7"/>
  <c r="G66" i="7"/>
  <c r="L67" i="7"/>
  <c r="G67" i="7"/>
  <c r="L68" i="7"/>
  <c r="G68" i="7"/>
  <c r="L69" i="7"/>
  <c r="G69" i="7"/>
  <c r="L70" i="7"/>
  <c r="G70" i="7"/>
  <c r="L71" i="7"/>
  <c r="G71" i="7"/>
  <c r="L72" i="7"/>
  <c r="G72" i="7"/>
  <c r="L73" i="7"/>
  <c r="G73" i="7"/>
  <c r="L74" i="7"/>
  <c r="G74" i="7"/>
  <c r="L75" i="7"/>
  <c r="G75" i="7"/>
  <c r="L52" i="7"/>
  <c r="G52" i="7"/>
  <c r="F52" i="7"/>
  <c r="L53" i="7"/>
  <c r="G53" i="7"/>
  <c r="L54" i="7"/>
  <c r="G54" i="7"/>
  <c r="L55" i="7"/>
  <c r="G55" i="7"/>
  <c r="L56" i="7"/>
  <c r="G56" i="7"/>
  <c r="L57" i="7"/>
  <c r="G57" i="7"/>
  <c r="L58" i="7"/>
  <c r="G58" i="7"/>
  <c r="L59" i="7"/>
  <c r="G59" i="7"/>
  <c r="L60" i="7"/>
  <c r="G60" i="7"/>
  <c r="L61" i="7"/>
  <c r="G61" i="7"/>
  <c r="L62" i="7"/>
  <c r="G62" i="7"/>
  <c r="L63" i="7"/>
  <c r="G63" i="7"/>
  <c r="L40" i="7"/>
  <c r="G40" i="7"/>
  <c r="F40" i="7"/>
  <c r="L41" i="7"/>
  <c r="G41" i="7"/>
  <c r="L42" i="7"/>
  <c r="G42" i="7"/>
  <c r="L43" i="7"/>
  <c r="G43" i="7"/>
  <c r="L44" i="7"/>
  <c r="G44" i="7"/>
  <c r="L45" i="7"/>
  <c r="G45" i="7"/>
  <c r="L46" i="7"/>
  <c r="G46" i="7"/>
  <c r="L47" i="7"/>
  <c r="G47" i="7"/>
  <c r="L48" i="7"/>
  <c r="G48" i="7"/>
  <c r="L49" i="7"/>
  <c r="G49" i="7"/>
  <c r="L50" i="7"/>
  <c r="G50" i="7"/>
  <c r="L51" i="7"/>
  <c r="G51" i="7"/>
  <c r="L28" i="7"/>
  <c r="G28" i="7"/>
  <c r="F28" i="7"/>
  <c r="L29" i="7"/>
  <c r="G29" i="7"/>
  <c r="L30" i="7"/>
  <c r="G30" i="7"/>
  <c r="L31" i="7"/>
  <c r="G31" i="7"/>
  <c r="L32" i="7"/>
  <c r="G32" i="7"/>
  <c r="L33" i="7"/>
  <c r="G33" i="7"/>
  <c r="L34" i="7"/>
  <c r="G34" i="7"/>
  <c r="L35" i="7"/>
  <c r="G35" i="7"/>
  <c r="L36" i="7"/>
  <c r="G36" i="7"/>
  <c r="L37" i="7"/>
  <c r="G37" i="7"/>
  <c r="L38" i="7"/>
  <c r="G38" i="7"/>
  <c r="L39" i="7"/>
  <c r="G39" i="7"/>
  <c r="L16" i="7"/>
  <c r="G16" i="7"/>
  <c r="F16" i="7"/>
  <c r="L17" i="7"/>
  <c r="G17" i="7"/>
  <c r="L18" i="7"/>
  <c r="G18" i="7"/>
  <c r="L19" i="7"/>
  <c r="G19" i="7"/>
  <c r="L20" i="7"/>
  <c r="G20" i="7"/>
  <c r="L21" i="7"/>
  <c r="G21" i="7"/>
  <c r="L22" i="7"/>
  <c r="G22" i="7"/>
  <c r="L23" i="7"/>
  <c r="G23" i="7"/>
  <c r="L24" i="7"/>
  <c r="G24" i="7"/>
  <c r="L25" i="7"/>
  <c r="G25" i="7"/>
  <c r="L26" i="7"/>
  <c r="G26" i="7"/>
  <c r="L27" i="7"/>
  <c r="G27" i="7"/>
  <c r="L8" i="6"/>
  <c r="AD8" i="6" s="1"/>
  <c r="AE7" i="6"/>
  <c r="L4" i="7"/>
  <c r="G4" i="7"/>
  <c r="F4" i="7"/>
  <c r="L5" i="7"/>
  <c r="G5" i="7"/>
  <c r="L6" i="7"/>
  <c r="G6" i="7"/>
  <c r="L7" i="7"/>
  <c r="G7" i="7"/>
  <c r="L8" i="7"/>
  <c r="G8" i="7"/>
  <c r="L9" i="7"/>
  <c r="G9" i="7"/>
  <c r="L10" i="7"/>
  <c r="G10" i="7"/>
  <c r="L11" i="7"/>
  <c r="G11" i="7"/>
  <c r="L12" i="7"/>
  <c r="G12" i="7"/>
  <c r="L13" i="7"/>
  <c r="G13" i="7"/>
  <c r="L14" i="7"/>
  <c r="G14" i="7"/>
  <c r="L15" i="7"/>
  <c r="G15" i="7"/>
  <c r="F435" i="5"/>
  <c r="H435" i="5" s="1"/>
  <c r="F434" i="5"/>
  <c r="H434" i="5" s="1"/>
  <c r="F433" i="5"/>
  <c r="H433" i="5" s="1"/>
  <c r="F432" i="5"/>
  <c r="H432" i="5" s="1"/>
  <c r="F431" i="5"/>
  <c r="H431" i="5" s="1"/>
  <c r="F430" i="5"/>
  <c r="H430" i="5" s="1"/>
  <c r="F429" i="5"/>
  <c r="H429" i="5" s="1"/>
  <c r="F428" i="5"/>
  <c r="H428" i="5" s="1"/>
  <c r="F427" i="5"/>
  <c r="H427" i="5" s="1"/>
  <c r="F426" i="5"/>
  <c r="H426" i="5" s="1"/>
  <c r="F425" i="5"/>
  <c r="H425" i="5" s="1"/>
  <c r="H424" i="5"/>
  <c r="F423" i="5"/>
  <c r="H423" i="5" s="1"/>
  <c r="F422" i="5"/>
  <c r="H422" i="5" s="1"/>
  <c r="F421" i="5"/>
  <c r="H421" i="5" s="1"/>
  <c r="F420" i="5"/>
  <c r="H420" i="5" s="1"/>
  <c r="F419" i="5"/>
  <c r="H419" i="5" s="1"/>
  <c r="F418" i="5"/>
  <c r="H418" i="5" s="1"/>
  <c r="F417" i="5"/>
  <c r="H417" i="5" s="1"/>
  <c r="F416" i="5"/>
  <c r="H416" i="5" s="1"/>
  <c r="F415" i="5"/>
  <c r="H415" i="5" s="1"/>
  <c r="F414" i="5"/>
  <c r="H414" i="5" s="1"/>
  <c r="F413" i="5"/>
  <c r="H413" i="5" s="1"/>
  <c r="H412" i="5"/>
  <c r="F411" i="5"/>
  <c r="H411" i="5" s="1"/>
  <c r="F410" i="5"/>
  <c r="H410" i="5" s="1"/>
  <c r="F409" i="5"/>
  <c r="H409" i="5" s="1"/>
  <c r="F408" i="5"/>
  <c r="H408" i="5" s="1"/>
  <c r="F407" i="5"/>
  <c r="H407" i="5" s="1"/>
  <c r="F406" i="5"/>
  <c r="H406" i="5" s="1"/>
  <c r="F405" i="5"/>
  <c r="H405" i="5" s="1"/>
  <c r="F404" i="5"/>
  <c r="H404" i="5" s="1"/>
  <c r="F403" i="5"/>
  <c r="H403" i="5" s="1"/>
  <c r="F402" i="5"/>
  <c r="H402" i="5" s="1"/>
  <c r="F401" i="5"/>
  <c r="H401" i="5" s="1"/>
  <c r="H400" i="5"/>
  <c r="F399" i="5"/>
  <c r="H399" i="5" s="1"/>
  <c r="F398" i="5"/>
  <c r="H398" i="5" s="1"/>
  <c r="F397" i="5"/>
  <c r="H397" i="5" s="1"/>
  <c r="F396" i="5"/>
  <c r="H396" i="5" s="1"/>
  <c r="F395" i="5"/>
  <c r="H395" i="5" s="1"/>
  <c r="F394" i="5"/>
  <c r="H394" i="5" s="1"/>
  <c r="F393" i="5"/>
  <c r="H393" i="5" s="1"/>
  <c r="F392" i="5"/>
  <c r="H392" i="5" s="1"/>
  <c r="F391" i="5"/>
  <c r="H391" i="5" s="1"/>
  <c r="F390" i="5"/>
  <c r="H390" i="5" s="1"/>
  <c r="F389" i="5"/>
  <c r="H389" i="5" s="1"/>
  <c r="H388" i="5"/>
  <c r="F387" i="5"/>
  <c r="H387" i="5" s="1"/>
  <c r="F386" i="5"/>
  <c r="H386" i="5" s="1"/>
  <c r="F385" i="5"/>
  <c r="H385" i="5" s="1"/>
  <c r="F384" i="5"/>
  <c r="H384" i="5" s="1"/>
  <c r="F383" i="5"/>
  <c r="H383" i="5" s="1"/>
  <c r="F382" i="5"/>
  <c r="H382" i="5" s="1"/>
  <c r="F381" i="5"/>
  <c r="H381" i="5" s="1"/>
  <c r="F380" i="5"/>
  <c r="H380" i="5" s="1"/>
  <c r="F379" i="5"/>
  <c r="H379" i="5" s="1"/>
  <c r="F378" i="5"/>
  <c r="H378" i="5" s="1"/>
  <c r="F377" i="5"/>
  <c r="H377" i="5" s="1"/>
  <c r="H376" i="5"/>
  <c r="F375" i="5"/>
  <c r="H375" i="5" s="1"/>
  <c r="F374" i="5"/>
  <c r="H374" i="5" s="1"/>
  <c r="F373" i="5"/>
  <c r="H373" i="5" s="1"/>
  <c r="F372" i="5"/>
  <c r="H372" i="5" s="1"/>
  <c r="F371" i="5"/>
  <c r="H371" i="5" s="1"/>
  <c r="F370" i="5"/>
  <c r="H370" i="5" s="1"/>
  <c r="F369" i="5"/>
  <c r="H369" i="5" s="1"/>
  <c r="F368" i="5"/>
  <c r="H368" i="5" s="1"/>
  <c r="F367" i="5"/>
  <c r="H367" i="5" s="1"/>
  <c r="F366" i="5"/>
  <c r="H366" i="5" s="1"/>
  <c r="F365" i="5"/>
  <c r="H365" i="5" s="1"/>
  <c r="H364" i="5"/>
  <c r="F363" i="5"/>
  <c r="H363" i="5" s="1"/>
  <c r="F362" i="5"/>
  <c r="H362" i="5" s="1"/>
  <c r="F361" i="5"/>
  <c r="H361" i="5" s="1"/>
  <c r="F360" i="5"/>
  <c r="H360" i="5" s="1"/>
  <c r="F359" i="5"/>
  <c r="H359" i="5" s="1"/>
  <c r="F358" i="5"/>
  <c r="H358" i="5" s="1"/>
  <c r="F357" i="5"/>
  <c r="H357" i="5" s="1"/>
  <c r="F356" i="5"/>
  <c r="H356" i="5" s="1"/>
  <c r="F355" i="5"/>
  <c r="H355" i="5" s="1"/>
  <c r="F354" i="5"/>
  <c r="H354" i="5" s="1"/>
  <c r="F353" i="5"/>
  <c r="H353" i="5" s="1"/>
  <c r="H352" i="5"/>
  <c r="F351" i="5"/>
  <c r="H351" i="5" s="1"/>
  <c r="F350" i="5"/>
  <c r="H350" i="5" s="1"/>
  <c r="F349" i="5"/>
  <c r="H349" i="5" s="1"/>
  <c r="F348" i="5"/>
  <c r="H348" i="5" s="1"/>
  <c r="F347" i="5"/>
  <c r="H347" i="5" s="1"/>
  <c r="F346" i="5"/>
  <c r="H346" i="5" s="1"/>
  <c r="F345" i="5"/>
  <c r="H345" i="5" s="1"/>
  <c r="F344" i="5"/>
  <c r="H344" i="5" s="1"/>
  <c r="F343" i="5"/>
  <c r="H343" i="5" s="1"/>
  <c r="F342" i="5"/>
  <c r="H342" i="5" s="1"/>
  <c r="F341" i="5"/>
  <c r="H341" i="5" s="1"/>
  <c r="H340" i="5"/>
  <c r="F339" i="5"/>
  <c r="H339" i="5" s="1"/>
  <c r="F338" i="5"/>
  <c r="H338" i="5" s="1"/>
  <c r="F337" i="5"/>
  <c r="H337" i="5" s="1"/>
  <c r="F336" i="5"/>
  <c r="H336" i="5" s="1"/>
  <c r="F335" i="5"/>
  <c r="H335" i="5" s="1"/>
  <c r="F334" i="5"/>
  <c r="H334" i="5" s="1"/>
  <c r="F333" i="5"/>
  <c r="H333" i="5" s="1"/>
  <c r="F332" i="5"/>
  <c r="H332" i="5" s="1"/>
  <c r="F331" i="5"/>
  <c r="H331" i="5" s="1"/>
  <c r="F330" i="5"/>
  <c r="H330" i="5" s="1"/>
  <c r="F329" i="5"/>
  <c r="H329" i="5" s="1"/>
  <c r="H328" i="5"/>
  <c r="F327" i="5"/>
  <c r="H327" i="5" s="1"/>
  <c r="F326" i="5"/>
  <c r="H326" i="5" s="1"/>
  <c r="F325" i="5"/>
  <c r="H325" i="5" s="1"/>
  <c r="F324" i="5"/>
  <c r="H324" i="5" s="1"/>
  <c r="F323" i="5"/>
  <c r="H323" i="5" s="1"/>
  <c r="F322" i="5"/>
  <c r="H322" i="5" s="1"/>
  <c r="F321" i="5"/>
  <c r="H321" i="5" s="1"/>
  <c r="F320" i="5"/>
  <c r="H320" i="5" s="1"/>
  <c r="F319" i="5"/>
  <c r="H319" i="5" s="1"/>
  <c r="F318" i="5"/>
  <c r="H318" i="5" s="1"/>
  <c r="F317" i="5"/>
  <c r="H317" i="5" s="1"/>
  <c r="H316" i="5"/>
  <c r="F315" i="5"/>
  <c r="H315" i="5" s="1"/>
  <c r="F314" i="5"/>
  <c r="H314" i="5" s="1"/>
  <c r="F313" i="5"/>
  <c r="H313" i="5" s="1"/>
  <c r="F312" i="5"/>
  <c r="H312" i="5" s="1"/>
  <c r="F311" i="5"/>
  <c r="H311" i="5" s="1"/>
  <c r="F310" i="5"/>
  <c r="H310" i="5" s="1"/>
  <c r="F309" i="5"/>
  <c r="H309" i="5" s="1"/>
  <c r="F308" i="5"/>
  <c r="H308" i="5" s="1"/>
  <c r="F307" i="5"/>
  <c r="H307" i="5" s="1"/>
  <c r="F306" i="5"/>
  <c r="H306" i="5" s="1"/>
  <c r="F305" i="5"/>
  <c r="H305" i="5" s="1"/>
  <c r="H304" i="5"/>
  <c r="F303" i="5"/>
  <c r="H303" i="5" s="1"/>
  <c r="F302" i="5"/>
  <c r="H302" i="5" s="1"/>
  <c r="F301" i="5"/>
  <c r="H301" i="5" s="1"/>
  <c r="F300" i="5"/>
  <c r="H300" i="5" s="1"/>
  <c r="F299" i="5"/>
  <c r="H299" i="5" s="1"/>
  <c r="F298" i="5"/>
  <c r="H298" i="5" s="1"/>
  <c r="F297" i="5"/>
  <c r="H297" i="5" s="1"/>
  <c r="F296" i="5"/>
  <c r="H296" i="5" s="1"/>
  <c r="F295" i="5"/>
  <c r="H295" i="5" s="1"/>
  <c r="F294" i="5"/>
  <c r="H294" i="5" s="1"/>
  <c r="F293" i="5"/>
  <c r="H293" i="5" s="1"/>
  <c r="H292" i="5"/>
  <c r="F291" i="5"/>
  <c r="H291" i="5" s="1"/>
  <c r="J291" i="5" s="1"/>
  <c r="K291" i="5" s="1"/>
  <c r="F290" i="5"/>
  <c r="H290" i="5" s="1"/>
  <c r="J290" i="5" s="1"/>
  <c r="K290" i="5" s="1"/>
  <c r="F289" i="5"/>
  <c r="H289" i="5" s="1"/>
  <c r="J289" i="5" s="1"/>
  <c r="K289" i="5" s="1"/>
  <c r="F288" i="5"/>
  <c r="H288" i="5" s="1"/>
  <c r="J288" i="5" s="1"/>
  <c r="K288" i="5" s="1"/>
  <c r="F287" i="5"/>
  <c r="H287" i="5" s="1"/>
  <c r="J287" i="5" s="1"/>
  <c r="K287" i="5" s="1"/>
  <c r="F286" i="5"/>
  <c r="H286" i="5" s="1"/>
  <c r="J286" i="5" s="1"/>
  <c r="K286" i="5" s="1"/>
  <c r="F285" i="5"/>
  <c r="H285" i="5" s="1"/>
  <c r="J285" i="5" s="1"/>
  <c r="K285" i="5" s="1"/>
  <c r="F284" i="5"/>
  <c r="H284" i="5" s="1"/>
  <c r="J284" i="5" s="1"/>
  <c r="K284" i="5" s="1"/>
  <c r="F283" i="5"/>
  <c r="H283" i="5" s="1"/>
  <c r="J283" i="5" s="1"/>
  <c r="K283" i="5" s="1"/>
  <c r="F282" i="5"/>
  <c r="H282" i="5" s="1"/>
  <c r="J282" i="5" s="1"/>
  <c r="K282" i="5" s="1"/>
  <c r="F281" i="5"/>
  <c r="H281" i="5" s="1"/>
  <c r="J281" i="5" s="1"/>
  <c r="K281" i="5" s="1"/>
  <c r="H280" i="5"/>
  <c r="J280" i="5" s="1"/>
  <c r="K280" i="5" s="1"/>
  <c r="F279" i="5"/>
  <c r="H279" i="5" s="1"/>
  <c r="J279" i="5" s="1"/>
  <c r="K279" i="5" s="1"/>
  <c r="F278" i="5"/>
  <c r="H278" i="5" s="1"/>
  <c r="J278" i="5" s="1"/>
  <c r="K278" i="5" s="1"/>
  <c r="F277" i="5"/>
  <c r="H277" i="5" s="1"/>
  <c r="J277" i="5" s="1"/>
  <c r="K277" i="5" s="1"/>
  <c r="F276" i="5"/>
  <c r="H276" i="5" s="1"/>
  <c r="J276" i="5" s="1"/>
  <c r="K276" i="5" s="1"/>
  <c r="F275" i="5"/>
  <c r="H275" i="5" s="1"/>
  <c r="J275" i="5" s="1"/>
  <c r="K275" i="5" s="1"/>
  <c r="F274" i="5"/>
  <c r="H274" i="5" s="1"/>
  <c r="J274" i="5" s="1"/>
  <c r="K274" i="5" s="1"/>
  <c r="F273" i="5"/>
  <c r="H273" i="5" s="1"/>
  <c r="J273" i="5" s="1"/>
  <c r="K273" i="5" s="1"/>
  <c r="F272" i="5"/>
  <c r="H272" i="5" s="1"/>
  <c r="J272" i="5" s="1"/>
  <c r="K272" i="5" s="1"/>
  <c r="F271" i="5"/>
  <c r="H271" i="5" s="1"/>
  <c r="J271" i="5" s="1"/>
  <c r="K271" i="5" s="1"/>
  <c r="F270" i="5"/>
  <c r="H270" i="5" s="1"/>
  <c r="J270" i="5" s="1"/>
  <c r="K270" i="5" s="1"/>
  <c r="F269" i="5"/>
  <c r="H269" i="5" s="1"/>
  <c r="J269" i="5" s="1"/>
  <c r="K269" i="5" s="1"/>
  <c r="H268" i="5"/>
  <c r="J268" i="5" s="1"/>
  <c r="K268" i="5" s="1"/>
  <c r="F267" i="5"/>
  <c r="H267" i="5" s="1"/>
  <c r="J267" i="5" s="1"/>
  <c r="K267" i="5" s="1"/>
  <c r="F266" i="5"/>
  <c r="H266" i="5" s="1"/>
  <c r="J266" i="5" s="1"/>
  <c r="K266" i="5" s="1"/>
  <c r="F265" i="5"/>
  <c r="H265" i="5" s="1"/>
  <c r="J265" i="5" s="1"/>
  <c r="K265" i="5" s="1"/>
  <c r="F264" i="5"/>
  <c r="H264" i="5" s="1"/>
  <c r="J264" i="5" s="1"/>
  <c r="K264" i="5" s="1"/>
  <c r="F263" i="5"/>
  <c r="H263" i="5" s="1"/>
  <c r="J263" i="5" s="1"/>
  <c r="K263" i="5" s="1"/>
  <c r="F262" i="5"/>
  <c r="H262" i="5" s="1"/>
  <c r="J262" i="5" s="1"/>
  <c r="K262" i="5" s="1"/>
  <c r="F261" i="5"/>
  <c r="H261" i="5" s="1"/>
  <c r="J261" i="5" s="1"/>
  <c r="K261" i="5" s="1"/>
  <c r="F260" i="5"/>
  <c r="H260" i="5" s="1"/>
  <c r="J260" i="5" s="1"/>
  <c r="K260" i="5" s="1"/>
  <c r="F259" i="5"/>
  <c r="H259" i="5" s="1"/>
  <c r="J259" i="5" s="1"/>
  <c r="K259" i="5" s="1"/>
  <c r="F258" i="5"/>
  <c r="H258" i="5" s="1"/>
  <c r="J258" i="5" s="1"/>
  <c r="K258" i="5" s="1"/>
  <c r="F257" i="5"/>
  <c r="H257" i="5" s="1"/>
  <c r="J257" i="5" s="1"/>
  <c r="K257" i="5" s="1"/>
  <c r="H256" i="5"/>
  <c r="J256" i="5" s="1"/>
  <c r="K256" i="5" s="1"/>
  <c r="F255" i="5"/>
  <c r="H255" i="5" s="1"/>
  <c r="J255" i="5" s="1"/>
  <c r="K255" i="5" s="1"/>
  <c r="F254" i="5"/>
  <c r="H254" i="5" s="1"/>
  <c r="J254" i="5" s="1"/>
  <c r="K254" i="5" s="1"/>
  <c r="F253" i="5"/>
  <c r="H253" i="5" s="1"/>
  <c r="J253" i="5" s="1"/>
  <c r="K253" i="5" s="1"/>
  <c r="F252" i="5"/>
  <c r="H252" i="5" s="1"/>
  <c r="J252" i="5" s="1"/>
  <c r="K252" i="5" s="1"/>
  <c r="F251" i="5"/>
  <c r="H251" i="5" s="1"/>
  <c r="J251" i="5" s="1"/>
  <c r="K251" i="5" s="1"/>
  <c r="F250" i="5"/>
  <c r="H250" i="5" s="1"/>
  <c r="J250" i="5" s="1"/>
  <c r="K250" i="5" s="1"/>
  <c r="F249" i="5"/>
  <c r="H249" i="5" s="1"/>
  <c r="J249" i="5" s="1"/>
  <c r="K249" i="5" s="1"/>
  <c r="F248" i="5"/>
  <c r="H248" i="5" s="1"/>
  <c r="J248" i="5" s="1"/>
  <c r="K248" i="5" s="1"/>
  <c r="F247" i="5"/>
  <c r="H247" i="5" s="1"/>
  <c r="J247" i="5" s="1"/>
  <c r="K247" i="5" s="1"/>
  <c r="F246" i="5"/>
  <c r="H246" i="5" s="1"/>
  <c r="J246" i="5" s="1"/>
  <c r="K246" i="5" s="1"/>
  <c r="F245" i="5"/>
  <c r="H245" i="5" s="1"/>
  <c r="J245" i="5" s="1"/>
  <c r="K245" i="5" s="1"/>
  <c r="H244" i="5"/>
  <c r="J244" i="5" s="1"/>
  <c r="K244" i="5" s="1"/>
  <c r="F243" i="5"/>
  <c r="H243" i="5" s="1"/>
  <c r="J243" i="5" s="1"/>
  <c r="K243" i="5" s="1"/>
  <c r="F242" i="5"/>
  <c r="H242" i="5" s="1"/>
  <c r="J242" i="5" s="1"/>
  <c r="K242" i="5" s="1"/>
  <c r="F241" i="5"/>
  <c r="H241" i="5" s="1"/>
  <c r="J241" i="5" s="1"/>
  <c r="K241" i="5" s="1"/>
  <c r="F240" i="5"/>
  <c r="H240" i="5" s="1"/>
  <c r="J240" i="5" s="1"/>
  <c r="K240" i="5" s="1"/>
  <c r="F239" i="5"/>
  <c r="H239" i="5" s="1"/>
  <c r="J239" i="5" s="1"/>
  <c r="K239" i="5" s="1"/>
  <c r="F238" i="5"/>
  <c r="H238" i="5" s="1"/>
  <c r="J238" i="5" s="1"/>
  <c r="K238" i="5" s="1"/>
  <c r="F237" i="5"/>
  <c r="H237" i="5" s="1"/>
  <c r="J237" i="5" s="1"/>
  <c r="K237" i="5" s="1"/>
  <c r="F236" i="5"/>
  <c r="H236" i="5" s="1"/>
  <c r="J236" i="5" s="1"/>
  <c r="K236" i="5" s="1"/>
  <c r="F235" i="5"/>
  <c r="H235" i="5" s="1"/>
  <c r="J235" i="5" s="1"/>
  <c r="K235" i="5" s="1"/>
  <c r="F234" i="5"/>
  <c r="H234" i="5" s="1"/>
  <c r="J234" i="5" s="1"/>
  <c r="K234" i="5" s="1"/>
  <c r="F233" i="5"/>
  <c r="H233" i="5" s="1"/>
  <c r="J233" i="5" s="1"/>
  <c r="K233" i="5" s="1"/>
  <c r="H232" i="5"/>
  <c r="J232" i="5" s="1"/>
  <c r="K232" i="5" s="1"/>
  <c r="F231" i="5"/>
  <c r="H231" i="5" s="1"/>
  <c r="J231" i="5" s="1"/>
  <c r="K231" i="5" s="1"/>
  <c r="F230" i="5"/>
  <c r="H230" i="5" s="1"/>
  <c r="J230" i="5" s="1"/>
  <c r="K230" i="5" s="1"/>
  <c r="F229" i="5"/>
  <c r="H229" i="5" s="1"/>
  <c r="J229" i="5" s="1"/>
  <c r="K229" i="5" s="1"/>
  <c r="F228" i="5"/>
  <c r="H228" i="5" s="1"/>
  <c r="J228" i="5" s="1"/>
  <c r="K228" i="5" s="1"/>
  <c r="F227" i="5"/>
  <c r="H227" i="5" s="1"/>
  <c r="J227" i="5" s="1"/>
  <c r="K227" i="5" s="1"/>
  <c r="F226" i="5"/>
  <c r="H226" i="5" s="1"/>
  <c r="J226" i="5" s="1"/>
  <c r="K226" i="5" s="1"/>
  <c r="F225" i="5"/>
  <c r="H225" i="5" s="1"/>
  <c r="J225" i="5" s="1"/>
  <c r="K225" i="5" s="1"/>
  <c r="F224" i="5"/>
  <c r="H224" i="5" s="1"/>
  <c r="J224" i="5" s="1"/>
  <c r="K224" i="5" s="1"/>
  <c r="F223" i="5"/>
  <c r="H223" i="5" s="1"/>
  <c r="J223" i="5" s="1"/>
  <c r="K223" i="5" s="1"/>
  <c r="F222" i="5"/>
  <c r="H222" i="5" s="1"/>
  <c r="J222" i="5" s="1"/>
  <c r="K222" i="5" s="1"/>
  <c r="F221" i="5"/>
  <c r="H221" i="5" s="1"/>
  <c r="J221" i="5" s="1"/>
  <c r="K221" i="5" s="1"/>
  <c r="H220" i="5"/>
  <c r="J220" i="5" s="1"/>
  <c r="K220" i="5" s="1"/>
  <c r="F219" i="5"/>
  <c r="H219" i="5" s="1"/>
  <c r="J219" i="5" s="1"/>
  <c r="K219" i="5" s="1"/>
  <c r="F218" i="5"/>
  <c r="H218" i="5" s="1"/>
  <c r="J218" i="5" s="1"/>
  <c r="K218" i="5" s="1"/>
  <c r="F217" i="5"/>
  <c r="H217" i="5" s="1"/>
  <c r="J217" i="5" s="1"/>
  <c r="K217" i="5" s="1"/>
  <c r="F216" i="5"/>
  <c r="H216" i="5" s="1"/>
  <c r="J216" i="5" s="1"/>
  <c r="K216" i="5" s="1"/>
  <c r="F215" i="5"/>
  <c r="H215" i="5" s="1"/>
  <c r="J215" i="5" s="1"/>
  <c r="K215" i="5" s="1"/>
  <c r="F214" i="5"/>
  <c r="H214" i="5" s="1"/>
  <c r="J214" i="5" s="1"/>
  <c r="K214" i="5" s="1"/>
  <c r="F213" i="5"/>
  <c r="H213" i="5" s="1"/>
  <c r="J213" i="5" s="1"/>
  <c r="K213" i="5" s="1"/>
  <c r="F212" i="5"/>
  <c r="H212" i="5" s="1"/>
  <c r="J212" i="5" s="1"/>
  <c r="K212" i="5" s="1"/>
  <c r="F211" i="5"/>
  <c r="H211" i="5" s="1"/>
  <c r="J211" i="5" s="1"/>
  <c r="K211" i="5" s="1"/>
  <c r="F210" i="5"/>
  <c r="H210" i="5" s="1"/>
  <c r="J210" i="5" s="1"/>
  <c r="K210" i="5" s="1"/>
  <c r="F209" i="5"/>
  <c r="H209" i="5" s="1"/>
  <c r="J209" i="5" s="1"/>
  <c r="K209" i="5" s="1"/>
  <c r="H208" i="5"/>
  <c r="J208" i="5" s="1"/>
  <c r="K208" i="5" s="1"/>
  <c r="F207" i="5"/>
  <c r="H207" i="5" s="1"/>
  <c r="J207" i="5" s="1"/>
  <c r="K207" i="5" s="1"/>
  <c r="F206" i="5"/>
  <c r="H206" i="5" s="1"/>
  <c r="J206" i="5" s="1"/>
  <c r="K206" i="5" s="1"/>
  <c r="F205" i="5"/>
  <c r="H205" i="5" s="1"/>
  <c r="J205" i="5" s="1"/>
  <c r="K205" i="5" s="1"/>
  <c r="F204" i="5"/>
  <c r="H204" i="5" s="1"/>
  <c r="J204" i="5" s="1"/>
  <c r="K204" i="5" s="1"/>
  <c r="F203" i="5"/>
  <c r="H203" i="5" s="1"/>
  <c r="J203" i="5" s="1"/>
  <c r="K203" i="5" s="1"/>
  <c r="F202" i="5"/>
  <c r="H202" i="5" s="1"/>
  <c r="J202" i="5" s="1"/>
  <c r="K202" i="5" s="1"/>
  <c r="F201" i="5"/>
  <c r="H201" i="5" s="1"/>
  <c r="J201" i="5" s="1"/>
  <c r="K201" i="5" s="1"/>
  <c r="F200" i="5"/>
  <c r="H200" i="5" s="1"/>
  <c r="J200" i="5" s="1"/>
  <c r="K200" i="5" s="1"/>
  <c r="F199" i="5"/>
  <c r="H199" i="5" s="1"/>
  <c r="J199" i="5" s="1"/>
  <c r="K199" i="5" s="1"/>
  <c r="F198" i="5"/>
  <c r="H198" i="5" s="1"/>
  <c r="J198" i="5" s="1"/>
  <c r="K198" i="5" s="1"/>
  <c r="F197" i="5"/>
  <c r="H197" i="5" s="1"/>
  <c r="J197" i="5" s="1"/>
  <c r="K197" i="5" s="1"/>
  <c r="H196" i="5"/>
  <c r="J196" i="5" s="1"/>
  <c r="K196" i="5" s="1"/>
  <c r="F195" i="5"/>
  <c r="H195" i="5" s="1"/>
  <c r="J195" i="5" s="1"/>
  <c r="K195" i="5" s="1"/>
  <c r="F194" i="5"/>
  <c r="H194" i="5" s="1"/>
  <c r="J194" i="5" s="1"/>
  <c r="K194" i="5" s="1"/>
  <c r="F193" i="5"/>
  <c r="H193" i="5" s="1"/>
  <c r="J193" i="5" s="1"/>
  <c r="K193" i="5" s="1"/>
  <c r="F192" i="5"/>
  <c r="H192" i="5" s="1"/>
  <c r="J192" i="5" s="1"/>
  <c r="K192" i="5" s="1"/>
  <c r="F191" i="5"/>
  <c r="H191" i="5" s="1"/>
  <c r="J191" i="5" s="1"/>
  <c r="K191" i="5" s="1"/>
  <c r="F190" i="5"/>
  <c r="H190" i="5" s="1"/>
  <c r="J190" i="5" s="1"/>
  <c r="K190" i="5" s="1"/>
  <c r="F189" i="5"/>
  <c r="H189" i="5" s="1"/>
  <c r="J189" i="5" s="1"/>
  <c r="K189" i="5" s="1"/>
  <c r="F188" i="5"/>
  <c r="H188" i="5" s="1"/>
  <c r="J188" i="5" s="1"/>
  <c r="K188" i="5" s="1"/>
  <c r="F187" i="5"/>
  <c r="H187" i="5" s="1"/>
  <c r="J187" i="5" s="1"/>
  <c r="K187" i="5" s="1"/>
  <c r="F186" i="5"/>
  <c r="H186" i="5" s="1"/>
  <c r="J186" i="5" s="1"/>
  <c r="K186" i="5" s="1"/>
  <c r="F185" i="5"/>
  <c r="H185" i="5" s="1"/>
  <c r="J185" i="5" s="1"/>
  <c r="K185" i="5" s="1"/>
  <c r="H184" i="5"/>
  <c r="J184" i="5" s="1"/>
  <c r="K184" i="5" s="1"/>
  <c r="F183" i="5"/>
  <c r="H183" i="5" s="1"/>
  <c r="J183" i="5" s="1"/>
  <c r="K183" i="5" s="1"/>
  <c r="F182" i="5"/>
  <c r="H182" i="5" s="1"/>
  <c r="J182" i="5" s="1"/>
  <c r="K182" i="5" s="1"/>
  <c r="F181" i="5"/>
  <c r="H181" i="5" s="1"/>
  <c r="J181" i="5" s="1"/>
  <c r="K181" i="5" s="1"/>
  <c r="F180" i="5"/>
  <c r="H180" i="5" s="1"/>
  <c r="J180" i="5" s="1"/>
  <c r="K180" i="5" s="1"/>
  <c r="F179" i="5"/>
  <c r="H179" i="5" s="1"/>
  <c r="J179" i="5" s="1"/>
  <c r="K179" i="5" s="1"/>
  <c r="F178" i="5"/>
  <c r="H178" i="5" s="1"/>
  <c r="J178" i="5" s="1"/>
  <c r="K178" i="5" s="1"/>
  <c r="F177" i="5"/>
  <c r="H177" i="5" s="1"/>
  <c r="J177" i="5" s="1"/>
  <c r="K177" i="5" s="1"/>
  <c r="F176" i="5"/>
  <c r="H176" i="5" s="1"/>
  <c r="J176" i="5" s="1"/>
  <c r="K176" i="5" s="1"/>
  <c r="F175" i="5"/>
  <c r="H175" i="5" s="1"/>
  <c r="J175" i="5" s="1"/>
  <c r="K175" i="5" s="1"/>
  <c r="F174" i="5"/>
  <c r="H174" i="5" s="1"/>
  <c r="J174" i="5" s="1"/>
  <c r="K174" i="5" s="1"/>
  <c r="F173" i="5"/>
  <c r="H173" i="5" s="1"/>
  <c r="J173" i="5" s="1"/>
  <c r="K173" i="5" s="1"/>
  <c r="H172" i="5"/>
  <c r="J172" i="5" s="1"/>
  <c r="K172" i="5" s="1"/>
  <c r="F171" i="5"/>
  <c r="H171" i="5" s="1"/>
  <c r="J171" i="5" s="1"/>
  <c r="K171" i="5" s="1"/>
  <c r="F170" i="5"/>
  <c r="H170" i="5" s="1"/>
  <c r="J170" i="5" s="1"/>
  <c r="K170" i="5" s="1"/>
  <c r="F169" i="5"/>
  <c r="H169" i="5" s="1"/>
  <c r="J169" i="5" s="1"/>
  <c r="K169" i="5" s="1"/>
  <c r="F168" i="5"/>
  <c r="H168" i="5" s="1"/>
  <c r="J168" i="5" s="1"/>
  <c r="K168" i="5" s="1"/>
  <c r="F167" i="5"/>
  <c r="H167" i="5" s="1"/>
  <c r="J167" i="5" s="1"/>
  <c r="K167" i="5" s="1"/>
  <c r="F166" i="5"/>
  <c r="H166" i="5" s="1"/>
  <c r="J166" i="5" s="1"/>
  <c r="K166" i="5" s="1"/>
  <c r="F165" i="5"/>
  <c r="H165" i="5" s="1"/>
  <c r="J165" i="5" s="1"/>
  <c r="K165" i="5" s="1"/>
  <c r="F164" i="5"/>
  <c r="H164" i="5" s="1"/>
  <c r="J164" i="5" s="1"/>
  <c r="K164" i="5" s="1"/>
  <c r="F163" i="5"/>
  <c r="H163" i="5" s="1"/>
  <c r="J163" i="5" s="1"/>
  <c r="K163" i="5" s="1"/>
  <c r="F162" i="5"/>
  <c r="H162" i="5" s="1"/>
  <c r="J162" i="5" s="1"/>
  <c r="K162" i="5" s="1"/>
  <c r="F161" i="5"/>
  <c r="H161" i="5" s="1"/>
  <c r="J161" i="5" s="1"/>
  <c r="K161" i="5" s="1"/>
  <c r="H160" i="5"/>
  <c r="J160" i="5" s="1"/>
  <c r="K160" i="5" s="1"/>
  <c r="F159" i="5"/>
  <c r="H159" i="5" s="1"/>
  <c r="J159" i="5" s="1"/>
  <c r="K159" i="5" s="1"/>
  <c r="F158" i="5"/>
  <c r="H158" i="5" s="1"/>
  <c r="J158" i="5" s="1"/>
  <c r="K158" i="5" s="1"/>
  <c r="F157" i="5"/>
  <c r="H157" i="5" s="1"/>
  <c r="J157" i="5" s="1"/>
  <c r="K157" i="5" s="1"/>
  <c r="F156" i="5"/>
  <c r="H156" i="5" s="1"/>
  <c r="J156" i="5" s="1"/>
  <c r="K156" i="5" s="1"/>
  <c r="F155" i="5"/>
  <c r="H155" i="5" s="1"/>
  <c r="J155" i="5" s="1"/>
  <c r="K155" i="5" s="1"/>
  <c r="F154" i="5"/>
  <c r="H154" i="5" s="1"/>
  <c r="J154" i="5" s="1"/>
  <c r="K154" i="5" s="1"/>
  <c r="F153" i="5"/>
  <c r="H153" i="5" s="1"/>
  <c r="J153" i="5" s="1"/>
  <c r="K153" i="5" s="1"/>
  <c r="F152" i="5"/>
  <c r="H152" i="5" s="1"/>
  <c r="J152" i="5" s="1"/>
  <c r="K152" i="5" s="1"/>
  <c r="F151" i="5"/>
  <c r="H151" i="5" s="1"/>
  <c r="J151" i="5" s="1"/>
  <c r="K151" i="5" s="1"/>
  <c r="F150" i="5"/>
  <c r="H150" i="5" s="1"/>
  <c r="J150" i="5" s="1"/>
  <c r="K150" i="5" s="1"/>
  <c r="F149" i="5"/>
  <c r="H149" i="5" s="1"/>
  <c r="J149" i="5" s="1"/>
  <c r="K149" i="5" s="1"/>
  <c r="H148" i="5"/>
  <c r="J148" i="5" s="1"/>
  <c r="K148" i="5" s="1"/>
  <c r="F147" i="5"/>
  <c r="H147" i="5" s="1"/>
  <c r="J147" i="5" s="1"/>
  <c r="K147" i="5" s="1"/>
  <c r="F146" i="5"/>
  <c r="H146" i="5" s="1"/>
  <c r="J146" i="5" s="1"/>
  <c r="K146" i="5" s="1"/>
  <c r="F145" i="5"/>
  <c r="H145" i="5" s="1"/>
  <c r="J145" i="5" s="1"/>
  <c r="K145" i="5" s="1"/>
  <c r="F144" i="5"/>
  <c r="H144" i="5" s="1"/>
  <c r="J144" i="5" s="1"/>
  <c r="K144" i="5" s="1"/>
  <c r="F143" i="5"/>
  <c r="H143" i="5" s="1"/>
  <c r="J143" i="5" s="1"/>
  <c r="K143" i="5" s="1"/>
  <c r="F142" i="5"/>
  <c r="H142" i="5" s="1"/>
  <c r="J142" i="5" s="1"/>
  <c r="K142" i="5" s="1"/>
  <c r="F141" i="5"/>
  <c r="H141" i="5" s="1"/>
  <c r="J141" i="5" s="1"/>
  <c r="K141" i="5" s="1"/>
  <c r="F140" i="5"/>
  <c r="H140" i="5" s="1"/>
  <c r="J140" i="5" s="1"/>
  <c r="K140" i="5" s="1"/>
  <c r="F139" i="5"/>
  <c r="H139" i="5" s="1"/>
  <c r="J139" i="5" s="1"/>
  <c r="K139" i="5" s="1"/>
  <c r="F138" i="5"/>
  <c r="H138" i="5" s="1"/>
  <c r="J138" i="5" s="1"/>
  <c r="K138" i="5" s="1"/>
  <c r="F137" i="5"/>
  <c r="H137" i="5" s="1"/>
  <c r="J137" i="5" s="1"/>
  <c r="K137" i="5" s="1"/>
  <c r="H136" i="5"/>
  <c r="J136" i="5" s="1"/>
  <c r="K136" i="5" s="1"/>
  <c r="F135" i="5"/>
  <c r="H135" i="5" s="1"/>
  <c r="J135" i="5" s="1"/>
  <c r="K135" i="5" s="1"/>
  <c r="F134" i="5"/>
  <c r="H134" i="5" s="1"/>
  <c r="J134" i="5" s="1"/>
  <c r="K134" i="5" s="1"/>
  <c r="F133" i="5"/>
  <c r="H133" i="5" s="1"/>
  <c r="J133" i="5" s="1"/>
  <c r="K133" i="5" s="1"/>
  <c r="F132" i="5"/>
  <c r="H132" i="5" s="1"/>
  <c r="J132" i="5" s="1"/>
  <c r="K132" i="5" s="1"/>
  <c r="F131" i="5"/>
  <c r="H131" i="5" s="1"/>
  <c r="J131" i="5" s="1"/>
  <c r="K131" i="5" s="1"/>
  <c r="F130" i="5"/>
  <c r="H130" i="5" s="1"/>
  <c r="J130" i="5" s="1"/>
  <c r="K130" i="5" s="1"/>
  <c r="F129" i="5"/>
  <c r="H129" i="5" s="1"/>
  <c r="J129" i="5" s="1"/>
  <c r="K129" i="5" s="1"/>
  <c r="F128" i="5"/>
  <c r="H128" i="5" s="1"/>
  <c r="J128" i="5" s="1"/>
  <c r="K128" i="5" s="1"/>
  <c r="F127" i="5"/>
  <c r="H127" i="5" s="1"/>
  <c r="J127" i="5" s="1"/>
  <c r="K127" i="5" s="1"/>
  <c r="F126" i="5"/>
  <c r="H126" i="5" s="1"/>
  <c r="J126" i="5" s="1"/>
  <c r="K126" i="5" s="1"/>
  <c r="F125" i="5"/>
  <c r="H125" i="5" s="1"/>
  <c r="J125" i="5" s="1"/>
  <c r="K125" i="5" s="1"/>
  <c r="H124" i="5"/>
  <c r="J124" i="5" s="1"/>
  <c r="K124" i="5" s="1"/>
  <c r="F123" i="5"/>
  <c r="H123" i="5" s="1"/>
  <c r="J123" i="5" s="1"/>
  <c r="K123" i="5" s="1"/>
  <c r="F122" i="5"/>
  <c r="H122" i="5" s="1"/>
  <c r="J122" i="5" s="1"/>
  <c r="K122" i="5" s="1"/>
  <c r="F121" i="5"/>
  <c r="H121" i="5" s="1"/>
  <c r="J121" i="5" s="1"/>
  <c r="K121" i="5" s="1"/>
  <c r="F120" i="5"/>
  <c r="H120" i="5" s="1"/>
  <c r="J120" i="5" s="1"/>
  <c r="K120" i="5" s="1"/>
  <c r="F119" i="5"/>
  <c r="H119" i="5" s="1"/>
  <c r="J119" i="5" s="1"/>
  <c r="K119" i="5" s="1"/>
  <c r="F118" i="5"/>
  <c r="H118" i="5" s="1"/>
  <c r="J118" i="5" s="1"/>
  <c r="K118" i="5" s="1"/>
  <c r="F117" i="5"/>
  <c r="H117" i="5" s="1"/>
  <c r="J117" i="5" s="1"/>
  <c r="K117" i="5" s="1"/>
  <c r="F116" i="5"/>
  <c r="H116" i="5" s="1"/>
  <c r="J116" i="5" s="1"/>
  <c r="K116" i="5" s="1"/>
  <c r="F115" i="5"/>
  <c r="H115" i="5" s="1"/>
  <c r="J115" i="5" s="1"/>
  <c r="K115" i="5" s="1"/>
  <c r="F114" i="5"/>
  <c r="H114" i="5" s="1"/>
  <c r="J114" i="5" s="1"/>
  <c r="K114" i="5" s="1"/>
  <c r="F113" i="5"/>
  <c r="H113" i="5" s="1"/>
  <c r="J113" i="5" s="1"/>
  <c r="K113" i="5" s="1"/>
  <c r="H112" i="5"/>
  <c r="J112" i="5" s="1"/>
  <c r="K112" i="5" s="1"/>
  <c r="F111" i="5"/>
  <c r="H111" i="5" s="1"/>
  <c r="J111" i="5" s="1"/>
  <c r="K111" i="5" s="1"/>
  <c r="F110" i="5"/>
  <c r="H110" i="5" s="1"/>
  <c r="J110" i="5" s="1"/>
  <c r="K110" i="5" s="1"/>
  <c r="F109" i="5"/>
  <c r="H109" i="5" s="1"/>
  <c r="J109" i="5" s="1"/>
  <c r="K109" i="5" s="1"/>
  <c r="F108" i="5"/>
  <c r="H108" i="5" s="1"/>
  <c r="J108" i="5" s="1"/>
  <c r="K108" i="5" s="1"/>
  <c r="F107" i="5"/>
  <c r="H107" i="5" s="1"/>
  <c r="J107" i="5" s="1"/>
  <c r="K107" i="5" s="1"/>
  <c r="F106" i="5"/>
  <c r="H106" i="5" s="1"/>
  <c r="J106" i="5" s="1"/>
  <c r="K106" i="5" s="1"/>
  <c r="F105" i="5"/>
  <c r="H105" i="5" s="1"/>
  <c r="J105" i="5" s="1"/>
  <c r="K105" i="5" s="1"/>
  <c r="F104" i="5"/>
  <c r="H104" i="5" s="1"/>
  <c r="J104" i="5" s="1"/>
  <c r="K104" i="5" s="1"/>
  <c r="F103" i="5"/>
  <c r="H103" i="5" s="1"/>
  <c r="J103" i="5" s="1"/>
  <c r="K103" i="5" s="1"/>
  <c r="F102" i="5"/>
  <c r="H102" i="5" s="1"/>
  <c r="J102" i="5" s="1"/>
  <c r="K102" i="5" s="1"/>
  <c r="F101" i="5"/>
  <c r="H101" i="5" s="1"/>
  <c r="J101" i="5" s="1"/>
  <c r="K101" i="5" s="1"/>
  <c r="H100" i="5"/>
  <c r="J100" i="5" s="1"/>
  <c r="K100" i="5" s="1"/>
  <c r="F99" i="5"/>
  <c r="H99" i="5" s="1"/>
  <c r="J99" i="5" s="1"/>
  <c r="K99" i="5" s="1"/>
  <c r="F98" i="5"/>
  <c r="H98" i="5" s="1"/>
  <c r="J98" i="5" s="1"/>
  <c r="K98" i="5" s="1"/>
  <c r="F97" i="5"/>
  <c r="H97" i="5" s="1"/>
  <c r="J97" i="5" s="1"/>
  <c r="K97" i="5" s="1"/>
  <c r="F96" i="5"/>
  <c r="H96" i="5" s="1"/>
  <c r="J96" i="5" s="1"/>
  <c r="K96" i="5" s="1"/>
  <c r="F95" i="5"/>
  <c r="H95" i="5" s="1"/>
  <c r="J95" i="5" s="1"/>
  <c r="K95" i="5" s="1"/>
  <c r="F94" i="5"/>
  <c r="H94" i="5" s="1"/>
  <c r="J94" i="5" s="1"/>
  <c r="K94" i="5" s="1"/>
  <c r="F93" i="5"/>
  <c r="H93" i="5" s="1"/>
  <c r="J93" i="5" s="1"/>
  <c r="K93" i="5" s="1"/>
  <c r="F92" i="5"/>
  <c r="H92" i="5" s="1"/>
  <c r="J92" i="5" s="1"/>
  <c r="K92" i="5" s="1"/>
  <c r="F91" i="5"/>
  <c r="H91" i="5" s="1"/>
  <c r="J91" i="5" s="1"/>
  <c r="K91" i="5" s="1"/>
  <c r="F90" i="5"/>
  <c r="H90" i="5" s="1"/>
  <c r="J90" i="5" s="1"/>
  <c r="K90" i="5" s="1"/>
  <c r="F89" i="5"/>
  <c r="H89" i="5" s="1"/>
  <c r="J89" i="5" s="1"/>
  <c r="K89" i="5" s="1"/>
  <c r="H88" i="5"/>
  <c r="J88" i="5" s="1"/>
  <c r="K88" i="5" s="1"/>
  <c r="F87" i="5"/>
  <c r="H87" i="5" s="1"/>
  <c r="J87" i="5" s="1"/>
  <c r="K87" i="5" s="1"/>
  <c r="F86" i="5"/>
  <c r="H86" i="5" s="1"/>
  <c r="J86" i="5" s="1"/>
  <c r="K86" i="5" s="1"/>
  <c r="F85" i="5"/>
  <c r="H85" i="5" s="1"/>
  <c r="J85" i="5" s="1"/>
  <c r="K85" i="5" s="1"/>
  <c r="F84" i="5"/>
  <c r="H84" i="5" s="1"/>
  <c r="J84" i="5" s="1"/>
  <c r="K84" i="5" s="1"/>
  <c r="F83" i="5"/>
  <c r="H83" i="5" s="1"/>
  <c r="J83" i="5" s="1"/>
  <c r="K83" i="5" s="1"/>
  <c r="F82" i="5"/>
  <c r="H82" i="5" s="1"/>
  <c r="J82" i="5" s="1"/>
  <c r="K82" i="5" s="1"/>
  <c r="F81" i="5"/>
  <c r="H81" i="5" s="1"/>
  <c r="J81" i="5" s="1"/>
  <c r="K81" i="5" s="1"/>
  <c r="F80" i="5"/>
  <c r="H80" i="5" s="1"/>
  <c r="J80" i="5" s="1"/>
  <c r="K80" i="5" s="1"/>
  <c r="F79" i="5"/>
  <c r="H79" i="5" s="1"/>
  <c r="J79" i="5" s="1"/>
  <c r="K79" i="5" s="1"/>
  <c r="F78" i="5"/>
  <c r="H78" i="5" s="1"/>
  <c r="J78" i="5" s="1"/>
  <c r="K78" i="5" s="1"/>
  <c r="F77" i="5"/>
  <c r="H77" i="5" s="1"/>
  <c r="J77" i="5" s="1"/>
  <c r="K77" i="5" s="1"/>
  <c r="H76" i="5"/>
  <c r="J76" i="5" s="1"/>
  <c r="K76" i="5" s="1"/>
  <c r="F75" i="5"/>
  <c r="H75" i="5" s="1"/>
  <c r="J75" i="5" s="1"/>
  <c r="K75" i="5" s="1"/>
  <c r="F74" i="5"/>
  <c r="H74" i="5" s="1"/>
  <c r="J74" i="5" s="1"/>
  <c r="K74" i="5" s="1"/>
  <c r="F73" i="5"/>
  <c r="H73" i="5" s="1"/>
  <c r="J73" i="5" s="1"/>
  <c r="K73" i="5" s="1"/>
  <c r="F72" i="5"/>
  <c r="H72" i="5" s="1"/>
  <c r="J72" i="5" s="1"/>
  <c r="K72" i="5" s="1"/>
  <c r="F71" i="5"/>
  <c r="H71" i="5" s="1"/>
  <c r="J71" i="5" s="1"/>
  <c r="K71" i="5" s="1"/>
  <c r="F70" i="5"/>
  <c r="H70" i="5" s="1"/>
  <c r="J70" i="5" s="1"/>
  <c r="K70" i="5" s="1"/>
  <c r="F69" i="5"/>
  <c r="H69" i="5" s="1"/>
  <c r="J69" i="5" s="1"/>
  <c r="K69" i="5" s="1"/>
  <c r="F68" i="5"/>
  <c r="H68" i="5" s="1"/>
  <c r="J68" i="5" s="1"/>
  <c r="K68" i="5" s="1"/>
  <c r="F67" i="5"/>
  <c r="H67" i="5" s="1"/>
  <c r="J67" i="5" s="1"/>
  <c r="K67" i="5" s="1"/>
  <c r="F66" i="5"/>
  <c r="H66" i="5" s="1"/>
  <c r="J66" i="5" s="1"/>
  <c r="K66" i="5" s="1"/>
  <c r="F65" i="5"/>
  <c r="H65" i="5" s="1"/>
  <c r="J65" i="5" s="1"/>
  <c r="K65" i="5" s="1"/>
  <c r="H64" i="5"/>
  <c r="J64" i="5" s="1"/>
  <c r="K64" i="5" s="1"/>
  <c r="F63" i="5"/>
  <c r="H63" i="5" s="1"/>
  <c r="J63" i="5" s="1"/>
  <c r="K63" i="5" s="1"/>
  <c r="F62" i="5"/>
  <c r="H62" i="5" s="1"/>
  <c r="J62" i="5" s="1"/>
  <c r="K62" i="5" s="1"/>
  <c r="F61" i="5"/>
  <c r="H61" i="5" s="1"/>
  <c r="J61" i="5" s="1"/>
  <c r="K61" i="5" s="1"/>
  <c r="F60" i="5"/>
  <c r="H60" i="5" s="1"/>
  <c r="J60" i="5" s="1"/>
  <c r="K60" i="5" s="1"/>
  <c r="F59" i="5"/>
  <c r="H59" i="5" s="1"/>
  <c r="J59" i="5" s="1"/>
  <c r="K59" i="5" s="1"/>
  <c r="F58" i="5"/>
  <c r="H58" i="5" s="1"/>
  <c r="J58" i="5" s="1"/>
  <c r="K58" i="5" s="1"/>
  <c r="F57" i="5"/>
  <c r="H57" i="5" s="1"/>
  <c r="J57" i="5" s="1"/>
  <c r="K57" i="5" s="1"/>
  <c r="F56" i="5"/>
  <c r="H56" i="5" s="1"/>
  <c r="J56" i="5" s="1"/>
  <c r="K56" i="5" s="1"/>
  <c r="F55" i="5"/>
  <c r="H55" i="5" s="1"/>
  <c r="J55" i="5" s="1"/>
  <c r="K55" i="5" s="1"/>
  <c r="F54" i="5"/>
  <c r="H54" i="5" s="1"/>
  <c r="J54" i="5" s="1"/>
  <c r="K54" i="5" s="1"/>
  <c r="F53" i="5"/>
  <c r="H53" i="5" s="1"/>
  <c r="J53" i="5" s="1"/>
  <c r="K53" i="5" s="1"/>
  <c r="H52" i="5"/>
  <c r="J52" i="5" s="1"/>
  <c r="K52" i="5" s="1"/>
  <c r="F51" i="5"/>
  <c r="H51" i="5" s="1"/>
  <c r="J51" i="5" s="1"/>
  <c r="K51" i="5" s="1"/>
  <c r="F50" i="5"/>
  <c r="H50" i="5" s="1"/>
  <c r="J50" i="5" s="1"/>
  <c r="K50" i="5" s="1"/>
  <c r="F49" i="5"/>
  <c r="H49" i="5" s="1"/>
  <c r="J49" i="5" s="1"/>
  <c r="K49" i="5" s="1"/>
  <c r="F48" i="5"/>
  <c r="H48" i="5" s="1"/>
  <c r="J48" i="5" s="1"/>
  <c r="K48" i="5" s="1"/>
  <c r="F47" i="5"/>
  <c r="H47" i="5" s="1"/>
  <c r="J47" i="5" s="1"/>
  <c r="K47" i="5" s="1"/>
  <c r="F46" i="5"/>
  <c r="H46" i="5" s="1"/>
  <c r="J46" i="5" s="1"/>
  <c r="K46" i="5" s="1"/>
  <c r="F45" i="5"/>
  <c r="H45" i="5" s="1"/>
  <c r="J45" i="5" s="1"/>
  <c r="K45" i="5" s="1"/>
  <c r="F44" i="5"/>
  <c r="H44" i="5" s="1"/>
  <c r="J44" i="5" s="1"/>
  <c r="K44" i="5" s="1"/>
  <c r="F43" i="5"/>
  <c r="H43" i="5" s="1"/>
  <c r="J43" i="5" s="1"/>
  <c r="K43" i="5" s="1"/>
  <c r="F42" i="5"/>
  <c r="H42" i="5" s="1"/>
  <c r="J42" i="5" s="1"/>
  <c r="K42" i="5" s="1"/>
  <c r="F41" i="5"/>
  <c r="H41" i="5" s="1"/>
  <c r="J41" i="5" s="1"/>
  <c r="K41" i="5" s="1"/>
  <c r="H40" i="5"/>
  <c r="J40" i="5" s="1"/>
  <c r="K40" i="5" s="1"/>
  <c r="F39" i="5"/>
  <c r="H39" i="5" s="1"/>
  <c r="J39" i="5" s="1"/>
  <c r="K39" i="5" s="1"/>
  <c r="F38" i="5"/>
  <c r="H38" i="5" s="1"/>
  <c r="J38" i="5" s="1"/>
  <c r="K38" i="5" s="1"/>
  <c r="F37" i="5"/>
  <c r="H37" i="5" s="1"/>
  <c r="J37" i="5" s="1"/>
  <c r="K37" i="5" s="1"/>
  <c r="F36" i="5"/>
  <c r="H36" i="5" s="1"/>
  <c r="J36" i="5" s="1"/>
  <c r="K36" i="5" s="1"/>
  <c r="F35" i="5"/>
  <c r="H35" i="5" s="1"/>
  <c r="J35" i="5" s="1"/>
  <c r="K35" i="5" s="1"/>
  <c r="F34" i="5"/>
  <c r="H34" i="5" s="1"/>
  <c r="J34" i="5" s="1"/>
  <c r="K34" i="5" s="1"/>
  <c r="F33" i="5"/>
  <c r="H33" i="5" s="1"/>
  <c r="J33" i="5" s="1"/>
  <c r="K33" i="5" s="1"/>
  <c r="F32" i="5"/>
  <c r="H32" i="5" s="1"/>
  <c r="J32" i="5" s="1"/>
  <c r="K32" i="5" s="1"/>
  <c r="F31" i="5"/>
  <c r="H31" i="5" s="1"/>
  <c r="J31" i="5" s="1"/>
  <c r="K31" i="5" s="1"/>
  <c r="F30" i="5"/>
  <c r="H30" i="5" s="1"/>
  <c r="J30" i="5" s="1"/>
  <c r="K30" i="5" s="1"/>
  <c r="F29" i="5"/>
  <c r="H29" i="5" s="1"/>
  <c r="J29" i="5" s="1"/>
  <c r="K29" i="5" s="1"/>
  <c r="H28" i="5"/>
  <c r="J28" i="5" s="1"/>
  <c r="K28" i="5" s="1"/>
  <c r="F27" i="5"/>
  <c r="H27" i="5" s="1"/>
  <c r="J27" i="5" s="1"/>
  <c r="K27" i="5" s="1"/>
  <c r="F26" i="5"/>
  <c r="H26" i="5" s="1"/>
  <c r="J26" i="5" s="1"/>
  <c r="K26" i="5" s="1"/>
  <c r="F25" i="5"/>
  <c r="H25" i="5" s="1"/>
  <c r="J25" i="5" s="1"/>
  <c r="K25" i="5" s="1"/>
  <c r="F24" i="5"/>
  <c r="H24" i="5" s="1"/>
  <c r="J24" i="5" s="1"/>
  <c r="K24" i="5" s="1"/>
  <c r="F23" i="5"/>
  <c r="H23" i="5" s="1"/>
  <c r="J23" i="5" s="1"/>
  <c r="K23" i="5" s="1"/>
  <c r="F22" i="5"/>
  <c r="H22" i="5" s="1"/>
  <c r="J22" i="5" s="1"/>
  <c r="K22" i="5" s="1"/>
  <c r="F21" i="5"/>
  <c r="H21" i="5" s="1"/>
  <c r="J21" i="5" s="1"/>
  <c r="K21" i="5" s="1"/>
  <c r="F20" i="5"/>
  <c r="H20" i="5" s="1"/>
  <c r="J20" i="5" s="1"/>
  <c r="K20" i="5" s="1"/>
  <c r="F19" i="5"/>
  <c r="H19" i="5" s="1"/>
  <c r="J19" i="5" s="1"/>
  <c r="K19" i="5" s="1"/>
  <c r="F18" i="5"/>
  <c r="H18" i="5" s="1"/>
  <c r="J18" i="5" s="1"/>
  <c r="K18" i="5" s="1"/>
  <c r="F17" i="5"/>
  <c r="H17" i="5" s="1"/>
  <c r="J17" i="5" s="1"/>
  <c r="K17" i="5" s="1"/>
  <c r="H16" i="5"/>
  <c r="J16" i="5" s="1"/>
  <c r="K16" i="5" s="1"/>
  <c r="F15" i="5"/>
  <c r="H15" i="5" s="1"/>
  <c r="J15" i="5" s="1"/>
  <c r="K15" i="5" s="1"/>
  <c r="F14" i="5"/>
  <c r="H14" i="5" s="1"/>
  <c r="J14" i="5" s="1"/>
  <c r="K14" i="5" s="1"/>
  <c r="F13" i="5"/>
  <c r="H13" i="5" s="1"/>
  <c r="J13" i="5" s="1"/>
  <c r="K13" i="5" s="1"/>
  <c r="F12" i="5"/>
  <c r="H12" i="5" s="1"/>
  <c r="J12" i="5" s="1"/>
  <c r="K12" i="5" s="1"/>
  <c r="F11" i="5"/>
  <c r="H11" i="5" s="1"/>
  <c r="J11" i="5" s="1"/>
  <c r="K11" i="5" s="1"/>
  <c r="F10" i="5"/>
  <c r="H10" i="5" s="1"/>
  <c r="J10" i="5" s="1"/>
  <c r="K10" i="5" s="1"/>
  <c r="F9" i="5"/>
  <c r="H9" i="5" s="1"/>
  <c r="J9" i="5" s="1"/>
  <c r="K9" i="5" s="1"/>
  <c r="F8" i="5"/>
  <c r="H8" i="5" s="1"/>
  <c r="J8" i="5" s="1"/>
  <c r="K8" i="5" s="1"/>
  <c r="F7" i="5"/>
  <c r="H7" i="5" s="1"/>
  <c r="J7" i="5" s="1"/>
  <c r="K7" i="5" s="1"/>
  <c r="F6" i="5"/>
  <c r="H6" i="5" s="1"/>
  <c r="J6" i="5" s="1"/>
  <c r="K6" i="5" s="1"/>
  <c r="F5" i="5"/>
  <c r="H5" i="5" s="1"/>
  <c r="J5" i="5" s="1"/>
  <c r="K5" i="5" s="1"/>
  <c r="H4" i="5"/>
  <c r="J4" i="5" s="1"/>
  <c r="K4" i="5" s="1"/>
  <c r="P7" i="4"/>
  <c r="K7" i="3" s="1"/>
  <c r="O7" i="4"/>
  <c r="P8" i="4"/>
  <c r="K8" i="3" s="1"/>
  <c r="O8" i="4"/>
  <c r="P9" i="4"/>
  <c r="K9" i="3" s="1"/>
  <c r="O9" i="4"/>
  <c r="P10" i="4"/>
  <c r="K10" i="3" s="1"/>
  <c r="O10" i="4"/>
  <c r="P11" i="4"/>
  <c r="K11" i="3" s="1"/>
  <c r="O11" i="4"/>
  <c r="P12" i="4"/>
  <c r="K12" i="3" s="1"/>
  <c r="O12" i="4"/>
  <c r="P13" i="4"/>
  <c r="K13" i="3" s="1"/>
  <c r="O13" i="4"/>
  <c r="P14" i="4"/>
  <c r="K14" i="3" s="1"/>
  <c r="O14" i="4"/>
  <c r="P15" i="4"/>
  <c r="K15" i="3" s="1"/>
  <c r="O15" i="4"/>
  <c r="P16" i="4"/>
  <c r="K16" i="3" s="1"/>
  <c r="O16" i="4"/>
  <c r="P17" i="4"/>
  <c r="K17" i="3" s="1"/>
  <c r="O17" i="4"/>
  <c r="P18" i="4"/>
  <c r="K18" i="3" s="1"/>
  <c r="O18" i="4"/>
  <c r="P19" i="4"/>
  <c r="K19" i="3" s="1"/>
  <c r="O19" i="4"/>
  <c r="P20" i="4"/>
  <c r="K20" i="3" s="1"/>
  <c r="O20" i="4"/>
  <c r="P21" i="4"/>
  <c r="K21" i="3" s="1"/>
  <c r="O21" i="4"/>
  <c r="P22" i="4"/>
  <c r="K22" i="3" s="1"/>
  <c r="O22" i="4"/>
  <c r="P23" i="4"/>
  <c r="K23" i="3" s="1"/>
  <c r="O23" i="4"/>
  <c r="P24" i="4"/>
  <c r="K24" i="3" s="1"/>
  <c r="O24" i="4"/>
  <c r="P25" i="4"/>
  <c r="K25" i="3" s="1"/>
  <c r="O25" i="4"/>
  <c r="P26" i="4"/>
  <c r="K26" i="3" s="1"/>
  <c r="O26" i="4"/>
  <c r="P27" i="4"/>
  <c r="K27" i="3" s="1"/>
  <c r="O27" i="4"/>
  <c r="P28" i="4"/>
  <c r="K28" i="3" s="1"/>
  <c r="O28" i="4"/>
  <c r="P29" i="4"/>
  <c r="K29" i="3" s="1"/>
  <c r="O29" i="4"/>
  <c r="P30" i="4"/>
  <c r="K30" i="3" s="1"/>
  <c r="O30" i="4"/>
  <c r="P31" i="4"/>
  <c r="K31" i="3" s="1"/>
  <c r="O31" i="4"/>
  <c r="P32" i="4"/>
  <c r="K32" i="3" s="1"/>
  <c r="O32" i="4"/>
  <c r="P33" i="4"/>
  <c r="K33" i="3" s="1"/>
  <c r="O33" i="4"/>
  <c r="P34" i="4"/>
  <c r="K34" i="3" s="1"/>
  <c r="O34" i="4"/>
  <c r="P35" i="4"/>
  <c r="K35" i="3" s="1"/>
  <c r="O35" i="4"/>
  <c r="P36" i="4"/>
  <c r="K36" i="3" s="1"/>
  <c r="O36" i="4"/>
  <c r="P37" i="4"/>
  <c r="K37" i="3" s="1"/>
  <c r="O37" i="4"/>
  <c r="P38" i="4"/>
  <c r="K38" i="3" s="1"/>
  <c r="O38" i="4"/>
  <c r="P39" i="4"/>
  <c r="K39" i="3" s="1"/>
  <c r="O39" i="4"/>
  <c r="P40" i="4"/>
  <c r="K40" i="3" s="1"/>
  <c r="O40" i="4"/>
  <c r="P41" i="4"/>
  <c r="K41" i="3" s="1"/>
  <c r="O41" i="4"/>
  <c r="P42" i="4"/>
  <c r="K42" i="3" s="1"/>
  <c r="O42" i="4"/>
  <c r="P43" i="4"/>
  <c r="K43" i="3" s="1"/>
  <c r="O43" i="4"/>
  <c r="P44" i="4"/>
  <c r="K44" i="3" s="1"/>
  <c r="O44" i="4"/>
  <c r="P45" i="4"/>
  <c r="K45" i="3" s="1"/>
  <c r="O45" i="4"/>
  <c r="P46" i="4"/>
  <c r="K46" i="3" s="1"/>
  <c r="O46" i="4"/>
  <c r="P47" i="4"/>
  <c r="K47" i="3" s="1"/>
  <c r="O47" i="4"/>
  <c r="P48" i="4"/>
  <c r="K48" i="3" s="1"/>
  <c r="O48" i="4"/>
  <c r="P49" i="4"/>
  <c r="K49" i="3" s="1"/>
  <c r="O49" i="4"/>
  <c r="P50" i="4"/>
  <c r="K50" i="3" s="1"/>
  <c r="O50" i="4"/>
  <c r="P51" i="4"/>
  <c r="K51" i="3" s="1"/>
  <c r="O51" i="4"/>
  <c r="P52" i="4"/>
  <c r="K52" i="3" s="1"/>
  <c r="O52" i="4"/>
  <c r="P53" i="4"/>
  <c r="K53" i="3" s="1"/>
  <c r="O53" i="4"/>
  <c r="P54" i="4"/>
  <c r="K54" i="3" s="1"/>
  <c r="O54" i="4"/>
  <c r="Y54" i="4"/>
  <c r="Z54" i="4" s="1"/>
  <c r="I54" i="4"/>
  <c r="D54" i="3"/>
  <c r="Y53" i="4"/>
  <c r="Z53" i="4" s="1"/>
  <c r="I53" i="4"/>
  <c r="D53" i="3"/>
  <c r="Y52" i="4"/>
  <c r="Z52" i="4" s="1"/>
  <c r="I52" i="4"/>
  <c r="D52" i="3"/>
  <c r="Y51" i="4"/>
  <c r="Z51" i="4" s="1"/>
  <c r="I51" i="4"/>
  <c r="D51" i="3"/>
  <c r="Y50" i="4"/>
  <c r="Z50" i="4" s="1"/>
  <c r="I50" i="4"/>
  <c r="D50" i="3"/>
  <c r="Y49" i="4"/>
  <c r="Z49" i="4" s="1"/>
  <c r="I49" i="4"/>
  <c r="D49" i="3"/>
  <c r="Y48" i="4"/>
  <c r="Z48" i="4" s="1"/>
  <c r="I48" i="4"/>
  <c r="D48" i="3"/>
  <c r="Y47" i="4"/>
  <c r="Z47" i="4" s="1"/>
  <c r="I47" i="4"/>
  <c r="D47" i="3"/>
  <c r="Y46" i="4"/>
  <c r="Z46" i="4" s="1"/>
  <c r="I46" i="4"/>
  <c r="D46" i="3"/>
  <c r="Y45" i="4"/>
  <c r="Z45" i="4" s="1"/>
  <c r="I45" i="4"/>
  <c r="D45" i="3"/>
  <c r="Y44" i="4"/>
  <c r="Z44" i="4" s="1"/>
  <c r="I44" i="4"/>
  <c r="D44" i="3"/>
  <c r="Y43" i="4"/>
  <c r="Z43" i="4" s="1"/>
  <c r="I43" i="4"/>
  <c r="D43" i="3"/>
  <c r="I42" i="4"/>
  <c r="D42" i="3"/>
  <c r="I41" i="4"/>
  <c r="D41" i="3"/>
  <c r="I40" i="4"/>
  <c r="D40" i="3"/>
  <c r="I39" i="4"/>
  <c r="D39" i="3"/>
  <c r="I38" i="4"/>
  <c r="D38" i="3"/>
  <c r="I37" i="4"/>
  <c r="D37" i="3"/>
  <c r="I36" i="4"/>
  <c r="D36" i="3"/>
  <c r="I35" i="4"/>
  <c r="D35" i="3"/>
  <c r="I34" i="4"/>
  <c r="D34" i="3"/>
  <c r="I33" i="4"/>
  <c r="D33" i="3"/>
  <c r="I32" i="4"/>
  <c r="D32" i="3"/>
  <c r="I31" i="4"/>
  <c r="D31" i="3"/>
  <c r="Y30" i="4"/>
  <c r="Z30" i="4" s="1"/>
  <c r="I30" i="4"/>
  <c r="D30" i="3"/>
  <c r="Y29" i="4"/>
  <c r="Z29" i="4" s="1"/>
  <c r="I29" i="4"/>
  <c r="D29" i="3"/>
  <c r="Y28" i="4"/>
  <c r="Z28" i="4" s="1"/>
  <c r="I28" i="4"/>
  <c r="D28" i="3"/>
  <c r="Y27" i="4"/>
  <c r="Z27" i="4" s="1"/>
  <c r="I27" i="4"/>
  <c r="D27" i="3"/>
  <c r="Y26" i="4"/>
  <c r="Z26" i="4" s="1"/>
  <c r="I26" i="4"/>
  <c r="D26" i="3"/>
  <c r="Y25" i="4"/>
  <c r="Z25" i="4" s="1"/>
  <c r="I25" i="4"/>
  <c r="D25" i="3"/>
  <c r="Y24" i="4"/>
  <c r="Z24" i="4" s="1"/>
  <c r="I24" i="4"/>
  <c r="D24" i="3"/>
  <c r="Y23" i="4"/>
  <c r="Z23" i="4" s="1"/>
  <c r="I23" i="4"/>
  <c r="D23" i="3"/>
  <c r="Y22" i="4"/>
  <c r="Z22" i="4" s="1"/>
  <c r="I22" i="4"/>
  <c r="D22" i="3"/>
  <c r="Y21" i="4"/>
  <c r="Z21" i="4" s="1"/>
  <c r="I21" i="4"/>
  <c r="D21" i="3"/>
  <c r="Y20" i="4"/>
  <c r="Z20" i="4" s="1"/>
  <c r="I20" i="4"/>
  <c r="D20" i="3"/>
  <c r="Y19" i="4"/>
  <c r="Z19" i="4" s="1"/>
  <c r="I19" i="4"/>
  <c r="D19" i="3"/>
  <c r="Y18" i="4"/>
  <c r="Z18" i="4" s="1"/>
  <c r="I18" i="4"/>
  <c r="D18" i="3"/>
  <c r="Y17" i="4"/>
  <c r="Z17" i="4" s="1"/>
  <c r="I17" i="4"/>
  <c r="D17" i="3"/>
  <c r="Y16" i="4"/>
  <c r="Z16" i="4" s="1"/>
  <c r="I16" i="4"/>
  <c r="D16" i="3"/>
  <c r="Y15" i="4"/>
  <c r="Z15" i="4" s="1"/>
  <c r="I15" i="4"/>
  <c r="D15" i="3"/>
  <c r="Y14" i="4"/>
  <c r="Z14" i="4" s="1"/>
  <c r="I14" i="4"/>
  <c r="D14" i="3"/>
  <c r="Y13" i="4"/>
  <c r="Z13" i="4" s="1"/>
  <c r="I13" i="4"/>
  <c r="D13" i="3"/>
  <c r="Y12" i="4"/>
  <c r="Z12" i="4" s="1"/>
  <c r="I12" i="4"/>
  <c r="D12" i="3"/>
  <c r="Y11" i="4"/>
  <c r="Z11" i="4" s="1"/>
  <c r="I11" i="4"/>
  <c r="D11" i="3"/>
  <c r="Y10" i="4"/>
  <c r="Z10" i="4" s="1"/>
  <c r="I10" i="4"/>
  <c r="D10" i="3"/>
  <c r="Y9" i="4"/>
  <c r="Z9" i="4" s="1"/>
  <c r="I9" i="4"/>
  <c r="D9" i="3"/>
  <c r="Y8" i="4"/>
  <c r="Z8" i="4" s="1"/>
  <c r="I8" i="4"/>
  <c r="D8" i="3"/>
  <c r="Y7" i="4"/>
  <c r="Z7" i="4" s="1"/>
  <c r="H7" i="4"/>
  <c r="I7" i="4" l="1"/>
  <c r="D7" i="3"/>
  <c r="AD7" i="4"/>
  <c r="M7" i="4"/>
  <c r="N8" i="4" s="1"/>
  <c r="G8" i="3" s="1"/>
  <c r="I7" i="3"/>
  <c r="J8" i="4"/>
  <c r="E8" i="3"/>
  <c r="K8" i="4"/>
  <c r="F8" i="3" s="1"/>
  <c r="I8" i="3"/>
  <c r="J9" i="4"/>
  <c r="E9" i="3"/>
  <c r="K9" i="4"/>
  <c r="F9" i="3" s="1"/>
  <c r="I9" i="3"/>
  <c r="J10" i="4"/>
  <c r="E10" i="3"/>
  <c r="K10" i="4"/>
  <c r="F10" i="3" s="1"/>
  <c r="I10" i="3"/>
  <c r="J11" i="4"/>
  <c r="E11" i="3"/>
  <c r="K11" i="4"/>
  <c r="F11" i="3" s="1"/>
  <c r="I11" i="3"/>
  <c r="J12" i="4"/>
  <c r="E12" i="3"/>
  <c r="K12" i="4"/>
  <c r="F12" i="3" s="1"/>
  <c r="I12" i="3"/>
  <c r="J13" i="4"/>
  <c r="E13" i="3"/>
  <c r="K13" i="4"/>
  <c r="F13" i="3" s="1"/>
  <c r="I13" i="3"/>
  <c r="J14" i="4"/>
  <c r="E14" i="3"/>
  <c r="K14" i="4"/>
  <c r="F14" i="3" s="1"/>
  <c r="I14" i="3"/>
  <c r="J15" i="4"/>
  <c r="E15" i="3"/>
  <c r="K15" i="4"/>
  <c r="F15" i="3" s="1"/>
  <c r="I15" i="3"/>
  <c r="J16" i="4"/>
  <c r="E16" i="3"/>
  <c r="K16" i="4"/>
  <c r="F16" i="3" s="1"/>
  <c r="I16" i="3"/>
  <c r="J17" i="4"/>
  <c r="E17" i="3"/>
  <c r="K17" i="4"/>
  <c r="F17" i="3" s="1"/>
  <c r="I17" i="3"/>
  <c r="J18" i="4"/>
  <c r="E18" i="3"/>
  <c r="K18" i="4"/>
  <c r="F18" i="3" s="1"/>
  <c r="I18" i="3"/>
  <c r="J19" i="4"/>
  <c r="E19" i="3"/>
  <c r="K19" i="4"/>
  <c r="F19" i="3" s="1"/>
  <c r="I19" i="3"/>
  <c r="J20" i="4"/>
  <c r="E20" i="3"/>
  <c r="K20" i="4"/>
  <c r="F20" i="3" s="1"/>
  <c r="I20" i="3"/>
  <c r="J21" i="4"/>
  <c r="E21" i="3"/>
  <c r="K21" i="4"/>
  <c r="F21" i="3" s="1"/>
  <c r="I21" i="3"/>
  <c r="J22" i="4"/>
  <c r="E22" i="3"/>
  <c r="K22" i="4"/>
  <c r="F22" i="3" s="1"/>
  <c r="I22" i="3"/>
  <c r="J23" i="4"/>
  <c r="E23" i="3"/>
  <c r="K23" i="4"/>
  <c r="F23" i="3" s="1"/>
  <c r="I23" i="3"/>
  <c r="J24" i="4"/>
  <c r="E24" i="3"/>
  <c r="K24" i="4"/>
  <c r="F24" i="3" s="1"/>
  <c r="I24" i="3"/>
  <c r="J25" i="4"/>
  <c r="E25" i="3"/>
  <c r="K25" i="4"/>
  <c r="F25" i="3" s="1"/>
  <c r="I25" i="3"/>
  <c r="J26" i="4"/>
  <c r="E26" i="3"/>
  <c r="K26" i="4"/>
  <c r="F26" i="3" s="1"/>
  <c r="I26" i="3"/>
  <c r="J27" i="4"/>
  <c r="E27" i="3"/>
  <c r="K27" i="4"/>
  <c r="F27" i="3" s="1"/>
  <c r="I27" i="3"/>
  <c r="J28" i="4"/>
  <c r="E28" i="3"/>
  <c r="K28" i="4"/>
  <c r="F28" i="3" s="1"/>
  <c r="I28" i="3"/>
  <c r="J29" i="4"/>
  <c r="E29" i="3"/>
  <c r="K29" i="4"/>
  <c r="F29" i="3" s="1"/>
  <c r="I29" i="3"/>
  <c r="J30" i="4"/>
  <c r="E30" i="3"/>
  <c r="K30" i="4"/>
  <c r="F30" i="3" s="1"/>
  <c r="I30" i="3"/>
  <c r="J31" i="4"/>
  <c r="E31" i="3"/>
  <c r="K31" i="4"/>
  <c r="F31" i="3" s="1"/>
  <c r="J32" i="4"/>
  <c r="E32" i="3"/>
  <c r="K32" i="4"/>
  <c r="F32" i="3" s="1"/>
  <c r="J33" i="4"/>
  <c r="E33" i="3"/>
  <c r="K33" i="4"/>
  <c r="F33" i="3" s="1"/>
  <c r="J34" i="4"/>
  <c r="E34" i="3"/>
  <c r="K34" i="4"/>
  <c r="F34" i="3" s="1"/>
  <c r="J35" i="4"/>
  <c r="E35" i="3"/>
  <c r="K35" i="4"/>
  <c r="F35" i="3" s="1"/>
  <c r="J36" i="4"/>
  <c r="E36" i="3"/>
  <c r="K36" i="4"/>
  <c r="F36" i="3" s="1"/>
  <c r="J37" i="4"/>
  <c r="E37" i="3"/>
  <c r="K37" i="4"/>
  <c r="F37" i="3" s="1"/>
  <c r="J38" i="4"/>
  <c r="E38" i="3"/>
  <c r="K38" i="4"/>
  <c r="F38" i="3" s="1"/>
  <c r="J39" i="4"/>
  <c r="E39" i="3"/>
  <c r="K39" i="4"/>
  <c r="F39" i="3" s="1"/>
  <c r="J40" i="4"/>
  <c r="E40" i="3"/>
  <c r="K40" i="4"/>
  <c r="F40" i="3" s="1"/>
  <c r="J41" i="4"/>
  <c r="E41" i="3"/>
  <c r="K41" i="4"/>
  <c r="F41" i="3" s="1"/>
  <c r="J42" i="4"/>
  <c r="E42" i="3"/>
  <c r="K42" i="4"/>
  <c r="F42" i="3" s="1"/>
  <c r="J43" i="4"/>
  <c r="E43" i="3"/>
  <c r="K43" i="4"/>
  <c r="F43" i="3" s="1"/>
  <c r="I43" i="3"/>
  <c r="J44" i="4"/>
  <c r="E44" i="3"/>
  <c r="K44" i="4"/>
  <c r="F44" i="3" s="1"/>
  <c r="I44" i="3"/>
  <c r="J45" i="4"/>
  <c r="E45" i="3"/>
  <c r="K45" i="4"/>
  <c r="F45" i="3" s="1"/>
  <c r="I45" i="3"/>
  <c r="J46" i="4"/>
  <c r="E46" i="3"/>
  <c r="K46" i="4"/>
  <c r="F46" i="3" s="1"/>
  <c r="I46" i="3"/>
  <c r="J47" i="4"/>
  <c r="E47" i="3"/>
  <c r="K47" i="4"/>
  <c r="F47" i="3" s="1"/>
  <c r="I47" i="3"/>
  <c r="J48" i="4"/>
  <c r="E48" i="3"/>
  <c r="K48" i="4"/>
  <c r="F48" i="3" s="1"/>
  <c r="I48" i="3"/>
  <c r="J49" i="4"/>
  <c r="E49" i="3"/>
  <c r="K49" i="4"/>
  <c r="F49" i="3" s="1"/>
  <c r="I49" i="3"/>
  <c r="J50" i="4"/>
  <c r="E50" i="3"/>
  <c r="K50" i="4"/>
  <c r="F50" i="3" s="1"/>
  <c r="I50" i="3"/>
  <c r="J51" i="4"/>
  <c r="E51" i="3"/>
  <c r="K51" i="4"/>
  <c r="F51" i="3" s="1"/>
  <c r="I51" i="3"/>
  <c r="J52" i="4"/>
  <c r="E52" i="3"/>
  <c r="K52" i="4"/>
  <c r="F52" i="3" s="1"/>
  <c r="I52" i="3"/>
  <c r="J53" i="4"/>
  <c r="E53" i="3"/>
  <c r="K53" i="4"/>
  <c r="F53" i="3" s="1"/>
  <c r="I53" i="3"/>
  <c r="J54" i="4"/>
  <c r="E54" i="3"/>
  <c r="K54" i="4"/>
  <c r="F54" i="3" s="1"/>
  <c r="I54" i="3"/>
  <c r="Q54" i="4"/>
  <c r="J54" i="3"/>
  <c r="Q53" i="4"/>
  <c r="J53" i="3"/>
  <c r="Q52" i="4"/>
  <c r="J52" i="3"/>
  <c r="Q51" i="4"/>
  <c r="J51" i="3"/>
  <c r="Q50" i="4"/>
  <c r="J50" i="3"/>
  <c r="Q49" i="4"/>
  <c r="J49" i="3"/>
  <c r="Q48" i="4"/>
  <c r="J48" i="3"/>
  <c r="Q47" i="4"/>
  <c r="J47" i="3"/>
  <c r="Q46" i="4"/>
  <c r="J46" i="3"/>
  <c r="Q45" i="4"/>
  <c r="J45" i="3"/>
  <c r="Q44" i="4"/>
  <c r="J44" i="3"/>
  <c r="Q43" i="4"/>
  <c r="J43" i="3"/>
  <c r="Q42" i="4"/>
  <c r="J42" i="3"/>
  <c r="Q41" i="4"/>
  <c r="J41" i="3"/>
  <c r="Q40" i="4"/>
  <c r="J40" i="3"/>
  <c r="Q39" i="4"/>
  <c r="J39" i="3"/>
  <c r="Q38" i="4"/>
  <c r="J38" i="3"/>
  <c r="Q37" i="4"/>
  <c r="J37" i="3"/>
  <c r="Q36" i="4"/>
  <c r="J36" i="3"/>
  <c r="Q35" i="4"/>
  <c r="J35" i="3"/>
  <c r="Q34" i="4"/>
  <c r="J34" i="3"/>
  <c r="Q33" i="4"/>
  <c r="J33" i="3"/>
  <c r="Q32" i="4"/>
  <c r="J32" i="3"/>
  <c r="Q31" i="4"/>
  <c r="J31" i="3"/>
  <c r="Q30" i="4"/>
  <c r="J30" i="3"/>
  <c r="R30" i="4"/>
  <c r="Q29" i="4"/>
  <c r="J29" i="3"/>
  <c r="R29" i="4"/>
  <c r="Q28" i="4"/>
  <c r="J28" i="3"/>
  <c r="R28" i="4"/>
  <c r="Q27" i="4"/>
  <c r="J27" i="3"/>
  <c r="R27" i="4"/>
  <c r="Q26" i="4"/>
  <c r="J26" i="3"/>
  <c r="R26" i="4"/>
  <c r="Q25" i="4"/>
  <c r="J25" i="3"/>
  <c r="R25" i="4"/>
  <c r="Q24" i="4"/>
  <c r="J24" i="3"/>
  <c r="R24" i="4"/>
  <c r="Q23" i="4"/>
  <c r="J23" i="3"/>
  <c r="R23" i="4"/>
  <c r="Q22" i="4"/>
  <c r="J22" i="3"/>
  <c r="R22" i="4"/>
  <c r="Q21" i="4"/>
  <c r="J21" i="3"/>
  <c r="R21" i="4"/>
  <c r="Q20" i="4"/>
  <c r="J20" i="3"/>
  <c r="R20" i="4"/>
  <c r="Q19" i="4"/>
  <c r="J19" i="3"/>
  <c r="R19" i="4"/>
  <c r="Q18" i="4"/>
  <c r="J18" i="3"/>
  <c r="Q17" i="4"/>
  <c r="J17" i="3"/>
  <c r="Q16" i="4"/>
  <c r="J16" i="3"/>
  <c r="Q15" i="4"/>
  <c r="J15" i="3"/>
  <c r="Q14" i="4"/>
  <c r="J14" i="3"/>
  <c r="Q13" i="4"/>
  <c r="J13" i="3"/>
  <c r="Q12" i="4"/>
  <c r="J12" i="3"/>
  <c r="Q11" i="4"/>
  <c r="J11" i="3"/>
  <c r="Q10" i="4"/>
  <c r="J10" i="3"/>
  <c r="Q9" i="4"/>
  <c r="J9" i="3"/>
  <c r="Q8" i="4"/>
  <c r="J8" i="3"/>
  <c r="Q7" i="4"/>
  <c r="J7" i="3"/>
  <c r="AF54" i="4"/>
  <c r="AF53" i="4"/>
  <c r="AF52" i="4"/>
  <c r="AF51" i="4"/>
  <c r="AF50" i="4"/>
  <c r="AF49" i="4"/>
  <c r="AF48" i="4"/>
  <c r="AF47" i="4"/>
  <c r="AF46" i="4"/>
  <c r="AF45" i="4"/>
  <c r="AF44" i="4"/>
  <c r="AF43" i="4"/>
  <c r="AF42" i="4"/>
  <c r="AF41" i="4"/>
  <c r="AF40" i="4"/>
  <c r="AF39" i="4"/>
  <c r="AF38" i="4"/>
  <c r="AF37" i="4"/>
  <c r="AF36" i="4"/>
  <c r="AF35" i="4"/>
  <c r="AF34" i="4"/>
  <c r="AF33" i="4"/>
  <c r="AF32" i="4"/>
  <c r="AF31" i="4"/>
  <c r="AF30" i="4"/>
  <c r="AF29" i="4"/>
  <c r="AF28" i="4"/>
  <c r="AF27" i="4"/>
  <c r="AF26" i="4"/>
  <c r="AF25" i="4"/>
  <c r="AF24" i="4"/>
  <c r="AF23" i="4"/>
  <c r="AF22" i="4"/>
  <c r="AF21" i="4"/>
  <c r="AF20" i="4"/>
  <c r="AF19" i="4"/>
  <c r="AF18" i="4"/>
  <c r="AF17" i="4"/>
  <c r="AF16" i="4"/>
  <c r="AF15" i="4"/>
  <c r="AF14" i="4"/>
  <c r="AF13" i="4"/>
  <c r="AF12" i="4"/>
  <c r="AF11" i="4"/>
  <c r="AF10" i="4"/>
  <c r="AF9" i="4"/>
  <c r="AF8" i="4"/>
  <c r="AF7" i="4"/>
  <c r="F15" i="7"/>
  <c r="H15" i="7" s="1"/>
  <c r="J15" i="7" s="1"/>
  <c r="K15" i="7" s="1"/>
  <c r="F14" i="7"/>
  <c r="H14" i="7" s="1"/>
  <c r="J14" i="7" s="1"/>
  <c r="K14" i="7" s="1"/>
  <c r="F13" i="7"/>
  <c r="H13" i="7" s="1"/>
  <c r="J13" i="7" s="1"/>
  <c r="K13" i="7" s="1"/>
  <c r="F12" i="7"/>
  <c r="H12" i="7" s="1"/>
  <c r="J12" i="7" s="1"/>
  <c r="K12" i="7" s="1"/>
  <c r="F11" i="7"/>
  <c r="H11" i="7" s="1"/>
  <c r="J11" i="7" s="1"/>
  <c r="K11" i="7" s="1"/>
  <c r="F10" i="7"/>
  <c r="H10" i="7" s="1"/>
  <c r="J10" i="7" s="1"/>
  <c r="K10" i="7" s="1"/>
  <c r="F9" i="7"/>
  <c r="H9" i="7" s="1"/>
  <c r="J9" i="7" s="1"/>
  <c r="K9" i="7" s="1"/>
  <c r="F8" i="7"/>
  <c r="H8" i="7" s="1"/>
  <c r="J8" i="7" s="1"/>
  <c r="K8" i="7" s="1"/>
  <c r="F7" i="7"/>
  <c r="H7" i="7" s="1"/>
  <c r="J7" i="7" s="1"/>
  <c r="K7" i="7" s="1"/>
  <c r="F6" i="7"/>
  <c r="H6" i="7" s="1"/>
  <c r="J6" i="7" s="1"/>
  <c r="K6" i="7" s="1"/>
  <c r="F5" i="7"/>
  <c r="H5" i="7" s="1"/>
  <c r="J5" i="7" s="1"/>
  <c r="K5" i="7" s="1"/>
  <c r="H4" i="7"/>
  <c r="J4" i="7" s="1"/>
  <c r="K4" i="7" s="1"/>
  <c r="P7" i="6"/>
  <c r="O7" i="6"/>
  <c r="P8" i="6"/>
  <c r="O8" i="6"/>
  <c r="Q8" i="6" s="1"/>
  <c r="P9" i="6"/>
  <c r="O9" i="6"/>
  <c r="Q9" i="6" s="1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3" i="6"/>
  <c r="O34" i="6"/>
  <c r="O35" i="6"/>
  <c r="O36" i="6"/>
  <c r="O37" i="6"/>
  <c r="O38" i="6"/>
  <c r="O39" i="6"/>
  <c r="O40" i="6"/>
  <c r="O41" i="6"/>
  <c r="O42" i="6"/>
  <c r="P43" i="6"/>
  <c r="O43" i="6"/>
  <c r="Q43" i="6" s="1"/>
  <c r="P44" i="6"/>
  <c r="O44" i="6"/>
  <c r="Q44" i="6" s="1"/>
  <c r="P45" i="6"/>
  <c r="O45" i="6"/>
  <c r="Q45" i="6" s="1"/>
  <c r="P46" i="6"/>
  <c r="O46" i="6"/>
  <c r="Q46" i="6" s="1"/>
  <c r="P47" i="6"/>
  <c r="O47" i="6"/>
  <c r="Q47" i="6" s="1"/>
  <c r="P48" i="6"/>
  <c r="O48" i="6"/>
  <c r="Q48" i="6" s="1"/>
  <c r="P49" i="6"/>
  <c r="O49" i="6"/>
  <c r="Q49" i="6" s="1"/>
  <c r="P50" i="6"/>
  <c r="O50" i="6"/>
  <c r="Q50" i="6" s="1"/>
  <c r="P51" i="6"/>
  <c r="O51" i="6"/>
  <c r="Q51" i="6" s="1"/>
  <c r="P52" i="6"/>
  <c r="O52" i="6"/>
  <c r="Q52" i="6" s="1"/>
  <c r="P53" i="6"/>
  <c r="O53" i="6"/>
  <c r="Q53" i="6" s="1"/>
  <c r="P54" i="6"/>
  <c r="O54" i="6"/>
  <c r="Q54" i="6" s="1"/>
  <c r="L9" i="6"/>
  <c r="AD9" i="6" s="1"/>
  <c r="AE8" i="6"/>
  <c r="F27" i="7"/>
  <c r="H27" i="7" s="1"/>
  <c r="J27" i="7" s="1"/>
  <c r="K27" i="7" s="1"/>
  <c r="F26" i="7"/>
  <c r="H26" i="7" s="1"/>
  <c r="J26" i="7" s="1"/>
  <c r="F25" i="7"/>
  <c r="H25" i="7" s="1"/>
  <c r="J25" i="7" s="1"/>
  <c r="F24" i="7"/>
  <c r="H24" i="7" s="1"/>
  <c r="J24" i="7" s="1"/>
  <c r="F23" i="7"/>
  <c r="H23" i="7" s="1"/>
  <c r="J23" i="7" s="1"/>
  <c r="F22" i="7"/>
  <c r="H22" i="7" s="1"/>
  <c r="J22" i="7" s="1"/>
  <c r="F21" i="7"/>
  <c r="H21" i="7" s="1"/>
  <c r="J21" i="7" s="1"/>
  <c r="F20" i="7"/>
  <c r="H20" i="7" s="1"/>
  <c r="J20" i="7" s="1"/>
  <c r="F19" i="7"/>
  <c r="H19" i="7" s="1"/>
  <c r="J19" i="7" s="1"/>
  <c r="F18" i="7"/>
  <c r="H18" i="7" s="1"/>
  <c r="J18" i="7" s="1"/>
  <c r="F17" i="7"/>
  <c r="H17" i="7" s="1"/>
  <c r="J17" i="7" s="1"/>
  <c r="H16" i="7"/>
  <c r="J16" i="7" s="1"/>
  <c r="F39" i="7"/>
  <c r="H39" i="7" s="1"/>
  <c r="J39" i="7" s="1"/>
  <c r="K39" i="7" s="1"/>
  <c r="F38" i="7"/>
  <c r="H38" i="7" s="1"/>
  <c r="J38" i="7" s="1"/>
  <c r="F37" i="7"/>
  <c r="H37" i="7" s="1"/>
  <c r="J37" i="7" s="1"/>
  <c r="K37" i="7" s="1"/>
  <c r="F36" i="7"/>
  <c r="H36" i="7" s="1"/>
  <c r="J36" i="7" s="1"/>
  <c r="K36" i="7" s="1"/>
  <c r="F35" i="7"/>
  <c r="H35" i="7" s="1"/>
  <c r="J35" i="7" s="1"/>
  <c r="K35" i="7" s="1"/>
  <c r="F34" i="7"/>
  <c r="H34" i="7" s="1"/>
  <c r="J34" i="7" s="1"/>
  <c r="K34" i="7" s="1"/>
  <c r="F33" i="7"/>
  <c r="H33" i="7" s="1"/>
  <c r="J33" i="7" s="1"/>
  <c r="K33" i="7" s="1"/>
  <c r="F32" i="7"/>
  <c r="H32" i="7" s="1"/>
  <c r="J32" i="7" s="1"/>
  <c r="K32" i="7" s="1"/>
  <c r="F31" i="7"/>
  <c r="H31" i="7" s="1"/>
  <c r="J31" i="7" s="1"/>
  <c r="K31" i="7" s="1"/>
  <c r="F30" i="7"/>
  <c r="H30" i="7" s="1"/>
  <c r="J30" i="7" s="1"/>
  <c r="K30" i="7" s="1"/>
  <c r="F29" i="7"/>
  <c r="H29" i="7" s="1"/>
  <c r="J29" i="7" s="1"/>
  <c r="K29" i="7" s="1"/>
  <c r="H28" i="7"/>
  <c r="J28" i="7" s="1"/>
  <c r="K28" i="7" s="1"/>
  <c r="F51" i="7"/>
  <c r="H51" i="7" s="1"/>
  <c r="J51" i="7" s="1"/>
  <c r="K51" i="7" s="1"/>
  <c r="F50" i="7"/>
  <c r="H50" i="7" s="1"/>
  <c r="J50" i="7" s="1"/>
  <c r="F49" i="7"/>
  <c r="H49" i="7" s="1"/>
  <c r="J49" i="7" s="1"/>
  <c r="K49" i="7" s="1"/>
  <c r="F48" i="7"/>
  <c r="H48" i="7" s="1"/>
  <c r="J48" i="7" s="1"/>
  <c r="K48" i="7" s="1"/>
  <c r="F47" i="7"/>
  <c r="H47" i="7" s="1"/>
  <c r="J47" i="7" s="1"/>
  <c r="K47" i="7" s="1"/>
  <c r="F46" i="7"/>
  <c r="H46" i="7" s="1"/>
  <c r="J46" i="7" s="1"/>
  <c r="K46" i="7" s="1"/>
  <c r="F45" i="7"/>
  <c r="H45" i="7" s="1"/>
  <c r="J45" i="7" s="1"/>
  <c r="K45" i="7" s="1"/>
  <c r="F44" i="7"/>
  <c r="H44" i="7" s="1"/>
  <c r="J44" i="7" s="1"/>
  <c r="K44" i="7" s="1"/>
  <c r="F43" i="7"/>
  <c r="H43" i="7" s="1"/>
  <c r="J43" i="7" s="1"/>
  <c r="K43" i="7" s="1"/>
  <c r="F42" i="7"/>
  <c r="H42" i="7" s="1"/>
  <c r="J42" i="7" s="1"/>
  <c r="K42" i="7" s="1"/>
  <c r="F41" i="7"/>
  <c r="H41" i="7" s="1"/>
  <c r="J41" i="7" s="1"/>
  <c r="K41" i="7" s="1"/>
  <c r="H40" i="7"/>
  <c r="J40" i="7" s="1"/>
  <c r="K40" i="7" s="1"/>
  <c r="F63" i="7"/>
  <c r="H63" i="7" s="1"/>
  <c r="J63" i="7" s="1"/>
  <c r="K63" i="7" s="1"/>
  <c r="F62" i="7"/>
  <c r="H62" i="7" s="1"/>
  <c r="J62" i="7" s="1"/>
  <c r="F61" i="7"/>
  <c r="H61" i="7" s="1"/>
  <c r="J61" i="7" s="1"/>
  <c r="K61" i="7" s="1"/>
  <c r="F60" i="7"/>
  <c r="H60" i="7" s="1"/>
  <c r="J60" i="7" s="1"/>
  <c r="K60" i="7" s="1"/>
  <c r="F59" i="7"/>
  <c r="H59" i="7" s="1"/>
  <c r="J59" i="7" s="1"/>
  <c r="K59" i="7" s="1"/>
  <c r="F58" i="7"/>
  <c r="H58" i="7" s="1"/>
  <c r="J58" i="7" s="1"/>
  <c r="K58" i="7" s="1"/>
  <c r="F57" i="7"/>
  <c r="H57" i="7" s="1"/>
  <c r="J57" i="7" s="1"/>
  <c r="K57" i="7" s="1"/>
  <c r="F56" i="7"/>
  <c r="H56" i="7" s="1"/>
  <c r="J56" i="7" s="1"/>
  <c r="K56" i="7" s="1"/>
  <c r="F55" i="7"/>
  <c r="H55" i="7" s="1"/>
  <c r="J55" i="7" s="1"/>
  <c r="K55" i="7" s="1"/>
  <c r="F54" i="7"/>
  <c r="H54" i="7" s="1"/>
  <c r="J54" i="7" s="1"/>
  <c r="K54" i="7" s="1"/>
  <c r="F53" i="7"/>
  <c r="H53" i="7" s="1"/>
  <c r="J53" i="7" s="1"/>
  <c r="K53" i="7" s="1"/>
  <c r="H52" i="7"/>
  <c r="J52" i="7" s="1"/>
  <c r="K52" i="7" s="1"/>
  <c r="F75" i="7"/>
  <c r="H75" i="7" s="1"/>
  <c r="J75" i="7" s="1"/>
  <c r="K75" i="7" s="1"/>
  <c r="F74" i="7"/>
  <c r="H74" i="7" s="1"/>
  <c r="J74" i="7" s="1"/>
  <c r="F73" i="7"/>
  <c r="H73" i="7" s="1"/>
  <c r="J73" i="7" s="1"/>
  <c r="K73" i="7" s="1"/>
  <c r="F72" i="7"/>
  <c r="H72" i="7" s="1"/>
  <c r="J72" i="7" s="1"/>
  <c r="K72" i="7" s="1"/>
  <c r="F71" i="7"/>
  <c r="H71" i="7" s="1"/>
  <c r="J71" i="7" s="1"/>
  <c r="K71" i="7" s="1"/>
  <c r="F70" i="7"/>
  <c r="H70" i="7" s="1"/>
  <c r="J70" i="7" s="1"/>
  <c r="K70" i="7" s="1"/>
  <c r="F69" i="7"/>
  <c r="H69" i="7" s="1"/>
  <c r="J69" i="7" s="1"/>
  <c r="K69" i="7" s="1"/>
  <c r="F68" i="7"/>
  <c r="H68" i="7" s="1"/>
  <c r="J68" i="7" s="1"/>
  <c r="K68" i="7" s="1"/>
  <c r="F67" i="7"/>
  <c r="H67" i="7" s="1"/>
  <c r="J67" i="7" s="1"/>
  <c r="K67" i="7" s="1"/>
  <c r="F66" i="7"/>
  <c r="H66" i="7" s="1"/>
  <c r="J66" i="7" s="1"/>
  <c r="K66" i="7" s="1"/>
  <c r="F65" i="7"/>
  <c r="H65" i="7" s="1"/>
  <c r="J65" i="7" s="1"/>
  <c r="K65" i="7" s="1"/>
  <c r="H64" i="7"/>
  <c r="J64" i="7" s="1"/>
  <c r="K64" i="7" s="1"/>
  <c r="F87" i="7"/>
  <c r="H87" i="7" s="1"/>
  <c r="J87" i="7" s="1"/>
  <c r="K87" i="7" s="1"/>
  <c r="F86" i="7"/>
  <c r="H86" i="7" s="1"/>
  <c r="J86" i="7" s="1"/>
  <c r="F85" i="7"/>
  <c r="H85" i="7" s="1"/>
  <c r="J85" i="7" s="1"/>
  <c r="K85" i="7" s="1"/>
  <c r="F84" i="7"/>
  <c r="H84" i="7" s="1"/>
  <c r="J84" i="7" s="1"/>
  <c r="K84" i="7" s="1"/>
  <c r="F83" i="7"/>
  <c r="H83" i="7" s="1"/>
  <c r="J83" i="7" s="1"/>
  <c r="K83" i="7" s="1"/>
  <c r="F82" i="7"/>
  <c r="H82" i="7" s="1"/>
  <c r="J82" i="7" s="1"/>
  <c r="K82" i="7" s="1"/>
  <c r="F81" i="7"/>
  <c r="H81" i="7" s="1"/>
  <c r="J81" i="7" s="1"/>
  <c r="K81" i="7" s="1"/>
  <c r="F80" i="7"/>
  <c r="H80" i="7" s="1"/>
  <c r="J80" i="7" s="1"/>
  <c r="K80" i="7" s="1"/>
  <c r="F79" i="7"/>
  <c r="H79" i="7" s="1"/>
  <c r="J79" i="7" s="1"/>
  <c r="K79" i="7" s="1"/>
  <c r="F78" i="7"/>
  <c r="H78" i="7" s="1"/>
  <c r="J78" i="7" s="1"/>
  <c r="K78" i="7" s="1"/>
  <c r="F77" i="7"/>
  <c r="H77" i="7" s="1"/>
  <c r="J77" i="7" s="1"/>
  <c r="K77" i="7" s="1"/>
  <c r="H76" i="7"/>
  <c r="J76" i="7" s="1"/>
  <c r="K76" i="7" s="1"/>
  <c r="F99" i="7"/>
  <c r="H99" i="7" s="1"/>
  <c r="J99" i="7" s="1"/>
  <c r="K99" i="7" s="1"/>
  <c r="F98" i="7"/>
  <c r="H98" i="7" s="1"/>
  <c r="J98" i="7" s="1"/>
  <c r="F97" i="7"/>
  <c r="H97" i="7" s="1"/>
  <c r="J97" i="7" s="1"/>
  <c r="K97" i="7" s="1"/>
  <c r="F96" i="7"/>
  <c r="H96" i="7" s="1"/>
  <c r="J96" i="7" s="1"/>
  <c r="K96" i="7" s="1"/>
  <c r="F95" i="7"/>
  <c r="H95" i="7" s="1"/>
  <c r="J95" i="7" s="1"/>
  <c r="K95" i="7" s="1"/>
  <c r="F94" i="7"/>
  <c r="H94" i="7" s="1"/>
  <c r="J94" i="7" s="1"/>
  <c r="K94" i="7" s="1"/>
  <c r="F93" i="7"/>
  <c r="H93" i="7" s="1"/>
  <c r="J93" i="7" s="1"/>
  <c r="K93" i="7" s="1"/>
  <c r="F92" i="7"/>
  <c r="H92" i="7" s="1"/>
  <c r="J92" i="7" s="1"/>
  <c r="K92" i="7" s="1"/>
  <c r="F91" i="7"/>
  <c r="H91" i="7" s="1"/>
  <c r="J91" i="7" s="1"/>
  <c r="K91" i="7" s="1"/>
  <c r="F90" i="7"/>
  <c r="H90" i="7" s="1"/>
  <c r="J90" i="7" s="1"/>
  <c r="K90" i="7" s="1"/>
  <c r="F89" i="7"/>
  <c r="H89" i="7" s="1"/>
  <c r="J89" i="7" s="1"/>
  <c r="K89" i="7" s="1"/>
  <c r="H88" i="7"/>
  <c r="J88" i="7" s="1"/>
  <c r="K88" i="7" s="1"/>
  <c r="F111" i="7"/>
  <c r="H111" i="7" s="1"/>
  <c r="J111" i="7" s="1"/>
  <c r="K111" i="7" s="1"/>
  <c r="F110" i="7"/>
  <c r="H110" i="7" s="1"/>
  <c r="J110" i="7" s="1"/>
  <c r="F109" i="7"/>
  <c r="H109" i="7" s="1"/>
  <c r="J109" i="7" s="1"/>
  <c r="K109" i="7" s="1"/>
  <c r="F108" i="7"/>
  <c r="H108" i="7" s="1"/>
  <c r="J108" i="7" s="1"/>
  <c r="K108" i="7" s="1"/>
  <c r="F107" i="7"/>
  <c r="H107" i="7" s="1"/>
  <c r="J107" i="7" s="1"/>
  <c r="K107" i="7" s="1"/>
  <c r="F106" i="7"/>
  <c r="H106" i="7" s="1"/>
  <c r="J106" i="7" s="1"/>
  <c r="K106" i="7" s="1"/>
  <c r="F105" i="7"/>
  <c r="H105" i="7" s="1"/>
  <c r="J105" i="7" s="1"/>
  <c r="K105" i="7" s="1"/>
  <c r="F104" i="7"/>
  <c r="H104" i="7" s="1"/>
  <c r="J104" i="7" s="1"/>
  <c r="K104" i="7" s="1"/>
  <c r="F103" i="7"/>
  <c r="H103" i="7" s="1"/>
  <c r="J103" i="7" s="1"/>
  <c r="K103" i="7" s="1"/>
  <c r="F102" i="7"/>
  <c r="H102" i="7" s="1"/>
  <c r="J102" i="7" s="1"/>
  <c r="K102" i="7" s="1"/>
  <c r="F101" i="7"/>
  <c r="H101" i="7" s="1"/>
  <c r="J101" i="7" s="1"/>
  <c r="K101" i="7" s="1"/>
  <c r="H100" i="7"/>
  <c r="J100" i="7" s="1"/>
  <c r="K100" i="7" s="1"/>
  <c r="F123" i="7"/>
  <c r="H123" i="7" s="1"/>
  <c r="J123" i="7" s="1"/>
  <c r="K123" i="7" s="1"/>
  <c r="F122" i="7"/>
  <c r="H122" i="7" s="1"/>
  <c r="J122" i="7" s="1"/>
  <c r="F121" i="7"/>
  <c r="H121" i="7" s="1"/>
  <c r="J121" i="7" s="1"/>
  <c r="K121" i="7" s="1"/>
  <c r="F120" i="7"/>
  <c r="H120" i="7" s="1"/>
  <c r="J120" i="7" s="1"/>
  <c r="K120" i="7" s="1"/>
  <c r="F119" i="7"/>
  <c r="H119" i="7" s="1"/>
  <c r="J119" i="7" s="1"/>
  <c r="K119" i="7" s="1"/>
  <c r="F118" i="7"/>
  <c r="H118" i="7" s="1"/>
  <c r="J118" i="7" s="1"/>
  <c r="K118" i="7" s="1"/>
  <c r="F117" i="7"/>
  <c r="H117" i="7" s="1"/>
  <c r="J117" i="7" s="1"/>
  <c r="K117" i="7" s="1"/>
  <c r="F116" i="7"/>
  <c r="H116" i="7" s="1"/>
  <c r="J116" i="7" s="1"/>
  <c r="K116" i="7" s="1"/>
  <c r="F115" i="7"/>
  <c r="H115" i="7" s="1"/>
  <c r="J115" i="7" s="1"/>
  <c r="K115" i="7" s="1"/>
  <c r="F114" i="7"/>
  <c r="H114" i="7" s="1"/>
  <c r="J114" i="7" s="1"/>
  <c r="K114" i="7" s="1"/>
  <c r="F113" i="7"/>
  <c r="H113" i="7" s="1"/>
  <c r="J113" i="7" s="1"/>
  <c r="K113" i="7" s="1"/>
  <c r="H112" i="7"/>
  <c r="J112" i="7" s="1"/>
  <c r="K112" i="7" s="1"/>
  <c r="F135" i="7"/>
  <c r="H135" i="7" s="1"/>
  <c r="J135" i="7" s="1"/>
  <c r="K135" i="7" s="1"/>
  <c r="F134" i="7"/>
  <c r="H134" i="7" s="1"/>
  <c r="J134" i="7" s="1"/>
  <c r="F133" i="7"/>
  <c r="H133" i="7" s="1"/>
  <c r="J133" i="7" s="1"/>
  <c r="K133" i="7" s="1"/>
  <c r="F132" i="7"/>
  <c r="H132" i="7" s="1"/>
  <c r="J132" i="7" s="1"/>
  <c r="K132" i="7" s="1"/>
  <c r="F131" i="7"/>
  <c r="H131" i="7" s="1"/>
  <c r="J131" i="7" s="1"/>
  <c r="K131" i="7" s="1"/>
  <c r="F130" i="7"/>
  <c r="H130" i="7" s="1"/>
  <c r="J130" i="7" s="1"/>
  <c r="K130" i="7" s="1"/>
  <c r="F129" i="7"/>
  <c r="H129" i="7" s="1"/>
  <c r="J129" i="7" s="1"/>
  <c r="K129" i="7" s="1"/>
  <c r="F128" i="7"/>
  <c r="H128" i="7" s="1"/>
  <c r="J128" i="7" s="1"/>
  <c r="K128" i="7" s="1"/>
  <c r="F127" i="7"/>
  <c r="H127" i="7" s="1"/>
  <c r="J127" i="7" s="1"/>
  <c r="K127" i="7" s="1"/>
  <c r="F126" i="7"/>
  <c r="H126" i="7" s="1"/>
  <c r="J126" i="7" s="1"/>
  <c r="K126" i="7" s="1"/>
  <c r="F125" i="7"/>
  <c r="H125" i="7" s="1"/>
  <c r="J125" i="7" s="1"/>
  <c r="K125" i="7" s="1"/>
  <c r="H124" i="7"/>
  <c r="J124" i="7" s="1"/>
  <c r="K124" i="7" s="1"/>
  <c r="F147" i="7"/>
  <c r="H147" i="7" s="1"/>
  <c r="J147" i="7" s="1"/>
  <c r="K147" i="7" s="1"/>
  <c r="F146" i="7"/>
  <c r="H146" i="7" s="1"/>
  <c r="J146" i="7" s="1"/>
  <c r="F145" i="7"/>
  <c r="H145" i="7" s="1"/>
  <c r="J145" i="7" s="1"/>
  <c r="K145" i="7" s="1"/>
  <c r="F144" i="7"/>
  <c r="H144" i="7" s="1"/>
  <c r="J144" i="7" s="1"/>
  <c r="K144" i="7" s="1"/>
  <c r="F143" i="7"/>
  <c r="H143" i="7" s="1"/>
  <c r="J143" i="7" s="1"/>
  <c r="K143" i="7" s="1"/>
  <c r="F142" i="7"/>
  <c r="H142" i="7" s="1"/>
  <c r="J142" i="7" s="1"/>
  <c r="K142" i="7" s="1"/>
  <c r="F141" i="7"/>
  <c r="H141" i="7" s="1"/>
  <c r="J141" i="7" s="1"/>
  <c r="K141" i="7" s="1"/>
  <c r="F140" i="7"/>
  <c r="H140" i="7" s="1"/>
  <c r="J140" i="7" s="1"/>
  <c r="K140" i="7" s="1"/>
  <c r="F139" i="7"/>
  <c r="H139" i="7" s="1"/>
  <c r="J139" i="7" s="1"/>
  <c r="K139" i="7" s="1"/>
  <c r="F138" i="7"/>
  <c r="H138" i="7" s="1"/>
  <c r="J138" i="7" s="1"/>
  <c r="K138" i="7" s="1"/>
  <c r="F137" i="7"/>
  <c r="H137" i="7" s="1"/>
  <c r="J137" i="7" s="1"/>
  <c r="K137" i="7" s="1"/>
  <c r="H136" i="7"/>
  <c r="J136" i="7" s="1"/>
  <c r="K136" i="7" s="1"/>
  <c r="F159" i="7"/>
  <c r="H159" i="7" s="1"/>
  <c r="J159" i="7" s="1"/>
  <c r="K159" i="7" s="1"/>
  <c r="F158" i="7"/>
  <c r="H158" i="7" s="1"/>
  <c r="J158" i="7" s="1"/>
  <c r="F157" i="7"/>
  <c r="H157" i="7" s="1"/>
  <c r="J157" i="7" s="1"/>
  <c r="K157" i="7" s="1"/>
  <c r="F156" i="7"/>
  <c r="H156" i="7" s="1"/>
  <c r="J156" i="7" s="1"/>
  <c r="K156" i="7" s="1"/>
  <c r="F155" i="7"/>
  <c r="H155" i="7" s="1"/>
  <c r="J155" i="7" s="1"/>
  <c r="K155" i="7" s="1"/>
  <c r="F154" i="7"/>
  <c r="H154" i="7" s="1"/>
  <c r="J154" i="7" s="1"/>
  <c r="K154" i="7" s="1"/>
  <c r="F153" i="7"/>
  <c r="H153" i="7" s="1"/>
  <c r="J153" i="7" s="1"/>
  <c r="K153" i="7" s="1"/>
  <c r="F152" i="7"/>
  <c r="H152" i="7" s="1"/>
  <c r="J152" i="7" s="1"/>
  <c r="K152" i="7" s="1"/>
  <c r="F151" i="7"/>
  <c r="H151" i="7" s="1"/>
  <c r="J151" i="7" s="1"/>
  <c r="K151" i="7" s="1"/>
  <c r="F150" i="7"/>
  <c r="H150" i="7" s="1"/>
  <c r="J150" i="7" s="1"/>
  <c r="K150" i="7" s="1"/>
  <c r="F149" i="7"/>
  <c r="H149" i="7" s="1"/>
  <c r="J149" i="7" s="1"/>
  <c r="K149" i="7" s="1"/>
  <c r="H148" i="7"/>
  <c r="J148" i="7" s="1"/>
  <c r="K148" i="7" s="1"/>
  <c r="F171" i="7"/>
  <c r="H171" i="7" s="1"/>
  <c r="J171" i="7" s="1"/>
  <c r="K171" i="7" s="1"/>
  <c r="F170" i="7"/>
  <c r="H170" i="7" s="1"/>
  <c r="J170" i="7" s="1"/>
  <c r="F169" i="7"/>
  <c r="H169" i="7" s="1"/>
  <c r="J169" i="7" s="1"/>
  <c r="K169" i="7" s="1"/>
  <c r="F168" i="7"/>
  <c r="H168" i="7" s="1"/>
  <c r="J168" i="7" s="1"/>
  <c r="K168" i="7" s="1"/>
  <c r="F167" i="7"/>
  <c r="H167" i="7" s="1"/>
  <c r="J167" i="7" s="1"/>
  <c r="K167" i="7" s="1"/>
  <c r="F166" i="7"/>
  <c r="H166" i="7" s="1"/>
  <c r="J166" i="7" s="1"/>
  <c r="K166" i="7" s="1"/>
  <c r="F165" i="7"/>
  <c r="H165" i="7" s="1"/>
  <c r="J165" i="7" s="1"/>
  <c r="K165" i="7" s="1"/>
  <c r="F164" i="7"/>
  <c r="H164" i="7" s="1"/>
  <c r="J164" i="7" s="1"/>
  <c r="K164" i="7" s="1"/>
  <c r="F163" i="7"/>
  <c r="H163" i="7" s="1"/>
  <c r="J163" i="7" s="1"/>
  <c r="K163" i="7" s="1"/>
  <c r="F162" i="7"/>
  <c r="H162" i="7" s="1"/>
  <c r="J162" i="7" s="1"/>
  <c r="K162" i="7" s="1"/>
  <c r="F161" i="7"/>
  <c r="H161" i="7" s="1"/>
  <c r="J161" i="7" s="1"/>
  <c r="K161" i="7" s="1"/>
  <c r="H160" i="7"/>
  <c r="J160" i="7" s="1"/>
  <c r="K160" i="7" s="1"/>
  <c r="F183" i="7"/>
  <c r="H183" i="7" s="1"/>
  <c r="J183" i="7" s="1"/>
  <c r="K183" i="7" s="1"/>
  <c r="F182" i="7"/>
  <c r="H182" i="7" s="1"/>
  <c r="J182" i="7" s="1"/>
  <c r="F181" i="7"/>
  <c r="H181" i="7" s="1"/>
  <c r="J181" i="7" s="1"/>
  <c r="K181" i="7" s="1"/>
  <c r="F180" i="7"/>
  <c r="H180" i="7" s="1"/>
  <c r="J180" i="7" s="1"/>
  <c r="K180" i="7" s="1"/>
  <c r="F179" i="7"/>
  <c r="H179" i="7" s="1"/>
  <c r="J179" i="7" s="1"/>
  <c r="K179" i="7" s="1"/>
  <c r="F178" i="7"/>
  <c r="H178" i="7" s="1"/>
  <c r="J178" i="7" s="1"/>
  <c r="K178" i="7" s="1"/>
  <c r="F177" i="7"/>
  <c r="H177" i="7" s="1"/>
  <c r="J177" i="7" s="1"/>
  <c r="K177" i="7" s="1"/>
  <c r="F176" i="7"/>
  <c r="H176" i="7" s="1"/>
  <c r="J176" i="7" s="1"/>
  <c r="K176" i="7" s="1"/>
  <c r="F175" i="7"/>
  <c r="H175" i="7" s="1"/>
  <c r="J175" i="7" s="1"/>
  <c r="K175" i="7" s="1"/>
  <c r="F174" i="7"/>
  <c r="H174" i="7" s="1"/>
  <c r="J174" i="7" s="1"/>
  <c r="K174" i="7" s="1"/>
  <c r="F173" i="7"/>
  <c r="H173" i="7" s="1"/>
  <c r="J173" i="7" s="1"/>
  <c r="K173" i="7" s="1"/>
  <c r="H172" i="7"/>
  <c r="J172" i="7" s="1"/>
  <c r="K172" i="7" s="1"/>
  <c r="F195" i="7"/>
  <c r="H195" i="7" s="1"/>
  <c r="J195" i="7" s="1"/>
  <c r="K195" i="7" s="1"/>
  <c r="F194" i="7"/>
  <c r="H194" i="7" s="1"/>
  <c r="J194" i="7" s="1"/>
  <c r="F193" i="7"/>
  <c r="H193" i="7" s="1"/>
  <c r="J193" i="7" s="1"/>
  <c r="K193" i="7" s="1"/>
  <c r="F192" i="7"/>
  <c r="H192" i="7" s="1"/>
  <c r="J192" i="7" s="1"/>
  <c r="K192" i="7" s="1"/>
  <c r="F191" i="7"/>
  <c r="H191" i="7" s="1"/>
  <c r="J191" i="7" s="1"/>
  <c r="K191" i="7" s="1"/>
  <c r="F190" i="7"/>
  <c r="H190" i="7" s="1"/>
  <c r="J190" i="7" s="1"/>
  <c r="K190" i="7" s="1"/>
  <c r="F189" i="7"/>
  <c r="H189" i="7" s="1"/>
  <c r="J189" i="7" s="1"/>
  <c r="K189" i="7" s="1"/>
  <c r="F188" i="7"/>
  <c r="H188" i="7" s="1"/>
  <c r="J188" i="7" s="1"/>
  <c r="K188" i="7" s="1"/>
  <c r="F187" i="7"/>
  <c r="H187" i="7" s="1"/>
  <c r="J187" i="7" s="1"/>
  <c r="K187" i="7" s="1"/>
  <c r="F186" i="7"/>
  <c r="H186" i="7" s="1"/>
  <c r="J186" i="7" s="1"/>
  <c r="K186" i="7" s="1"/>
  <c r="F185" i="7"/>
  <c r="H185" i="7" s="1"/>
  <c r="J185" i="7" s="1"/>
  <c r="K185" i="7" s="1"/>
  <c r="H184" i="7"/>
  <c r="J184" i="7" s="1"/>
  <c r="K184" i="7" s="1"/>
  <c r="F207" i="7"/>
  <c r="H207" i="7" s="1"/>
  <c r="J207" i="7" s="1"/>
  <c r="K207" i="7" s="1"/>
  <c r="F206" i="7"/>
  <c r="H206" i="7" s="1"/>
  <c r="J206" i="7" s="1"/>
  <c r="F205" i="7"/>
  <c r="H205" i="7" s="1"/>
  <c r="J205" i="7" s="1"/>
  <c r="K205" i="7" s="1"/>
  <c r="F204" i="7"/>
  <c r="H204" i="7" s="1"/>
  <c r="J204" i="7" s="1"/>
  <c r="K204" i="7" s="1"/>
  <c r="F203" i="7"/>
  <c r="H203" i="7" s="1"/>
  <c r="J203" i="7" s="1"/>
  <c r="K203" i="7" s="1"/>
  <c r="F202" i="7"/>
  <c r="H202" i="7" s="1"/>
  <c r="J202" i="7" s="1"/>
  <c r="K202" i="7" s="1"/>
  <c r="F201" i="7"/>
  <c r="H201" i="7" s="1"/>
  <c r="J201" i="7" s="1"/>
  <c r="K201" i="7" s="1"/>
  <c r="F200" i="7"/>
  <c r="H200" i="7" s="1"/>
  <c r="J200" i="7" s="1"/>
  <c r="K200" i="7" s="1"/>
  <c r="F199" i="7"/>
  <c r="H199" i="7" s="1"/>
  <c r="J199" i="7" s="1"/>
  <c r="K199" i="7" s="1"/>
  <c r="F198" i="7"/>
  <c r="H198" i="7" s="1"/>
  <c r="J198" i="7" s="1"/>
  <c r="K198" i="7" s="1"/>
  <c r="F197" i="7"/>
  <c r="H197" i="7" s="1"/>
  <c r="J197" i="7" s="1"/>
  <c r="K197" i="7" s="1"/>
  <c r="H196" i="7"/>
  <c r="J196" i="7" s="1"/>
  <c r="K196" i="7" s="1"/>
  <c r="F219" i="7"/>
  <c r="H219" i="7" s="1"/>
  <c r="J219" i="7" s="1"/>
  <c r="K219" i="7" s="1"/>
  <c r="F218" i="7"/>
  <c r="H218" i="7" s="1"/>
  <c r="J218" i="7" s="1"/>
  <c r="F217" i="7"/>
  <c r="H217" i="7" s="1"/>
  <c r="J217" i="7" s="1"/>
  <c r="K217" i="7" s="1"/>
  <c r="F216" i="7"/>
  <c r="H216" i="7" s="1"/>
  <c r="J216" i="7" s="1"/>
  <c r="K216" i="7" s="1"/>
  <c r="F215" i="7"/>
  <c r="H215" i="7" s="1"/>
  <c r="J215" i="7" s="1"/>
  <c r="K215" i="7" s="1"/>
  <c r="F214" i="7"/>
  <c r="H214" i="7" s="1"/>
  <c r="J214" i="7" s="1"/>
  <c r="K214" i="7" s="1"/>
  <c r="F213" i="7"/>
  <c r="H213" i="7" s="1"/>
  <c r="J213" i="7" s="1"/>
  <c r="K213" i="7" s="1"/>
  <c r="F212" i="7"/>
  <c r="H212" i="7" s="1"/>
  <c r="J212" i="7" s="1"/>
  <c r="K212" i="7" s="1"/>
  <c r="F211" i="7"/>
  <c r="H211" i="7" s="1"/>
  <c r="J211" i="7" s="1"/>
  <c r="K211" i="7" s="1"/>
  <c r="F210" i="7"/>
  <c r="H210" i="7" s="1"/>
  <c r="J210" i="7" s="1"/>
  <c r="K210" i="7" s="1"/>
  <c r="F209" i="7"/>
  <c r="H209" i="7" s="1"/>
  <c r="J209" i="7" s="1"/>
  <c r="K209" i="7" s="1"/>
  <c r="H208" i="7"/>
  <c r="J208" i="7" s="1"/>
  <c r="K208" i="7" s="1"/>
  <c r="F231" i="7"/>
  <c r="H231" i="7" s="1"/>
  <c r="J231" i="7" s="1"/>
  <c r="K231" i="7" s="1"/>
  <c r="F230" i="7"/>
  <c r="H230" i="7" s="1"/>
  <c r="J230" i="7" s="1"/>
  <c r="F229" i="7"/>
  <c r="H229" i="7" s="1"/>
  <c r="J229" i="7" s="1"/>
  <c r="K229" i="7" s="1"/>
  <c r="F228" i="7"/>
  <c r="H228" i="7" s="1"/>
  <c r="J228" i="7" s="1"/>
  <c r="K228" i="7" s="1"/>
  <c r="F227" i="7"/>
  <c r="H227" i="7" s="1"/>
  <c r="J227" i="7" s="1"/>
  <c r="K227" i="7" s="1"/>
  <c r="F226" i="7"/>
  <c r="H226" i="7" s="1"/>
  <c r="J226" i="7" s="1"/>
  <c r="K226" i="7" s="1"/>
  <c r="F225" i="7"/>
  <c r="H225" i="7" s="1"/>
  <c r="J225" i="7" s="1"/>
  <c r="K225" i="7" s="1"/>
  <c r="F224" i="7"/>
  <c r="H224" i="7" s="1"/>
  <c r="J224" i="7" s="1"/>
  <c r="K224" i="7" s="1"/>
  <c r="F223" i="7"/>
  <c r="H223" i="7" s="1"/>
  <c r="J223" i="7" s="1"/>
  <c r="K223" i="7" s="1"/>
  <c r="F222" i="7"/>
  <c r="H222" i="7" s="1"/>
  <c r="J222" i="7" s="1"/>
  <c r="K222" i="7" s="1"/>
  <c r="F221" i="7"/>
  <c r="H221" i="7" s="1"/>
  <c r="J221" i="7" s="1"/>
  <c r="K221" i="7" s="1"/>
  <c r="H220" i="7"/>
  <c r="J220" i="7" s="1"/>
  <c r="K220" i="7" s="1"/>
  <c r="F243" i="7"/>
  <c r="H243" i="7" s="1"/>
  <c r="J243" i="7" s="1"/>
  <c r="K243" i="7" s="1"/>
  <c r="F242" i="7"/>
  <c r="H242" i="7" s="1"/>
  <c r="J242" i="7" s="1"/>
  <c r="F241" i="7"/>
  <c r="H241" i="7" s="1"/>
  <c r="J241" i="7" s="1"/>
  <c r="K241" i="7" s="1"/>
  <c r="F240" i="7"/>
  <c r="H240" i="7" s="1"/>
  <c r="J240" i="7" s="1"/>
  <c r="K240" i="7" s="1"/>
  <c r="F239" i="7"/>
  <c r="H239" i="7" s="1"/>
  <c r="J239" i="7" s="1"/>
  <c r="K239" i="7" s="1"/>
  <c r="F238" i="7"/>
  <c r="H238" i="7" s="1"/>
  <c r="J238" i="7" s="1"/>
  <c r="K238" i="7" s="1"/>
  <c r="F237" i="7"/>
  <c r="H237" i="7" s="1"/>
  <c r="J237" i="7" s="1"/>
  <c r="K237" i="7" s="1"/>
  <c r="F236" i="7"/>
  <c r="H236" i="7" s="1"/>
  <c r="J236" i="7" s="1"/>
  <c r="K236" i="7" s="1"/>
  <c r="F235" i="7"/>
  <c r="H235" i="7" s="1"/>
  <c r="J235" i="7" s="1"/>
  <c r="K235" i="7" s="1"/>
  <c r="F234" i="7"/>
  <c r="H234" i="7" s="1"/>
  <c r="J234" i="7" s="1"/>
  <c r="K234" i="7" s="1"/>
  <c r="F233" i="7"/>
  <c r="H233" i="7" s="1"/>
  <c r="J233" i="7" s="1"/>
  <c r="K233" i="7" s="1"/>
  <c r="H232" i="7"/>
  <c r="J232" i="7" s="1"/>
  <c r="K232" i="7" s="1"/>
  <c r="F255" i="7"/>
  <c r="H255" i="7" s="1"/>
  <c r="J255" i="7" s="1"/>
  <c r="K255" i="7" s="1"/>
  <c r="F254" i="7"/>
  <c r="H254" i="7" s="1"/>
  <c r="J254" i="7" s="1"/>
  <c r="F253" i="7"/>
  <c r="H253" i="7" s="1"/>
  <c r="J253" i="7" s="1"/>
  <c r="K253" i="7" s="1"/>
  <c r="F252" i="7"/>
  <c r="H252" i="7" s="1"/>
  <c r="J252" i="7" s="1"/>
  <c r="K252" i="7" s="1"/>
  <c r="F251" i="7"/>
  <c r="H251" i="7" s="1"/>
  <c r="J251" i="7" s="1"/>
  <c r="K251" i="7" s="1"/>
  <c r="F250" i="7"/>
  <c r="H250" i="7" s="1"/>
  <c r="J250" i="7" s="1"/>
  <c r="K250" i="7" s="1"/>
  <c r="F249" i="7"/>
  <c r="H249" i="7" s="1"/>
  <c r="J249" i="7" s="1"/>
  <c r="K249" i="7" s="1"/>
  <c r="F248" i="7"/>
  <c r="H248" i="7" s="1"/>
  <c r="J248" i="7" s="1"/>
  <c r="K248" i="7" s="1"/>
  <c r="F247" i="7"/>
  <c r="H247" i="7" s="1"/>
  <c r="J247" i="7" s="1"/>
  <c r="K247" i="7" s="1"/>
  <c r="F246" i="7"/>
  <c r="H246" i="7" s="1"/>
  <c r="J246" i="7" s="1"/>
  <c r="K246" i="7" s="1"/>
  <c r="F245" i="7"/>
  <c r="H245" i="7" s="1"/>
  <c r="J245" i="7" s="1"/>
  <c r="K245" i="7" s="1"/>
  <c r="H244" i="7"/>
  <c r="J244" i="7" s="1"/>
  <c r="K244" i="7" s="1"/>
  <c r="F267" i="7"/>
  <c r="H267" i="7" s="1"/>
  <c r="J267" i="7" s="1"/>
  <c r="K267" i="7" s="1"/>
  <c r="F266" i="7"/>
  <c r="H266" i="7" s="1"/>
  <c r="J266" i="7" s="1"/>
  <c r="F265" i="7"/>
  <c r="H265" i="7" s="1"/>
  <c r="J265" i="7" s="1"/>
  <c r="K265" i="7" s="1"/>
  <c r="F264" i="7"/>
  <c r="H264" i="7" s="1"/>
  <c r="J264" i="7" s="1"/>
  <c r="K264" i="7" s="1"/>
  <c r="F263" i="7"/>
  <c r="H263" i="7" s="1"/>
  <c r="J263" i="7" s="1"/>
  <c r="K263" i="7" s="1"/>
  <c r="F262" i="7"/>
  <c r="H262" i="7" s="1"/>
  <c r="J262" i="7" s="1"/>
  <c r="K262" i="7" s="1"/>
  <c r="F261" i="7"/>
  <c r="H261" i="7" s="1"/>
  <c r="J261" i="7" s="1"/>
  <c r="K261" i="7" s="1"/>
  <c r="F260" i="7"/>
  <c r="H260" i="7" s="1"/>
  <c r="J260" i="7" s="1"/>
  <c r="K260" i="7" s="1"/>
  <c r="F259" i="7"/>
  <c r="H259" i="7" s="1"/>
  <c r="J259" i="7" s="1"/>
  <c r="K259" i="7" s="1"/>
  <c r="F258" i="7"/>
  <c r="H258" i="7" s="1"/>
  <c r="J258" i="7" s="1"/>
  <c r="K258" i="7" s="1"/>
  <c r="F257" i="7"/>
  <c r="H257" i="7" s="1"/>
  <c r="J257" i="7" s="1"/>
  <c r="K257" i="7" s="1"/>
  <c r="H256" i="7"/>
  <c r="J256" i="7" s="1"/>
  <c r="K256" i="7" s="1"/>
  <c r="F279" i="7"/>
  <c r="H279" i="7" s="1"/>
  <c r="J279" i="7" s="1"/>
  <c r="K279" i="7" s="1"/>
  <c r="F278" i="7"/>
  <c r="H278" i="7" s="1"/>
  <c r="J278" i="7" s="1"/>
  <c r="F277" i="7"/>
  <c r="H277" i="7" s="1"/>
  <c r="J277" i="7" s="1"/>
  <c r="K277" i="7" s="1"/>
  <c r="F276" i="7"/>
  <c r="H276" i="7" s="1"/>
  <c r="J276" i="7" s="1"/>
  <c r="K276" i="7" s="1"/>
  <c r="F275" i="7"/>
  <c r="H275" i="7" s="1"/>
  <c r="J275" i="7" s="1"/>
  <c r="K275" i="7" s="1"/>
  <c r="F274" i="7"/>
  <c r="H274" i="7" s="1"/>
  <c r="J274" i="7" s="1"/>
  <c r="K274" i="7" s="1"/>
  <c r="F273" i="7"/>
  <c r="H273" i="7" s="1"/>
  <c r="J273" i="7" s="1"/>
  <c r="K273" i="7" s="1"/>
  <c r="F272" i="7"/>
  <c r="H272" i="7" s="1"/>
  <c r="J272" i="7" s="1"/>
  <c r="K272" i="7" s="1"/>
  <c r="F271" i="7"/>
  <c r="H271" i="7" s="1"/>
  <c r="J271" i="7" s="1"/>
  <c r="K271" i="7" s="1"/>
  <c r="F270" i="7"/>
  <c r="H270" i="7" s="1"/>
  <c r="J270" i="7" s="1"/>
  <c r="K270" i="7" s="1"/>
  <c r="F269" i="7"/>
  <c r="H269" i="7" s="1"/>
  <c r="J269" i="7" s="1"/>
  <c r="K269" i="7" s="1"/>
  <c r="H268" i="7"/>
  <c r="J268" i="7" s="1"/>
  <c r="K268" i="7" s="1"/>
  <c r="F291" i="7"/>
  <c r="H291" i="7" s="1"/>
  <c r="J291" i="7" s="1"/>
  <c r="K291" i="7" s="1"/>
  <c r="F290" i="7"/>
  <c r="H290" i="7" s="1"/>
  <c r="J290" i="7" s="1"/>
  <c r="F289" i="7"/>
  <c r="H289" i="7" s="1"/>
  <c r="J289" i="7" s="1"/>
  <c r="K289" i="7" s="1"/>
  <c r="F288" i="7"/>
  <c r="H288" i="7" s="1"/>
  <c r="J288" i="7" s="1"/>
  <c r="K288" i="7" s="1"/>
  <c r="F287" i="7"/>
  <c r="H287" i="7" s="1"/>
  <c r="J287" i="7" s="1"/>
  <c r="K287" i="7" s="1"/>
  <c r="F286" i="7"/>
  <c r="H286" i="7" s="1"/>
  <c r="J286" i="7" s="1"/>
  <c r="K286" i="7" s="1"/>
  <c r="F285" i="7"/>
  <c r="H285" i="7" s="1"/>
  <c r="J285" i="7" s="1"/>
  <c r="K285" i="7" s="1"/>
  <c r="F284" i="7"/>
  <c r="H284" i="7" s="1"/>
  <c r="J284" i="7" s="1"/>
  <c r="K284" i="7" s="1"/>
  <c r="F283" i="7"/>
  <c r="H283" i="7" s="1"/>
  <c r="J283" i="7" s="1"/>
  <c r="K283" i="7" s="1"/>
  <c r="F282" i="7"/>
  <c r="H282" i="7" s="1"/>
  <c r="J282" i="7" s="1"/>
  <c r="K282" i="7" s="1"/>
  <c r="F281" i="7"/>
  <c r="H281" i="7" s="1"/>
  <c r="J281" i="7" s="1"/>
  <c r="K281" i="7" s="1"/>
  <c r="H280" i="7"/>
  <c r="J280" i="7" s="1"/>
  <c r="K280" i="7" s="1"/>
  <c r="F303" i="7"/>
  <c r="H303" i="7" s="1"/>
  <c r="F302" i="7"/>
  <c r="H302" i="7" s="1"/>
  <c r="F301" i="7"/>
  <c r="H301" i="7" s="1"/>
  <c r="F300" i="7"/>
  <c r="H300" i="7" s="1"/>
  <c r="F299" i="7"/>
  <c r="H299" i="7" s="1"/>
  <c r="F298" i="7"/>
  <c r="H298" i="7" s="1"/>
  <c r="F297" i="7"/>
  <c r="H297" i="7" s="1"/>
  <c r="F296" i="7"/>
  <c r="H296" i="7" s="1"/>
  <c r="F295" i="7"/>
  <c r="H295" i="7" s="1"/>
  <c r="F294" i="7"/>
  <c r="H294" i="7" s="1"/>
  <c r="F293" i="7"/>
  <c r="H293" i="7" s="1"/>
  <c r="H292" i="7"/>
  <c r="F315" i="7"/>
  <c r="H315" i="7" s="1"/>
  <c r="F314" i="7"/>
  <c r="H314" i="7" s="1"/>
  <c r="F313" i="7"/>
  <c r="H313" i="7" s="1"/>
  <c r="F312" i="7"/>
  <c r="H312" i="7" s="1"/>
  <c r="F311" i="7"/>
  <c r="H311" i="7" s="1"/>
  <c r="F310" i="7"/>
  <c r="H310" i="7" s="1"/>
  <c r="F309" i="7"/>
  <c r="H309" i="7" s="1"/>
  <c r="F308" i="7"/>
  <c r="H308" i="7" s="1"/>
  <c r="F307" i="7"/>
  <c r="H307" i="7" s="1"/>
  <c r="F306" i="7"/>
  <c r="H306" i="7" s="1"/>
  <c r="F305" i="7"/>
  <c r="H305" i="7" s="1"/>
  <c r="H304" i="7"/>
  <c r="F327" i="7"/>
  <c r="H327" i="7" s="1"/>
  <c r="F326" i="7"/>
  <c r="H326" i="7" s="1"/>
  <c r="F325" i="7"/>
  <c r="H325" i="7" s="1"/>
  <c r="F324" i="7"/>
  <c r="H324" i="7" s="1"/>
  <c r="F323" i="7"/>
  <c r="H323" i="7" s="1"/>
  <c r="F322" i="7"/>
  <c r="H322" i="7" s="1"/>
  <c r="F321" i="7"/>
  <c r="H321" i="7" s="1"/>
  <c r="F320" i="7"/>
  <c r="H320" i="7" s="1"/>
  <c r="F319" i="7"/>
  <c r="H319" i="7" s="1"/>
  <c r="F318" i="7"/>
  <c r="H318" i="7" s="1"/>
  <c r="F317" i="7"/>
  <c r="H317" i="7" s="1"/>
  <c r="H316" i="7"/>
  <c r="F339" i="7"/>
  <c r="H339" i="7" s="1"/>
  <c r="F338" i="7"/>
  <c r="H338" i="7" s="1"/>
  <c r="F337" i="7"/>
  <c r="H337" i="7" s="1"/>
  <c r="F336" i="7"/>
  <c r="H336" i="7" s="1"/>
  <c r="F335" i="7"/>
  <c r="H335" i="7" s="1"/>
  <c r="F334" i="7"/>
  <c r="H334" i="7" s="1"/>
  <c r="F333" i="7"/>
  <c r="H333" i="7" s="1"/>
  <c r="F332" i="7"/>
  <c r="H332" i="7" s="1"/>
  <c r="F331" i="7"/>
  <c r="H331" i="7" s="1"/>
  <c r="F330" i="7"/>
  <c r="H330" i="7" s="1"/>
  <c r="F329" i="7"/>
  <c r="H329" i="7" s="1"/>
  <c r="H328" i="7"/>
  <c r="F351" i="7"/>
  <c r="H351" i="7" s="1"/>
  <c r="F350" i="7"/>
  <c r="H350" i="7" s="1"/>
  <c r="F349" i="7"/>
  <c r="H349" i="7" s="1"/>
  <c r="F348" i="7"/>
  <c r="H348" i="7" s="1"/>
  <c r="F347" i="7"/>
  <c r="H347" i="7" s="1"/>
  <c r="F346" i="7"/>
  <c r="H346" i="7" s="1"/>
  <c r="F345" i="7"/>
  <c r="H345" i="7" s="1"/>
  <c r="F344" i="7"/>
  <c r="H344" i="7" s="1"/>
  <c r="F343" i="7"/>
  <c r="H343" i="7" s="1"/>
  <c r="F342" i="7"/>
  <c r="H342" i="7" s="1"/>
  <c r="F341" i="7"/>
  <c r="H341" i="7" s="1"/>
  <c r="H340" i="7"/>
  <c r="F363" i="7"/>
  <c r="H363" i="7" s="1"/>
  <c r="F362" i="7"/>
  <c r="H362" i="7" s="1"/>
  <c r="F361" i="7"/>
  <c r="H361" i="7" s="1"/>
  <c r="F360" i="7"/>
  <c r="H360" i="7" s="1"/>
  <c r="F359" i="7"/>
  <c r="H359" i="7" s="1"/>
  <c r="F358" i="7"/>
  <c r="H358" i="7" s="1"/>
  <c r="F357" i="7"/>
  <c r="H357" i="7" s="1"/>
  <c r="F356" i="7"/>
  <c r="H356" i="7" s="1"/>
  <c r="F355" i="7"/>
  <c r="H355" i="7" s="1"/>
  <c r="F354" i="7"/>
  <c r="H354" i="7" s="1"/>
  <c r="F353" i="7"/>
  <c r="H353" i="7" s="1"/>
  <c r="H352" i="7"/>
  <c r="F375" i="7"/>
  <c r="H375" i="7" s="1"/>
  <c r="F374" i="7"/>
  <c r="H374" i="7" s="1"/>
  <c r="F373" i="7"/>
  <c r="H373" i="7" s="1"/>
  <c r="F372" i="7"/>
  <c r="H372" i="7" s="1"/>
  <c r="F371" i="7"/>
  <c r="H371" i="7" s="1"/>
  <c r="F370" i="7"/>
  <c r="H370" i="7" s="1"/>
  <c r="F369" i="7"/>
  <c r="H369" i="7" s="1"/>
  <c r="F368" i="7"/>
  <c r="H368" i="7" s="1"/>
  <c r="F367" i="7"/>
  <c r="H367" i="7" s="1"/>
  <c r="F366" i="7"/>
  <c r="H366" i="7" s="1"/>
  <c r="F365" i="7"/>
  <c r="H365" i="7" s="1"/>
  <c r="H364" i="7"/>
  <c r="F387" i="7"/>
  <c r="H387" i="7" s="1"/>
  <c r="F386" i="7"/>
  <c r="H386" i="7" s="1"/>
  <c r="F385" i="7"/>
  <c r="H385" i="7" s="1"/>
  <c r="F384" i="7"/>
  <c r="H384" i="7" s="1"/>
  <c r="F383" i="7"/>
  <c r="H383" i="7" s="1"/>
  <c r="F382" i="7"/>
  <c r="H382" i="7" s="1"/>
  <c r="F381" i="7"/>
  <c r="H381" i="7" s="1"/>
  <c r="F380" i="7"/>
  <c r="H380" i="7" s="1"/>
  <c r="F379" i="7"/>
  <c r="H379" i="7" s="1"/>
  <c r="F378" i="7"/>
  <c r="H378" i="7" s="1"/>
  <c r="F377" i="7"/>
  <c r="H377" i="7" s="1"/>
  <c r="H376" i="7"/>
  <c r="F399" i="7"/>
  <c r="H399" i="7" s="1"/>
  <c r="F398" i="7"/>
  <c r="H398" i="7" s="1"/>
  <c r="F397" i="7"/>
  <c r="H397" i="7" s="1"/>
  <c r="F396" i="7"/>
  <c r="H396" i="7" s="1"/>
  <c r="F395" i="7"/>
  <c r="H395" i="7" s="1"/>
  <c r="F394" i="7"/>
  <c r="H394" i="7" s="1"/>
  <c r="F393" i="7"/>
  <c r="H393" i="7" s="1"/>
  <c r="F392" i="7"/>
  <c r="H392" i="7" s="1"/>
  <c r="F391" i="7"/>
  <c r="H391" i="7" s="1"/>
  <c r="F390" i="7"/>
  <c r="H390" i="7" s="1"/>
  <c r="F389" i="7"/>
  <c r="H389" i="7" s="1"/>
  <c r="H388" i="7"/>
  <c r="F411" i="7"/>
  <c r="H411" i="7" s="1"/>
  <c r="F410" i="7"/>
  <c r="H410" i="7" s="1"/>
  <c r="F409" i="7"/>
  <c r="H409" i="7" s="1"/>
  <c r="F408" i="7"/>
  <c r="H408" i="7" s="1"/>
  <c r="F407" i="7"/>
  <c r="H407" i="7" s="1"/>
  <c r="F406" i="7"/>
  <c r="H406" i="7" s="1"/>
  <c r="F405" i="7"/>
  <c r="H405" i="7" s="1"/>
  <c r="F404" i="7"/>
  <c r="H404" i="7" s="1"/>
  <c r="F403" i="7"/>
  <c r="H403" i="7" s="1"/>
  <c r="F402" i="7"/>
  <c r="H402" i="7" s="1"/>
  <c r="F401" i="7"/>
  <c r="H401" i="7" s="1"/>
  <c r="H400" i="7"/>
  <c r="F423" i="7"/>
  <c r="H423" i="7" s="1"/>
  <c r="F422" i="7"/>
  <c r="H422" i="7" s="1"/>
  <c r="F421" i="7"/>
  <c r="H421" i="7" s="1"/>
  <c r="F420" i="7"/>
  <c r="H420" i="7" s="1"/>
  <c r="F419" i="7"/>
  <c r="H419" i="7" s="1"/>
  <c r="F418" i="7"/>
  <c r="H418" i="7" s="1"/>
  <c r="F417" i="7"/>
  <c r="H417" i="7" s="1"/>
  <c r="F416" i="7"/>
  <c r="H416" i="7" s="1"/>
  <c r="F415" i="7"/>
  <c r="H415" i="7" s="1"/>
  <c r="F414" i="7"/>
  <c r="H414" i="7" s="1"/>
  <c r="F413" i="7"/>
  <c r="H413" i="7" s="1"/>
  <c r="H412" i="7"/>
  <c r="F435" i="7"/>
  <c r="H435" i="7" s="1"/>
  <c r="F434" i="7"/>
  <c r="H434" i="7" s="1"/>
  <c r="F433" i="7"/>
  <c r="H433" i="7" s="1"/>
  <c r="F432" i="7"/>
  <c r="H432" i="7" s="1"/>
  <c r="F431" i="7"/>
  <c r="H431" i="7" s="1"/>
  <c r="F430" i="7"/>
  <c r="H430" i="7" s="1"/>
  <c r="F429" i="7"/>
  <c r="H429" i="7" s="1"/>
  <c r="F428" i="7"/>
  <c r="H428" i="7" s="1"/>
  <c r="F427" i="7"/>
  <c r="H427" i="7" s="1"/>
  <c r="F426" i="7"/>
  <c r="H426" i="7" s="1"/>
  <c r="F425" i="7"/>
  <c r="H425" i="7" s="1"/>
  <c r="H424" i="7"/>
  <c r="K290" i="7" l="1"/>
  <c r="P42" i="6"/>
  <c r="K278" i="7"/>
  <c r="P41" i="6"/>
  <c r="K266" i="7"/>
  <c r="P40" i="6"/>
  <c r="K254" i="7"/>
  <c r="P39" i="6"/>
  <c r="K242" i="7"/>
  <c r="P38" i="6"/>
  <c r="K230" i="7"/>
  <c r="P37" i="6"/>
  <c r="K218" i="7"/>
  <c r="P36" i="6"/>
  <c r="K206" i="7"/>
  <c r="P35" i="6"/>
  <c r="K194" i="7"/>
  <c r="P34" i="6"/>
  <c r="K182" i="7"/>
  <c r="P33" i="6"/>
  <c r="K170" i="7"/>
  <c r="P32" i="6"/>
  <c r="K158" i="7"/>
  <c r="P31" i="6"/>
  <c r="K146" i="7"/>
  <c r="P30" i="6"/>
  <c r="K134" i="7"/>
  <c r="P29" i="6"/>
  <c r="K122" i="7"/>
  <c r="P28" i="6"/>
  <c r="K110" i="7"/>
  <c r="P27" i="6"/>
  <c r="K98" i="7"/>
  <c r="P26" i="6"/>
  <c r="K86" i="7"/>
  <c r="P25" i="6"/>
  <c r="K74" i="7"/>
  <c r="P24" i="6"/>
  <c r="K62" i="7"/>
  <c r="P23" i="6"/>
  <c r="K50" i="7"/>
  <c r="P22" i="6"/>
  <c r="K38" i="7"/>
  <c r="P21" i="6"/>
  <c r="K16" i="7"/>
  <c r="P10" i="6"/>
  <c r="K17" i="7"/>
  <c r="P11" i="6"/>
  <c r="K18" i="7"/>
  <c r="P12" i="6"/>
  <c r="K19" i="7"/>
  <c r="P13" i="6"/>
  <c r="K20" i="7"/>
  <c r="P14" i="6"/>
  <c r="K21" i="7"/>
  <c r="P15" i="6"/>
  <c r="K22" i="7"/>
  <c r="P16" i="6"/>
  <c r="K23" i="7"/>
  <c r="P17" i="6"/>
  <c r="K24" i="7"/>
  <c r="P18" i="6"/>
  <c r="K25" i="7"/>
  <c r="P19" i="6"/>
  <c r="K26" i="7"/>
  <c r="P20" i="6"/>
  <c r="L10" i="6"/>
  <c r="AD10" i="6" s="1"/>
  <c r="AE9" i="6"/>
  <c r="Q42" i="6"/>
  <c r="Q41" i="6"/>
  <c r="Q40" i="6"/>
  <c r="Q39" i="6"/>
  <c r="Q38" i="6"/>
  <c r="Q37" i="6"/>
  <c r="Q36" i="6"/>
  <c r="Q35" i="6"/>
  <c r="Q34" i="6"/>
  <c r="Q33" i="6"/>
  <c r="Q32" i="6"/>
  <c r="Q31" i="6"/>
  <c r="R30" i="6"/>
  <c r="Q30" i="6"/>
  <c r="R29" i="6"/>
  <c r="Q29" i="6"/>
  <c r="R28" i="6"/>
  <c r="Q28" i="6"/>
  <c r="R27" i="6"/>
  <c r="Q27" i="6"/>
  <c r="R26" i="6"/>
  <c r="Q26" i="6"/>
  <c r="R25" i="6"/>
  <c r="Q25" i="6"/>
  <c r="R24" i="6"/>
  <c r="Q24" i="6"/>
  <c r="R23" i="6"/>
  <c r="Q23" i="6"/>
  <c r="R22" i="6"/>
  <c r="Q22" i="6"/>
  <c r="R21" i="6"/>
  <c r="Q21" i="6"/>
  <c r="R20" i="6"/>
  <c r="Q20" i="6"/>
  <c r="R19" i="6"/>
  <c r="Q19" i="6"/>
  <c r="Q18" i="6"/>
  <c r="Q17" i="6"/>
  <c r="Q16" i="6"/>
  <c r="Q15" i="6"/>
  <c r="Q14" i="6"/>
  <c r="Q13" i="6"/>
  <c r="Q12" i="6"/>
  <c r="Q11" i="6"/>
  <c r="Q10" i="6"/>
  <c r="AF54" i="6"/>
  <c r="AG54" i="6" s="1"/>
  <c r="AF53" i="6"/>
  <c r="AG53" i="6" s="1"/>
  <c r="AF52" i="6"/>
  <c r="AG52" i="6" s="1"/>
  <c r="AF51" i="6"/>
  <c r="AG51" i="6" s="1"/>
  <c r="AF50" i="6"/>
  <c r="AG50" i="6" s="1"/>
  <c r="AF49" i="6"/>
  <c r="AG49" i="6" s="1"/>
  <c r="AF48" i="6"/>
  <c r="AG48" i="6" s="1"/>
  <c r="AF47" i="6"/>
  <c r="AG47" i="6" s="1"/>
  <c r="AF46" i="6"/>
  <c r="AG46" i="6" s="1"/>
  <c r="AF45" i="6"/>
  <c r="AG45" i="6" s="1"/>
  <c r="AF44" i="6"/>
  <c r="AG44" i="6" s="1"/>
  <c r="AF43" i="6"/>
  <c r="AG43" i="6" s="1"/>
  <c r="AF42" i="6"/>
  <c r="AG42" i="6" s="1"/>
  <c r="AF41" i="6"/>
  <c r="AG41" i="6" s="1"/>
  <c r="AF40" i="6"/>
  <c r="AG40" i="6" s="1"/>
  <c r="AF39" i="6"/>
  <c r="AG39" i="6" s="1"/>
  <c r="AF38" i="6"/>
  <c r="AG38" i="6" s="1"/>
  <c r="AF37" i="6"/>
  <c r="AG37" i="6" s="1"/>
  <c r="AF36" i="6"/>
  <c r="AG36" i="6" s="1"/>
  <c r="AF35" i="6"/>
  <c r="AG35" i="6" s="1"/>
  <c r="AF34" i="6"/>
  <c r="AG34" i="6" s="1"/>
  <c r="AF33" i="6"/>
  <c r="AG33" i="6" s="1"/>
  <c r="AF32" i="6"/>
  <c r="AG32" i="6" s="1"/>
  <c r="AF31" i="6"/>
  <c r="AG31" i="6" s="1"/>
  <c r="AF30" i="6"/>
  <c r="AG30" i="6" s="1"/>
  <c r="AF29" i="6"/>
  <c r="AG29" i="6" s="1"/>
  <c r="AF28" i="6"/>
  <c r="AG28" i="6" s="1"/>
  <c r="AF27" i="6"/>
  <c r="AG27" i="6" s="1"/>
  <c r="AF26" i="6"/>
  <c r="AG26" i="6" s="1"/>
  <c r="AF25" i="6"/>
  <c r="AG25" i="6" s="1"/>
  <c r="AF24" i="6"/>
  <c r="AG24" i="6" s="1"/>
  <c r="AF23" i="6"/>
  <c r="AG23" i="6" s="1"/>
  <c r="AF22" i="6"/>
  <c r="AG22" i="6" s="1"/>
  <c r="AF21" i="6"/>
  <c r="AG21" i="6" s="1"/>
  <c r="AF20" i="6"/>
  <c r="AG20" i="6" s="1"/>
  <c r="AF19" i="6"/>
  <c r="AG19" i="6" s="1"/>
  <c r="AF18" i="6"/>
  <c r="AG18" i="6" s="1"/>
  <c r="AF17" i="6"/>
  <c r="AG17" i="6" s="1"/>
  <c r="AF16" i="6"/>
  <c r="AG16" i="6" s="1"/>
  <c r="AF15" i="6"/>
  <c r="AG15" i="6" s="1"/>
  <c r="AF14" i="6"/>
  <c r="AG14" i="6" s="1"/>
  <c r="AF13" i="6"/>
  <c r="AG13" i="6" s="1"/>
  <c r="AF12" i="6"/>
  <c r="AG12" i="6" s="1"/>
  <c r="AF11" i="6"/>
  <c r="AG11" i="6" s="1"/>
  <c r="AF10" i="6"/>
  <c r="AG10" i="6" s="1"/>
  <c r="AF9" i="6"/>
  <c r="AG9" i="6" s="1"/>
  <c r="AF8" i="6"/>
  <c r="AG8" i="6" s="1"/>
  <c r="AF7" i="6"/>
  <c r="AG7" i="6" s="1"/>
  <c r="Q7" i="6"/>
  <c r="AG7" i="4"/>
  <c r="S7" i="3"/>
  <c r="AG8" i="4"/>
  <c r="S8" i="3"/>
  <c r="AG9" i="4"/>
  <c r="S9" i="3"/>
  <c r="AG10" i="4"/>
  <c r="S10" i="3"/>
  <c r="AG11" i="4"/>
  <c r="S11" i="3"/>
  <c r="AG12" i="4"/>
  <c r="S12" i="3"/>
  <c r="AG13" i="4"/>
  <c r="S13" i="3"/>
  <c r="AG14" i="4"/>
  <c r="S14" i="3"/>
  <c r="AG15" i="4"/>
  <c r="S15" i="3"/>
  <c r="AG16" i="4"/>
  <c r="S16" i="3"/>
  <c r="AG17" i="4"/>
  <c r="S17" i="3"/>
  <c r="AG18" i="4"/>
  <c r="S18" i="3"/>
  <c r="AG19" i="4"/>
  <c r="S19" i="3"/>
  <c r="AG20" i="4"/>
  <c r="S20" i="3"/>
  <c r="AG21" i="4"/>
  <c r="S21" i="3"/>
  <c r="AG22" i="4"/>
  <c r="S22" i="3"/>
  <c r="AG23" i="4"/>
  <c r="S23" i="3"/>
  <c r="AG24" i="4"/>
  <c r="S24" i="3"/>
  <c r="AG25" i="4"/>
  <c r="S25" i="3"/>
  <c r="AG26" i="4"/>
  <c r="S26" i="3"/>
  <c r="AG27" i="4"/>
  <c r="S27" i="3"/>
  <c r="AG28" i="4"/>
  <c r="S28" i="3"/>
  <c r="AG29" i="4"/>
  <c r="S29" i="3"/>
  <c r="AG30" i="4"/>
  <c r="S30" i="3"/>
  <c r="AG31" i="4"/>
  <c r="S31" i="3"/>
  <c r="AG32" i="4"/>
  <c r="S32" i="3"/>
  <c r="AG33" i="4"/>
  <c r="S33" i="3"/>
  <c r="AG34" i="4"/>
  <c r="S34" i="3"/>
  <c r="AG35" i="4"/>
  <c r="S35" i="3"/>
  <c r="AG36" i="4"/>
  <c r="S36" i="3"/>
  <c r="AG37" i="4"/>
  <c r="S37" i="3"/>
  <c r="AG38" i="4"/>
  <c r="S38" i="3"/>
  <c r="AG39" i="4"/>
  <c r="S39" i="3"/>
  <c r="AG40" i="4"/>
  <c r="S40" i="3"/>
  <c r="AG41" i="4"/>
  <c r="S41" i="3"/>
  <c r="AG42" i="4"/>
  <c r="S42" i="3"/>
  <c r="AG43" i="4"/>
  <c r="S43" i="3"/>
  <c r="AG44" i="4"/>
  <c r="S44" i="3"/>
  <c r="AG45" i="4"/>
  <c r="S45" i="3"/>
  <c r="AG46" i="4"/>
  <c r="S46" i="3"/>
  <c r="AG47" i="4"/>
  <c r="S47" i="3"/>
  <c r="AG48" i="4"/>
  <c r="S48" i="3"/>
  <c r="AG49" i="4"/>
  <c r="S49" i="3"/>
  <c r="AG50" i="4"/>
  <c r="S50" i="3"/>
  <c r="AG51" i="4"/>
  <c r="S51" i="3"/>
  <c r="AG52" i="4"/>
  <c r="S52" i="3"/>
  <c r="AG53" i="4"/>
  <c r="S53" i="3"/>
  <c r="AG54" i="4"/>
  <c r="S54" i="3"/>
  <c r="L7" i="3"/>
  <c r="L8" i="3"/>
  <c r="L9" i="3"/>
  <c r="L10" i="3"/>
  <c r="L11" i="3"/>
  <c r="L12" i="3"/>
  <c r="L13" i="3"/>
  <c r="L14" i="3"/>
  <c r="L15" i="3"/>
  <c r="L16" i="3"/>
  <c r="L17" i="3"/>
  <c r="L18" i="3"/>
  <c r="M19" i="3"/>
  <c r="L19" i="3"/>
  <c r="M20" i="3"/>
  <c r="L20" i="3"/>
  <c r="M21" i="3"/>
  <c r="L21" i="3"/>
  <c r="M22" i="3"/>
  <c r="L22" i="3"/>
  <c r="M23" i="3"/>
  <c r="L23" i="3"/>
  <c r="M24" i="3"/>
  <c r="L24" i="3"/>
  <c r="M25" i="3"/>
  <c r="L25" i="3"/>
  <c r="M26" i="3"/>
  <c r="L26" i="3"/>
  <c r="M27" i="3"/>
  <c r="L27" i="3"/>
  <c r="M28" i="3"/>
  <c r="L28" i="3"/>
  <c r="M29" i="3"/>
  <c r="L29" i="3"/>
  <c r="M30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C8" i="3"/>
  <c r="L8" i="4"/>
  <c r="AE7" i="4"/>
  <c r="Q7" i="3"/>
  <c r="J7" i="4"/>
  <c r="E7" i="3"/>
  <c r="K7" i="4"/>
  <c r="F7" i="3" l="1"/>
  <c r="T7" i="4"/>
  <c r="C7" i="3"/>
  <c r="R7" i="3"/>
  <c r="AD8" i="4"/>
  <c r="M8" i="4"/>
  <c r="N9" i="4" s="1"/>
  <c r="G9" i="3" s="1"/>
  <c r="C9" i="3" s="1"/>
  <c r="U7" i="6"/>
  <c r="L11" i="6"/>
  <c r="AD11" i="6" s="1"/>
  <c r="AE10" i="6"/>
  <c r="L12" i="6" l="1"/>
  <c r="AD12" i="6" s="1"/>
  <c r="AE11" i="6"/>
  <c r="V7" i="6"/>
  <c r="L9" i="4"/>
  <c r="AE8" i="4"/>
  <c r="Q8" i="3"/>
  <c r="U7" i="4"/>
  <c r="N7" i="3" l="1"/>
  <c r="V7" i="4"/>
  <c r="R8" i="3"/>
  <c r="AD9" i="4"/>
  <c r="M9" i="4"/>
  <c r="N10" i="4" s="1"/>
  <c r="G10" i="3" s="1"/>
  <c r="C10" i="3" s="1"/>
  <c r="AA7" i="6"/>
  <c r="AB7" i="6"/>
  <c r="AC7" i="6" s="1"/>
  <c r="AJ7" i="6"/>
  <c r="L13" i="6"/>
  <c r="AD13" i="6" s="1"/>
  <c r="AE12" i="6"/>
  <c r="L14" i="6" l="1"/>
  <c r="AD14" i="6" s="1"/>
  <c r="AE13" i="6"/>
  <c r="S8" i="6"/>
  <c r="T8" i="6" s="1"/>
  <c r="AH7" i="6"/>
  <c r="AI7" i="6" s="1"/>
  <c r="L10" i="4"/>
  <c r="AE9" i="4"/>
  <c r="Q9" i="3"/>
  <c r="AA7" i="4"/>
  <c r="O7" i="3" s="1"/>
  <c r="AB7" i="4"/>
  <c r="AC7" i="4" s="1"/>
  <c r="AJ7" i="4"/>
  <c r="S8" i="4" l="1"/>
  <c r="T8" i="4" s="1"/>
  <c r="P7" i="3"/>
  <c r="AH7" i="4"/>
  <c r="AI7" i="4" s="1"/>
  <c r="T7" i="3" s="1"/>
  <c r="R9" i="3"/>
  <c r="AD10" i="4"/>
  <c r="M10" i="4"/>
  <c r="N11" i="4" s="1"/>
  <c r="G11" i="3" s="1"/>
  <c r="C11" i="3" s="1"/>
  <c r="U8" i="6"/>
  <c r="L15" i="6"/>
  <c r="AD15" i="6" s="1"/>
  <c r="AE14" i="6"/>
  <c r="L16" i="6" l="1"/>
  <c r="AD16" i="6" s="1"/>
  <c r="AE15" i="6"/>
  <c r="V8" i="6"/>
  <c r="L11" i="4"/>
  <c r="AE10" i="4"/>
  <c r="Q10" i="3"/>
  <c r="U8" i="4"/>
  <c r="N8" i="3" l="1"/>
  <c r="V8" i="4"/>
  <c r="R10" i="3"/>
  <c r="AD11" i="4"/>
  <c r="M11" i="4"/>
  <c r="N12" i="4" s="1"/>
  <c r="G12" i="3" s="1"/>
  <c r="C12" i="3" s="1"/>
  <c r="AA8" i="6"/>
  <c r="AB8" i="6"/>
  <c r="AC8" i="6" s="1"/>
  <c r="AJ8" i="6"/>
  <c r="L17" i="6"/>
  <c r="AD17" i="6" s="1"/>
  <c r="AE16" i="6"/>
  <c r="L18" i="6" l="1"/>
  <c r="AD18" i="6" s="1"/>
  <c r="AE17" i="6"/>
  <c r="S9" i="6"/>
  <c r="T9" i="6" s="1"/>
  <c r="AH8" i="6"/>
  <c r="AI8" i="6" s="1"/>
  <c r="L12" i="4"/>
  <c r="AE11" i="4"/>
  <c r="Q11" i="3"/>
  <c r="AA8" i="4"/>
  <c r="O8" i="3" s="1"/>
  <c r="AB8" i="4"/>
  <c r="AC8" i="4" s="1"/>
  <c r="AJ8" i="4"/>
  <c r="S9" i="4" l="1"/>
  <c r="T9" i="4" s="1"/>
  <c r="P8" i="3"/>
  <c r="AH8" i="4"/>
  <c r="AI8" i="4" s="1"/>
  <c r="T8" i="3" s="1"/>
  <c r="R11" i="3"/>
  <c r="AD12" i="4"/>
  <c r="M12" i="4"/>
  <c r="N13" i="4" s="1"/>
  <c r="G13" i="3" s="1"/>
  <c r="C13" i="3" s="1"/>
  <c r="U9" i="6"/>
  <c r="L19" i="6"/>
  <c r="AD19" i="6" s="1"/>
  <c r="AE18" i="6"/>
  <c r="L20" i="6" l="1"/>
  <c r="AD20" i="6" s="1"/>
  <c r="AE19" i="6"/>
  <c r="V9" i="6"/>
  <c r="L13" i="4"/>
  <c r="AE12" i="4"/>
  <c r="Q12" i="3"/>
  <c r="U9" i="4"/>
  <c r="N9" i="3" l="1"/>
  <c r="V9" i="4"/>
  <c r="R12" i="3"/>
  <c r="AD13" i="4"/>
  <c r="M13" i="4"/>
  <c r="N14" i="4" s="1"/>
  <c r="G14" i="3" s="1"/>
  <c r="C14" i="3" s="1"/>
  <c r="AA9" i="6"/>
  <c r="AB9" i="6"/>
  <c r="AC9" i="6" s="1"/>
  <c r="AJ9" i="6"/>
  <c r="L21" i="6"/>
  <c r="AD21" i="6" s="1"/>
  <c r="AE20" i="6"/>
  <c r="L22" i="6" l="1"/>
  <c r="AD22" i="6" s="1"/>
  <c r="AE21" i="6"/>
  <c r="S10" i="6"/>
  <c r="T10" i="6" s="1"/>
  <c r="AH9" i="6"/>
  <c r="AI9" i="6" s="1"/>
  <c r="L14" i="4"/>
  <c r="AE13" i="4"/>
  <c r="Q13" i="3"/>
  <c r="AA9" i="4"/>
  <c r="O9" i="3" s="1"/>
  <c r="AB9" i="4"/>
  <c r="AC9" i="4" s="1"/>
  <c r="AJ9" i="4"/>
  <c r="S10" i="4" l="1"/>
  <c r="T10" i="4" s="1"/>
  <c r="P9" i="3"/>
  <c r="AH9" i="4"/>
  <c r="AI9" i="4" s="1"/>
  <c r="T9" i="3" s="1"/>
  <c r="R13" i="3"/>
  <c r="AD14" i="4"/>
  <c r="M14" i="4"/>
  <c r="N15" i="4" s="1"/>
  <c r="G15" i="3" s="1"/>
  <c r="C15" i="3" s="1"/>
  <c r="U10" i="6"/>
  <c r="L23" i="6"/>
  <c r="AD23" i="6" s="1"/>
  <c r="AE22" i="6"/>
  <c r="L24" i="6" l="1"/>
  <c r="AD24" i="6" s="1"/>
  <c r="AE23" i="6"/>
  <c r="V10" i="6"/>
  <c r="L15" i="4"/>
  <c r="AE14" i="4"/>
  <c r="Q14" i="3"/>
  <c r="U10" i="4"/>
  <c r="N10" i="3" l="1"/>
  <c r="V10" i="4"/>
  <c r="R14" i="3"/>
  <c r="AD15" i="4"/>
  <c r="M15" i="4"/>
  <c r="N16" i="4" s="1"/>
  <c r="G16" i="3" s="1"/>
  <c r="C16" i="3" s="1"/>
  <c r="AA10" i="6"/>
  <c r="AB10" i="6"/>
  <c r="AC10" i="6" s="1"/>
  <c r="AJ10" i="6"/>
  <c r="L25" i="6"/>
  <c r="AD25" i="6" s="1"/>
  <c r="AE24" i="6"/>
  <c r="L26" i="6" l="1"/>
  <c r="AD26" i="6" s="1"/>
  <c r="AE25" i="6"/>
  <c r="S11" i="6"/>
  <c r="T11" i="6" s="1"/>
  <c r="AH10" i="6"/>
  <c r="AI10" i="6" s="1"/>
  <c r="L16" i="4"/>
  <c r="AE15" i="4"/>
  <c r="Q15" i="3"/>
  <c r="AA10" i="4"/>
  <c r="O10" i="3" s="1"/>
  <c r="AB10" i="4"/>
  <c r="AC10" i="4" s="1"/>
  <c r="AJ10" i="4"/>
  <c r="S11" i="4" l="1"/>
  <c r="T11" i="4" s="1"/>
  <c r="P10" i="3"/>
  <c r="AH10" i="4"/>
  <c r="AI10" i="4" s="1"/>
  <c r="T10" i="3" s="1"/>
  <c r="R15" i="3"/>
  <c r="AD16" i="4"/>
  <c r="M16" i="4"/>
  <c r="N17" i="4" s="1"/>
  <c r="G17" i="3" s="1"/>
  <c r="C17" i="3" s="1"/>
  <c r="U11" i="6"/>
  <c r="L27" i="6"/>
  <c r="AD27" i="6" s="1"/>
  <c r="AE26" i="6"/>
  <c r="L28" i="6" l="1"/>
  <c r="AD28" i="6" s="1"/>
  <c r="AE27" i="6"/>
  <c r="V11" i="6"/>
  <c r="L17" i="4"/>
  <c r="AE16" i="4"/>
  <c r="Q16" i="3"/>
  <c r="U11" i="4"/>
  <c r="N11" i="3" l="1"/>
  <c r="V11" i="4"/>
  <c r="R16" i="3"/>
  <c r="AD17" i="4"/>
  <c r="M17" i="4"/>
  <c r="N18" i="4" s="1"/>
  <c r="G18" i="3" s="1"/>
  <c r="C18" i="3" s="1"/>
  <c r="AA11" i="6"/>
  <c r="AB11" i="6"/>
  <c r="AC11" i="6" s="1"/>
  <c r="AJ11" i="6"/>
  <c r="L29" i="6"/>
  <c r="AD29" i="6" s="1"/>
  <c r="AE28" i="6"/>
  <c r="L30" i="6" l="1"/>
  <c r="AD30" i="6" s="1"/>
  <c r="AE29" i="6"/>
  <c r="S12" i="6"/>
  <c r="T12" i="6" s="1"/>
  <c r="AH11" i="6"/>
  <c r="AI11" i="6" s="1"/>
  <c r="L18" i="4"/>
  <c r="AE17" i="4"/>
  <c r="Q17" i="3"/>
  <c r="AA11" i="4"/>
  <c r="O11" i="3" s="1"/>
  <c r="AB11" i="4"/>
  <c r="AC11" i="4" s="1"/>
  <c r="AJ11" i="4"/>
  <c r="S12" i="4" l="1"/>
  <c r="T12" i="4" s="1"/>
  <c r="P11" i="3"/>
  <c r="AH11" i="4"/>
  <c r="AI11" i="4" s="1"/>
  <c r="T11" i="3" s="1"/>
  <c r="R17" i="3"/>
  <c r="AD18" i="4"/>
  <c r="M18" i="4"/>
  <c r="N19" i="4" s="1"/>
  <c r="G19" i="3" s="1"/>
  <c r="U12" i="6"/>
  <c r="L31" i="6"/>
  <c r="AE30" i="6"/>
  <c r="V12" i="6" l="1"/>
  <c r="L19" i="4"/>
  <c r="AE18" i="4"/>
  <c r="Q18" i="3"/>
  <c r="U12" i="4"/>
  <c r="N12" i="3" l="1"/>
  <c r="V12" i="4"/>
  <c r="R18" i="3"/>
  <c r="AD19" i="4"/>
  <c r="M19" i="4"/>
  <c r="N20" i="4" s="1"/>
  <c r="G20" i="3" s="1"/>
  <c r="AA12" i="6"/>
  <c r="AB12" i="6"/>
  <c r="AC12" i="6" s="1"/>
  <c r="AJ12" i="6"/>
  <c r="S13" i="6" l="1"/>
  <c r="T13" i="6" s="1"/>
  <c r="AH12" i="6"/>
  <c r="AI12" i="6" s="1"/>
  <c r="L20" i="4"/>
  <c r="AE19" i="4"/>
  <c r="Q19" i="3"/>
  <c r="AA12" i="4"/>
  <c r="O12" i="3" s="1"/>
  <c r="AB12" i="4"/>
  <c r="AC12" i="4" s="1"/>
  <c r="AJ12" i="4"/>
  <c r="S13" i="4" l="1"/>
  <c r="T13" i="4" s="1"/>
  <c r="P12" i="3"/>
  <c r="AH12" i="4"/>
  <c r="AI12" i="4" s="1"/>
  <c r="T12" i="3" s="1"/>
  <c r="R19" i="3"/>
  <c r="AD20" i="4"/>
  <c r="M20" i="4"/>
  <c r="N21" i="4" s="1"/>
  <c r="G21" i="3" s="1"/>
  <c r="U13" i="6"/>
  <c r="V13" i="6" l="1"/>
  <c r="L21" i="4"/>
  <c r="AE20" i="4"/>
  <c r="Q20" i="3"/>
  <c r="U13" i="4"/>
  <c r="N13" i="3" l="1"/>
  <c r="V13" i="4"/>
  <c r="R20" i="3"/>
  <c r="AD21" i="4"/>
  <c r="M21" i="4"/>
  <c r="N22" i="4" s="1"/>
  <c r="G22" i="3" s="1"/>
  <c r="AA13" i="6"/>
  <c r="AB13" i="6"/>
  <c r="AC13" i="6" s="1"/>
  <c r="AJ13" i="6"/>
  <c r="S14" i="6" l="1"/>
  <c r="T14" i="6" s="1"/>
  <c r="AH13" i="6"/>
  <c r="AI13" i="6" s="1"/>
  <c r="L22" i="4"/>
  <c r="AE21" i="4"/>
  <c r="Q21" i="3"/>
  <c r="AA13" i="4"/>
  <c r="O13" i="3" s="1"/>
  <c r="AB13" i="4"/>
  <c r="AC13" i="4" s="1"/>
  <c r="AJ13" i="4"/>
  <c r="S14" i="4" l="1"/>
  <c r="T14" i="4" s="1"/>
  <c r="P13" i="3"/>
  <c r="AH13" i="4"/>
  <c r="AI13" i="4" s="1"/>
  <c r="T13" i="3" s="1"/>
  <c r="R21" i="3"/>
  <c r="AD22" i="4"/>
  <c r="M22" i="4"/>
  <c r="N23" i="4" s="1"/>
  <c r="G23" i="3" s="1"/>
  <c r="U14" i="6"/>
  <c r="V14" i="6" l="1"/>
  <c r="L23" i="4"/>
  <c r="AE22" i="4"/>
  <c r="Q22" i="3"/>
  <c r="U14" i="4"/>
  <c r="N14" i="3" l="1"/>
  <c r="V14" i="4"/>
  <c r="R22" i="3"/>
  <c r="AD23" i="4"/>
  <c r="M23" i="4"/>
  <c r="N24" i="4" s="1"/>
  <c r="G24" i="3" s="1"/>
  <c r="AA14" i="6"/>
  <c r="AB14" i="6"/>
  <c r="AC14" i="6" s="1"/>
  <c r="AJ14" i="6"/>
  <c r="S15" i="6" l="1"/>
  <c r="T15" i="6" s="1"/>
  <c r="AH14" i="6"/>
  <c r="AI14" i="6" s="1"/>
  <c r="L24" i="4"/>
  <c r="AE23" i="4"/>
  <c r="Q23" i="3"/>
  <c r="AA14" i="4"/>
  <c r="O14" i="3" s="1"/>
  <c r="AB14" i="4"/>
  <c r="AC14" i="4" s="1"/>
  <c r="AJ14" i="4"/>
  <c r="S15" i="4" l="1"/>
  <c r="T15" i="4" s="1"/>
  <c r="P14" i="3"/>
  <c r="AH14" i="4"/>
  <c r="AI14" i="4" s="1"/>
  <c r="T14" i="3" s="1"/>
  <c r="R23" i="3"/>
  <c r="AD24" i="4"/>
  <c r="M24" i="4"/>
  <c r="N25" i="4" s="1"/>
  <c r="G25" i="3" s="1"/>
  <c r="U15" i="6"/>
  <c r="V15" i="6" l="1"/>
  <c r="L25" i="4"/>
  <c r="AE24" i="4"/>
  <c r="Q24" i="3"/>
  <c r="U15" i="4"/>
  <c r="N15" i="3" l="1"/>
  <c r="V15" i="4"/>
  <c r="R24" i="3"/>
  <c r="AD25" i="4"/>
  <c r="M25" i="4"/>
  <c r="N26" i="4" s="1"/>
  <c r="G26" i="3" s="1"/>
  <c r="AA15" i="6"/>
  <c r="AB15" i="6"/>
  <c r="AC15" i="6" s="1"/>
  <c r="AJ15" i="6"/>
  <c r="S16" i="6" l="1"/>
  <c r="T16" i="6" s="1"/>
  <c r="AH15" i="6"/>
  <c r="AI15" i="6" s="1"/>
  <c r="L26" i="4"/>
  <c r="AE25" i="4"/>
  <c r="Q25" i="3"/>
  <c r="AA15" i="4"/>
  <c r="O15" i="3" s="1"/>
  <c r="AB15" i="4"/>
  <c r="AC15" i="4" s="1"/>
  <c r="AJ15" i="4"/>
  <c r="S16" i="4" l="1"/>
  <c r="T16" i="4" s="1"/>
  <c r="P15" i="3"/>
  <c r="AH15" i="4"/>
  <c r="AI15" i="4" s="1"/>
  <c r="T15" i="3" s="1"/>
  <c r="R25" i="3"/>
  <c r="AD26" i="4"/>
  <c r="M26" i="4"/>
  <c r="N27" i="4" s="1"/>
  <c r="G27" i="3" s="1"/>
  <c r="U16" i="6"/>
  <c r="V16" i="6" l="1"/>
  <c r="L27" i="4"/>
  <c r="AE26" i="4"/>
  <c r="Q26" i="3"/>
  <c r="U16" i="4"/>
  <c r="N16" i="3" l="1"/>
  <c r="V16" i="4"/>
  <c r="R26" i="3"/>
  <c r="AD27" i="4"/>
  <c r="M27" i="4"/>
  <c r="N28" i="4" s="1"/>
  <c r="G28" i="3" s="1"/>
  <c r="AA16" i="6"/>
  <c r="AB16" i="6"/>
  <c r="AC16" i="6" s="1"/>
  <c r="AJ16" i="6"/>
  <c r="S17" i="6" l="1"/>
  <c r="T17" i="6" s="1"/>
  <c r="AH16" i="6"/>
  <c r="AI16" i="6" s="1"/>
  <c r="L28" i="4"/>
  <c r="AE27" i="4"/>
  <c r="Q27" i="3"/>
  <c r="AA16" i="4"/>
  <c r="O16" i="3" s="1"/>
  <c r="AB16" i="4"/>
  <c r="AC16" i="4" s="1"/>
  <c r="AJ16" i="4"/>
  <c r="S17" i="4" l="1"/>
  <c r="T17" i="4" s="1"/>
  <c r="P16" i="3"/>
  <c r="AH16" i="4"/>
  <c r="AI16" i="4" s="1"/>
  <c r="T16" i="3" s="1"/>
  <c r="R27" i="3"/>
  <c r="AD28" i="4"/>
  <c r="M28" i="4"/>
  <c r="N29" i="4" s="1"/>
  <c r="G29" i="3" s="1"/>
  <c r="U17" i="6"/>
  <c r="V17" i="6" l="1"/>
  <c r="L29" i="4"/>
  <c r="AE28" i="4"/>
  <c r="Q28" i="3"/>
  <c r="U17" i="4"/>
  <c r="N17" i="3" l="1"/>
  <c r="V17" i="4"/>
  <c r="R28" i="3"/>
  <c r="AD29" i="4"/>
  <c r="M29" i="4"/>
  <c r="N30" i="4" s="1"/>
  <c r="G30" i="3" s="1"/>
  <c r="AA17" i="6"/>
  <c r="AB17" i="6"/>
  <c r="AC17" i="6" s="1"/>
  <c r="AJ17" i="6"/>
  <c r="S18" i="6" l="1"/>
  <c r="T18" i="6" s="1"/>
  <c r="AH17" i="6"/>
  <c r="AI17" i="6" s="1"/>
  <c r="L30" i="4"/>
  <c r="AE29" i="4"/>
  <c r="Q29" i="3"/>
  <c r="AA17" i="4"/>
  <c r="O17" i="3" s="1"/>
  <c r="AB17" i="4"/>
  <c r="AC17" i="4" s="1"/>
  <c r="AJ17" i="4"/>
  <c r="S18" i="4" l="1"/>
  <c r="T18" i="4" s="1"/>
  <c r="P17" i="3"/>
  <c r="AH17" i="4"/>
  <c r="AI17" i="4" s="1"/>
  <c r="T17" i="3" s="1"/>
  <c r="R29" i="3"/>
  <c r="AD30" i="4"/>
  <c r="M30" i="4"/>
  <c r="N31" i="4" s="1"/>
  <c r="G31" i="3" s="1"/>
  <c r="U18" i="6"/>
  <c r="V18" i="6" l="1"/>
  <c r="L31" i="4"/>
  <c r="AE30" i="4"/>
  <c r="Q30" i="3"/>
  <c r="U18" i="4"/>
  <c r="N18" i="3" l="1"/>
  <c r="V18" i="4"/>
  <c r="R30" i="3"/>
  <c r="M31" i="4"/>
  <c r="N32" i="4" s="1"/>
  <c r="G32" i="3" s="1"/>
  <c r="AA18" i="6"/>
  <c r="AB18" i="6"/>
  <c r="AC18" i="6" s="1"/>
  <c r="AJ18" i="6"/>
  <c r="S19" i="6" l="1"/>
  <c r="T19" i="6" s="1"/>
  <c r="AH18" i="6"/>
  <c r="AI18" i="6" s="1"/>
  <c r="AA18" i="4"/>
  <c r="O18" i="3" s="1"/>
  <c r="AB18" i="4"/>
  <c r="AC18" i="4" s="1"/>
  <c r="AJ18" i="4"/>
  <c r="S19" i="4" l="1"/>
  <c r="T19" i="4" s="1"/>
  <c r="P18" i="3"/>
  <c r="AH18" i="4"/>
  <c r="AI18" i="4" s="1"/>
  <c r="T18" i="3" s="1"/>
  <c r="U19" i="6"/>
  <c r="V19" i="6" l="1"/>
  <c r="U19" i="4"/>
  <c r="N19" i="3" l="1"/>
  <c r="C19" i="3" s="1"/>
  <c r="V19" i="4"/>
  <c r="AA19" i="6"/>
  <c r="AJ19" i="6" s="1"/>
  <c r="AB19" i="6"/>
  <c r="AC19" i="6" s="1"/>
  <c r="S20" i="6" l="1"/>
  <c r="T20" i="6" s="1"/>
  <c r="AH19" i="6"/>
  <c r="AI19" i="6" s="1"/>
  <c r="AA19" i="4"/>
  <c r="O19" i="3" s="1"/>
  <c r="AB19" i="4"/>
  <c r="AC19" i="4" s="1"/>
  <c r="AJ19" i="4"/>
  <c r="S20" i="4" l="1"/>
  <c r="T20" i="4" s="1"/>
  <c r="P19" i="3"/>
  <c r="AH19" i="4"/>
  <c r="AI19" i="4" s="1"/>
  <c r="T19" i="3" s="1"/>
  <c r="U20" i="6"/>
  <c r="V20" i="6" l="1"/>
  <c r="U20" i="4"/>
  <c r="N20" i="3" l="1"/>
  <c r="C20" i="3" s="1"/>
  <c r="V20" i="4"/>
  <c r="AA20" i="6"/>
  <c r="AJ20" i="6" s="1"/>
  <c r="AB20" i="6"/>
  <c r="AC20" i="6" s="1"/>
  <c r="S21" i="6" l="1"/>
  <c r="T21" i="6" s="1"/>
  <c r="AH20" i="6"/>
  <c r="AI20" i="6" s="1"/>
  <c r="AA20" i="4"/>
  <c r="O20" i="3" s="1"/>
  <c r="AB20" i="4"/>
  <c r="AC20" i="4" s="1"/>
  <c r="AJ20" i="4"/>
  <c r="S21" i="4" l="1"/>
  <c r="T21" i="4" s="1"/>
  <c r="P20" i="3"/>
  <c r="AH20" i="4"/>
  <c r="AI20" i="4" s="1"/>
  <c r="T20" i="3" s="1"/>
  <c r="U21" i="6"/>
  <c r="V21" i="6" l="1"/>
  <c r="U21" i="4"/>
  <c r="N21" i="3" l="1"/>
  <c r="C21" i="3" s="1"/>
  <c r="V21" i="4"/>
  <c r="AA21" i="6"/>
  <c r="AJ21" i="6" s="1"/>
  <c r="AB21" i="6"/>
  <c r="AC21" i="6" s="1"/>
  <c r="S22" i="6" l="1"/>
  <c r="T22" i="6" s="1"/>
  <c r="AH21" i="6"/>
  <c r="AI21" i="6" s="1"/>
  <c r="AA21" i="4"/>
  <c r="O21" i="3" s="1"/>
  <c r="AB21" i="4"/>
  <c r="AC21" i="4" s="1"/>
  <c r="AJ21" i="4"/>
  <c r="S22" i="4" l="1"/>
  <c r="T22" i="4" s="1"/>
  <c r="P21" i="3"/>
  <c r="AH21" i="4"/>
  <c r="AI21" i="4" s="1"/>
  <c r="T21" i="3" s="1"/>
  <c r="U22" i="6"/>
  <c r="V22" i="6" l="1"/>
  <c r="U22" i="4"/>
  <c r="N22" i="3" l="1"/>
  <c r="C22" i="3" s="1"/>
  <c r="V22" i="4"/>
  <c r="AA22" i="6"/>
  <c r="AJ22" i="6" s="1"/>
  <c r="AB22" i="6"/>
  <c r="AC22" i="6" s="1"/>
  <c r="S23" i="6" l="1"/>
  <c r="T23" i="6" s="1"/>
  <c r="AH22" i="6"/>
  <c r="AI22" i="6" s="1"/>
  <c r="AA22" i="4"/>
  <c r="O22" i="3" s="1"/>
  <c r="AB22" i="4"/>
  <c r="AC22" i="4" s="1"/>
  <c r="AJ22" i="4"/>
  <c r="S23" i="4" l="1"/>
  <c r="T23" i="4" s="1"/>
  <c r="P22" i="3"/>
  <c r="AH22" i="4"/>
  <c r="AI22" i="4" s="1"/>
  <c r="T22" i="3" s="1"/>
  <c r="U23" i="6"/>
  <c r="V23" i="6" l="1"/>
  <c r="U23" i="4"/>
  <c r="N23" i="3" l="1"/>
  <c r="C23" i="3" s="1"/>
  <c r="V23" i="4"/>
  <c r="AA23" i="6"/>
  <c r="AJ23" i="6" s="1"/>
  <c r="AB23" i="6"/>
  <c r="AC23" i="6" s="1"/>
  <c r="S24" i="6" l="1"/>
  <c r="T24" i="6" s="1"/>
  <c r="AH23" i="6"/>
  <c r="AI23" i="6" s="1"/>
  <c r="AA23" i="4"/>
  <c r="O23" i="3" s="1"/>
  <c r="AB23" i="4"/>
  <c r="AC23" i="4" s="1"/>
  <c r="AJ23" i="4"/>
  <c r="S24" i="4" l="1"/>
  <c r="T24" i="4" s="1"/>
  <c r="P23" i="3"/>
  <c r="AH23" i="4"/>
  <c r="AI23" i="4" s="1"/>
  <c r="T23" i="3" s="1"/>
  <c r="U24" i="6"/>
  <c r="V24" i="6" l="1"/>
  <c r="U24" i="4"/>
  <c r="N24" i="3" l="1"/>
  <c r="C24" i="3" s="1"/>
  <c r="V24" i="4"/>
  <c r="AA24" i="6"/>
  <c r="AJ24" i="6" s="1"/>
  <c r="AB24" i="6"/>
  <c r="AC24" i="6" s="1"/>
  <c r="S25" i="6" l="1"/>
  <c r="T25" i="6" s="1"/>
  <c r="AH24" i="6"/>
  <c r="AI24" i="6" s="1"/>
  <c r="AA24" i="4"/>
  <c r="O24" i="3" s="1"/>
  <c r="AB24" i="4"/>
  <c r="AC24" i="4" s="1"/>
  <c r="AJ24" i="4"/>
  <c r="S25" i="4" l="1"/>
  <c r="T25" i="4" s="1"/>
  <c r="P24" i="3"/>
  <c r="AH24" i="4"/>
  <c r="AI24" i="4" s="1"/>
  <c r="T24" i="3" s="1"/>
  <c r="U25" i="6"/>
  <c r="V25" i="6" l="1"/>
  <c r="U25" i="4"/>
  <c r="N25" i="3" l="1"/>
  <c r="C25" i="3" s="1"/>
  <c r="V25" i="4"/>
  <c r="AA25" i="6"/>
  <c r="AJ25" i="6" s="1"/>
  <c r="AB25" i="6"/>
  <c r="AC25" i="6" s="1"/>
  <c r="S26" i="6" l="1"/>
  <c r="T26" i="6" s="1"/>
  <c r="AH25" i="6"/>
  <c r="AI25" i="6" s="1"/>
  <c r="AA25" i="4"/>
  <c r="O25" i="3" s="1"/>
  <c r="AB25" i="4"/>
  <c r="AC25" i="4" s="1"/>
  <c r="AJ25" i="4"/>
  <c r="S26" i="4" l="1"/>
  <c r="T26" i="4" s="1"/>
  <c r="P25" i="3"/>
  <c r="AH25" i="4"/>
  <c r="AI25" i="4" s="1"/>
  <c r="T25" i="3" s="1"/>
  <c r="U26" i="6"/>
  <c r="V26" i="6" l="1"/>
  <c r="U26" i="4"/>
  <c r="N26" i="3" l="1"/>
  <c r="C26" i="3" s="1"/>
  <c r="V26" i="4"/>
  <c r="AA26" i="6"/>
  <c r="AJ26" i="6" s="1"/>
  <c r="AB26" i="6"/>
  <c r="AC26" i="6" s="1"/>
  <c r="S27" i="6" l="1"/>
  <c r="T27" i="6" s="1"/>
  <c r="AH26" i="6"/>
  <c r="AI26" i="6" s="1"/>
  <c r="AA26" i="4"/>
  <c r="O26" i="3" s="1"/>
  <c r="AB26" i="4"/>
  <c r="AC26" i="4" s="1"/>
  <c r="AJ26" i="4"/>
  <c r="S27" i="4" l="1"/>
  <c r="T27" i="4" s="1"/>
  <c r="P26" i="3"/>
  <c r="AH26" i="4"/>
  <c r="AI26" i="4" s="1"/>
  <c r="T26" i="3" s="1"/>
  <c r="U27" i="6"/>
  <c r="V27" i="6" l="1"/>
  <c r="U27" i="4"/>
  <c r="N27" i="3" l="1"/>
  <c r="C27" i="3" s="1"/>
  <c r="V27" i="4"/>
  <c r="AA27" i="6"/>
  <c r="AJ27" i="6" s="1"/>
  <c r="AB27" i="6"/>
  <c r="AC27" i="6" s="1"/>
  <c r="S28" i="6" l="1"/>
  <c r="T28" i="6" s="1"/>
  <c r="AH27" i="6"/>
  <c r="AI27" i="6" s="1"/>
  <c r="AA27" i="4"/>
  <c r="O27" i="3" s="1"/>
  <c r="AB27" i="4"/>
  <c r="AC27" i="4" s="1"/>
  <c r="AJ27" i="4"/>
  <c r="S28" i="4" l="1"/>
  <c r="T28" i="4" s="1"/>
  <c r="P27" i="3"/>
  <c r="AH27" i="4"/>
  <c r="AI27" i="4" s="1"/>
  <c r="T27" i="3" s="1"/>
  <c r="U28" i="6"/>
  <c r="V28" i="6" l="1"/>
  <c r="U28" i="4"/>
  <c r="N28" i="3" l="1"/>
  <c r="C28" i="3" s="1"/>
  <c r="V28" i="4"/>
  <c r="AA28" i="6"/>
  <c r="AJ28" i="6" s="1"/>
  <c r="AB28" i="6"/>
  <c r="AC28" i="6" s="1"/>
  <c r="S29" i="6" l="1"/>
  <c r="T29" i="6" s="1"/>
  <c r="AH28" i="6"/>
  <c r="AI28" i="6" s="1"/>
  <c r="AA28" i="4"/>
  <c r="O28" i="3" s="1"/>
  <c r="AB28" i="4"/>
  <c r="AC28" i="4" s="1"/>
  <c r="AJ28" i="4"/>
  <c r="S29" i="4" l="1"/>
  <c r="T29" i="4" s="1"/>
  <c r="P28" i="3"/>
  <c r="AH28" i="4"/>
  <c r="AI28" i="4" s="1"/>
  <c r="T28" i="3" s="1"/>
  <c r="U29" i="6"/>
  <c r="V29" i="6" l="1"/>
  <c r="U29" i="4"/>
  <c r="N29" i="3" l="1"/>
  <c r="C29" i="3" s="1"/>
  <c r="V29" i="4"/>
  <c r="AA29" i="6"/>
  <c r="AJ29" i="6" s="1"/>
  <c r="AB29" i="6"/>
  <c r="AC29" i="6" s="1"/>
  <c r="S30" i="6" l="1"/>
  <c r="T30" i="6" s="1"/>
  <c r="AH29" i="6"/>
  <c r="AI29" i="6" s="1"/>
  <c r="AA29" i="4"/>
  <c r="O29" i="3" s="1"/>
  <c r="AB29" i="4"/>
  <c r="AC29" i="4" s="1"/>
  <c r="AJ29" i="4"/>
  <c r="S30" i="4" l="1"/>
  <c r="T30" i="4" s="1"/>
  <c r="P29" i="3"/>
  <c r="AH29" i="4"/>
  <c r="AI29" i="4" s="1"/>
  <c r="T29" i="3" s="1"/>
  <c r="U30" i="6"/>
  <c r="V30" i="6" l="1"/>
  <c r="U30" i="4"/>
  <c r="N30" i="3" l="1"/>
  <c r="C30" i="3" s="1"/>
  <c r="V30" i="4"/>
  <c r="AA30" i="6"/>
  <c r="AJ30" i="6" s="1"/>
  <c r="AB30" i="6"/>
  <c r="AC30" i="6" s="1"/>
  <c r="S31" i="6" l="1"/>
  <c r="T31" i="6" s="1"/>
  <c r="AH30" i="6"/>
  <c r="AI30" i="6" s="1"/>
  <c r="AA30" i="4"/>
  <c r="O30" i="3" s="1"/>
  <c r="AB30" i="4"/>
  <c r="AC30" i="4" s="1"/>
  <c r="AJ30" i="4"/>
  <c r="S31" i="4" l="1"/>
  <c r="T31" i="4" s="1"/>
  <c r="P30" i="3"/>
  <c r="AH30" i="4"/>
  <c r="AI30" i="4" s="1"/>
  <c r="T30" i="3" s="1"/>
  <c r="U31" i="6"/>
  <c r="V31" i="6" l="1"/>
  <c r="U31" i="4"/>
  <c r="N31" i="3" l="1"/>
  <c r="V31" i="4"/>
  <c r="W31" i="6"/>
  <c r="X31" i="6" l="1"/>
  <c r="AD31" i="6"/>
  <c r="W31" i="4"/>
  <c r="X31" i="4" l="1"/>
  <c r="H31" i="3"/>
  <c r="AD31" i="4"/>
  <c r="L32" i="6"/>
  <c r="AE31" i="6"/>
  <c r="Y31" i="6"/>
  <c r="Z31" i="6" s="1"/>
  <c r="AB31" i="6" l="1"/>
  <c r="AC31" i="6" s="1"/>
  <c r="S32" i="6" s="1"/>
  <c r="T32" i="6" s="1"/>
  <c r="AA31" i="6"/>
  <c r="AJ31" i="6" s="1"/>
  <c r="AH31" i="6"/>
  <c r="AI31" i="6" s="1"/>
  <c r="L32" i="4"/>
  <c r="AE31" i="4"/>
  <c r="Q31" i="3"/>
  <c r="Y31" i="4"/>
  <c r="Z31" i="4" s="1"/>
  <c r="AB31" i="4" l="1"/>
  <c r="AC31" i="4" s="1"/>
  <c r="I31" i="3"/>
  <c r="AA31" i="4"/>
  <c r="AH31" i="4"/>
  <c r="AI31" i="4" s="1"/>
  <c r="T31" i="3" s="1"/>
  <c r="R31" i="3"/>
  <c r="M32" i="4"/>
  <c r="N33" i="4" s="1"/>
  <c r="G33" i="3" s="1"/>
  <c r="U32" i="6"/>
  <c r="V32" i="6" l="1"/>
  <c r="O31" i="3"/>
  <c r="C31" i="3" s="1"/>
  <c r="AJ31" i="4"/>
  <c r="S32" i="4"/>
  <c r="T32" i="4" s="1"/>
  <c r="P31" i="3"/>
  <c r="U32" i="4" l="1"/>
  <c r="W32" i="6"/>
  <c r="X32" i="6" l="1"/>
  <c r="AD32" i="6"/>
  <c r="N32" i="3"/>
  <c r="V32" i="4"/>
  <c r="W32" i="4" l="1"/>
  <c r="L33" i="6"/>
  <c r="AE32" i="6"/>
  <c r="Y32" i="6"/>
  <c r="Z32" i="6" s="1"/>
  <c r="AB32" i="6" l="1"/>
  <c r="AC32" i="6" s="1"/>
  <c r="S33" i="6" s="1"/>
  <c r="T33" i="6" s="1"/>
  <c r="AA32" i="6"/>
  <c r="AJ32" i="6" s="1"/>
  <c r="AH32" i="6"/>
  <c r="AI32" i="6" s="1"/>
  <c r="X32" i="4"/>
  <c r="H32" i="3"/>
  <c r="AD32" i="4"/>
  <c r="L33" i="4" l="1"/>
  <c r="AE32" i="4"/>
  <c r="Q32" i="3"/>
  <c r="Y32" i="4"/>
  <c r="Z32" i="4" s="1"/>
  <c r="U33" i="6"/>
  <c r="V33" i="6" l="1"/>
  <c r="AB32" i="4"/>
  <c r="AC32" i="4" s="1"/>
  <c r="I32" i="3"/>
  <c r="C32" i="3" s="1"/>
  <c r="AA32" i="4"/>
  <c r="AH32" i="4"/>
  <c r="AI32" i="4" s="1"/>
  <c r="T32" i="3" s="1"/>
  <c r="R32" i="3"/>
  <c r="M33" i="4"/>
  <c r="N34" i="4" s="1"/>
  <c r="G34" i="3" s="1"/>
  <c r="O32" i="3" l="1"/>
  <c r="AJ32" i="4"/>
  <c r="S33" i="4"/>
  <c r="T33" i="4" s="1"/>
  <c r="P32" i="3"/>
  <c r="W33" i="6"/>
  <c r="X33" i="6" l="1"/>
  <c r="AD33" i="6"/>
  <c r="U33" i="4"/>
  <c r="N33" i="3" l="1"/>
  <c r="V33" i="4"/>
  <c r="L34" i="6"/>
  <c r="AE33" i="6"/>
  <c r="Y33" i="6"/>
  <c r="Z33" i="6" s="1"/>
  <c r="AB33" i="6" l="1"/>
  <c r="AC33" i="6" s="1"/>
  <c r="S34" i="6" s="1"/>
  <c r="T34" i="6" s="1"/>
  <c r="AA33" i="6"/>
  <c r="AJ33" i="6" s="1"/>
  <c r="AH33" i="6"/>
  <c r="AI33" i="6" s="1"/>
  <c r="W33" i="4"/>
  <c r="X33" i="4" l="1"/>
  <c r="H33" i="3"/>
  <c r="AD33" i="4"/>
  <c r="U34" i="6"/>
  <c r="V34" i="6" l="1"/>
  <c r="L34" i="4"/>
  <c r="AE33" i="4"/>
  <c r="Q33" i="3"/>
  <c r="Y33" i="4"/>
  <c r="Z33" i="4" s="1"/>
  <c r="AB33" i="4" l="1"/>
  <c r="AC33" i="4" s="1"/>
  <c r="I33" i="3"/>
  <c r="C33" i="3" s="1"/>
  <c r="AA33" i="4"/>
  <c r="AH33" i="4"/>
  <c r="AI33" i="4" s="1"/>
  <c r="T33" i="3" s="1"/>
  <c r="R33" i="3"/>
  <c r="M34" i="4"/>
  <c r="N35" i="4" s="1"/>
  <c r="G35" i="3" s="1"/>
  <c r="W34" i="6"/>
  <c r="X34" i="6" l="1"/>
  <c r="AD34" i="6"/>
  <c r="O33" i="3"/>
  <c r="AJ33" i="4"/>
  <c r="S34" i="4"/>
  <c r="T34" i="4" s="1"/>
  <c r="P33" i="3"/>
  <c r="U34" i="4" l="1"/>
  <c r="L35" i="6"/>
  <c r="AE34" i="6"/>
  <c r="Y34" i="6"/>
  <c r="Z34" i="6" s="1"/>
  <c r="AB34" i="6" l="1"/>
  <c r="AC34" i="6" s="1"/>
  <c r="S35" i="6" s="1"/>
  <c r="T35" i="6" s="1"/>
  <c r="AA34" i="6"/>
  <c r="AJ34" i="6" s="1"/>
  <c r="AH34" i="6"/>
  <c r="AI34" i="6" s="1"/>
  <c r="N34" i="3"/>
  <c r="V34" i="4"/>
  <c r="W34" i="4" l="1"/>
  <c r="U35" i="6"/>
  <c r="V35" i="6" l="1"/>
  <c r="X34" i="4"/>
  <c r="H34" i="3"/>
  <c r="AD34" i="4"/>
  <c r="L35" i="4" l="1"/>
  <c r="AE34" i="4"/>
  <c r="Q34" i="3"/>
  <c r="Y34" i="4"/>
  <c r="Z34" i="4" s="1"/>
  <c r="W35" i="6"/>
  <c r="X35" i="6" l="1"/>
  <c r="AD35" i="6"/>
  <c r="AB34" i="4"/>
  <c r="AC34" i="4" s="1"/>
  <c r="I34" i="3"/>
  <c r="C34" i="3" s="1"/>
  <c r="AA34" i="4"/>
  <c r="AH34" i="4"/>
  <c r="AI34" i="4" s="1"/>
  <c r="T34" i="3" s="1"/>
  <c r="R34" i="3"/>
  <c r="M35" i="4"/>
  <c r="N36" i="4" s="1"/>
  <c r="G36" i="3" s="1"/>
  <c r="O34" i="3" l="1"/>
  <c r="AJ34" i="4"/>
  <c r="S35" i="4"/>
  <c r="T35" i="4" s="1"/>
  <c r="P34" i="3"/>
  <c r="L36" i="6"/>
  <c r="AE35" i="6"/>
  <c r="Y35" i="6"/>
  <c r="Z35" i="6" s="1"/>
  <c r="AB35" i="6" l="1"/>
  <c r="AC35" i="6" s="1"/>
  <c r="S36" i="6" s="1"/>
  <c r="T36" i="6" s="1"/>
  <c r="AA35" i="6"/>
  <c r="AJ35" i="6" s="1"/>
  <c r="AH35" i="6"/>
  <c r="AI35" i="6" s="1"/>
  <c r="U35" i="4"/>
  <c r="N35" i="3" l="1"/>
  <c r="V35" i="4"/>
  <c r="U36" i="6"/>
  <c r="V36" i="6" l="1"/>
  <c r="W35" i="4"/>
  <c r="X35" i="4" l="1"/>
  <c r="H35" i="3"/>
  <c r="AD35" i="4"/>
  <c r="W36" i="6"/>
  <c r="X36" i="6" l="1"/>
  <c r="AD36" i="6"/>
  <c r="L36" i="4"/>
  <c r="AE35" i="4"/>
  <c r="Q35" i="3"/>
  <c r="Y35" i="4"/>
  <c r="Z35" i="4" s="1"/>
  <c r="AB35" i="4" l="1"/>
  <c r="AC35" i="4" s="1"/>
  <c r="I35" i="3"/>
  <c r="C35" i="3" s="1"/>
  <c r="AA35" i="4"/>
  <c r="AH35" i="4"/>
  <c r="AI35" i="4" s="1"/>
  <c r="T35" i="3" s="1"/>
  <c r="R35" i="3"/>
  <c r="M36" i="4"/>
  <c r="N37" i="4" s="1"/>
  <c r="G37" i="3" s="1"/>
  <c r="L37" i="6"/>
  <c r="AE36" i="6"/>
  <c r="Y36" i="6"/>
  <c r="Z36" i="6" s="1"/>
  <c r="AB36" i="6" l="1"/>
  <c r="AC36" i="6" s="1"/>
  <c r="S37" i="6" s="1"/>
  <c r="T37" i="6" s="1"/>
  <c r="AA36" i="6"/>
  <c r="AJ36" i="6" s="1"/>
  <c r="AH36" i="6"/>
  <c r="AI36" i="6" s="1"/>
  <c r="O35" i="3"/>
  <c r="AJ35" i="4"/>
  <c r="S36" i="4"/>
  <c r="T36" i="4" s="1"/>
  <c r="P35" i="3"/>
  <c r="U36" i="4" l="1"/>
  <c r="U37" i="6"/>
  <c r="V37" i="6" l="1"/>
  <c r="N36" i="3"/>
  <c r="V36" i="4"/>
  <c r="W36" i="4" l="1"/>
  <c r="W37" i="6"/>
  <c r="X37" i="6" l="1"/>
  <c r="AD37" i="6"/>
  <c r="X36" i="4"/>
  <c r="H36" i="3"/>
  <c r="AD36" i="4"/>
  <c r="L37" i="4" l="1"/>
  <c r="AE36" i="4"/>
  <c r="Q36" i="3"/>
  <c r="Y36" i="4"/>
  <c r="Z36" i="4" s="1"/>
  <c r="L38" i="6"/>
  <c r="AE37" i="6"/>
  <c r="Y37" i="6"/>
  <c r="Z37" i="6" s="1"/>
  <c r="AB37" i="6" l="1"/>
  <c r="AC37" i="6" s="1"/>
  <c r="S38" i="6" s="1"/>
  <c r="T38" i="6" s="1"/>
  <c r="AA37" i="6"/>
  <c r="AJ37" i="6" s="1"/>
  <c r="AH37" i="6"/>
  <c r="AI37" i="6" s="1"/>
  <c r="AB36" i="4"/>
  <c r="AC36" i="4" s="1"/>
  <c r="I36" i="3"/>
  <c r="C36" i="3" s="1"/>
  <c r="AA36" i="4"/>
  <c r="AH36" i="4"/>
  <c r="AI36" i="4" s="1"/>
  <c r="T36" i="3" s="1"/>
  <c r="R36" i="3"/>
  <c r="M37" i="4"/>
  <c r="N38" i="4" s="1"/>
  <c r="G38" i="3" s="1"/>
  <c r="O36" i="3" l="1"/>
  <c r="AJ36" i="4"/>
  <c r="S37" i="4"/>
  <c r="T37" i="4" s="1"/>
  <c r="P36" i="3"/>
  <c r="U38" i="6"/>
  <c r="V38" i="6" l="1"/>
  <c r="U37" i="4"/>
  <c r="N37" i="3" l="1"/>
  <c r="V37" i="4"/>
  <c r="W38" i="6"/>
  <c r="X38" i="6" l="1"/>
  <c r="AD38" i="6"/>
  <c r="W37" i="4"/>
  <c r="X37" i="4" l="1"/>
  <c r="H37" i="3"/>
  <c r="AD37" i="4"/>
  <c r="L39" i="6"/>
  <c r="AE38" i="6"/>
  <c r="Y38" i="6"/>
  <c r="Z38" i="6" s="1"/>
  <c r="AB38" i="6" l="1"/>
  <c r="AC38" i="6" s="1"/>
  <c r="S39" i="6" s="1"/>
  <c r="T39" i="6" s="1"/>
  <c r="AA38" i="6"/>
  <c r="AJ38" i="6" s="1"/>
  <c r="AH38" i="6"/>
  <c r="AI38" i="6" s="1"/>
  <c r="L38" i="4"/>
  <c r="AE37" i="4"/>
  <c r="Q37" i="3"/>
  <c r="Y37" i="4"/>
  <c r="Z37" i="4" s="1"/>
  <c r="AB37" i="4" l="1"/>
  <c r="AC37" i="4" s="1"/>
  <c r="I37" i="3"/>
  <c r="C37" i="3" s="1"/>
  <c r="AA37" i="4"/>
  <c r="AH37" i="4"/>
  <c r="AI37" i="4" s="1"/>
  <c r="T37" i="3" s="1"/>
  <c r="R37" i="3"/>
  <c r="M38" i="4"/>
  <c r="N39" i="4" s="1"/>
  <c r="G39" i="3" s="1"/>
  <c r="U39" i="6"/>
  <c r="V39" i="6" l="1"/>
  <c r="O37" i="3"/>
  <c r="AJ37" i="4"/>
  <c r="S38" i="4"/>
  <c r="T38" i="4" s="1"/>
  <c r="P37" i="3"/>
  <c r="U38" i="4" l="1"/>
  <c r="W39" i="6"/>
  <c r="X39" i="6" l="1"/>
  <c r="AD39" i="6"/>
  <c r="N38" i="3"/>
  <c r="V38" i="4"/>
  <c r="W38" i="4" l="1"/>
  <c r="L40" i="6"/>
  <c r="AE39" i="6"/>
  <c r="Y39" i="6"/>
  <c r="Z39" i="6" s="1"/>
  <c r="AB39" i="6" l="1"/>
  <c r="AC39" i="6" s="1"/>
  <c r="S40" i="6" s="1"/>
  <c r="T40" i="6" s="1"/>
  <c r="AA39" i="6"/>
  <c r="AJ39" i="6" s="1"/>
  <c r="AH39" i="6"/>
  <c r="AI39" i="6" s="1"/>
  <c r="X38" i="4"/>
  <c r="H38" i="3"/>
  <c r="AD38" i="4"/>
  <c r="L39" i="4" l="1"/>
  <c r="AE38" i="4"/>
  <c r="Q38" i="3"/>
  <c r="Y38" i="4"/>
  <c r="Z38" i="4" s="1"/>
  <c r="U40" i="6"/>
  <c r="V40" i="6" l="1"/>
  <c r="AB38" i="4"/>
  <c r="AC38" i="4" s="1"/>
  <c r="I38" i="3"/>
  <c r="C38" i="3" s="1"/>
  <c r="AA38" i="4"/>
  <c r="AH38" i="4"/>
  <c r="AI38" i="4" s="1"/>
  <c r="T38" i="3" s="1"/>
  <c r="R38" i="3"/>
  <c r="M39" i="4"/>
  <c r="N40" i="4" s="1"/>
  <c r="G40" i="3" s="1"/>
  <c r="O38" i="3" l="1"/>
  <c r="AJ38" i="4"/>
  <c r="S39" i="4"/>
  <c r="T39" i="4" s="1"/>
  <c r="P38" i="3"/>
  <c r="W40" i="6"/>
  <c r="X40" i="6" l="1"/>
  <c r="AD40" i="6"/>
  <c r="U39" i="4"/>
  <c r="N39" i="3" l="1"/>
  <c r="V39" i="4"/>
  <c r="L41" i="6"/>
  <c r="AE40" i="6"/>
  <c r="Y40" i="6"/>
  <c r="Z40" i="6" s="1"/>
  <c r="AB40" i="6" l="1"/>
  <c r="AC40" i="6" s="1"/>
  <c r="S41" i="6" s="1"/>
  <c r="T41" i="6" s="1"/>
  <c r="AA40" i="6"/>
  <c r="AJ40" i="6" s="1"/>
  <c r="AH40" i="6"/>
  <c r="AI40" i="6" s="1"/>
  <c r="W39" i="4"/>
  <c r="X39" i="4" l="1"/>
  <c r="H39" i="3"/>
  <c r="AD39" i="4"/>
  <c r="U41" i="6"/>
  <c r="V41" i="6" l="1"/>
  <c r="L40" i="4"/>
  <c r="AE39" i="4"/>
  <c r="Q39" i="3"/>
  <c r="Y39" i="4"/>
  <c r="Z39" i="4" s="1"/>
  <c r="AB39" i="4" l="1"/>
  <c r="AC39" i="4" s="1"/>
  <c r="I39" i="3"/>
  <c r="C39" i="3" s="1"/>
  <c r="AA39" i="4"/>
  <c r="AH39" i="4"/>
  <c r="AI39" i="4" s="1"/>
  <c r="T39" i="3" s="1"/>
  <c r="R39" i="3"/>
  <c r="M40" i="4"/>
  <c r="N41" i="4" s="1"/>
  <c r="G41" i="3" s="1"/>
  <c r="W41" i="6"/>
  <c r="X41" i="6" l="1"/>
  <c r="AD41" i="6"/>
  <c r="O39" i="3"/>
  <c r="AJ39" i="4"/>
  <c r="S40" i="4"/>
  <c r="T40" i="4" s="1"/>
  <c r="P39" i="3"/>
  <c r="U40" i="4" l="1"/>
  <c r="L42" i="6"/>
  <c r="AE41" i="6"/>
  <c r="Y41" i="6"/>
  <c r="Z41" i="6" s="1"/>
  <c r="AB41" i="6" l="1"/>
  <c r="AC41" i="6" s="1"/>
  <c r="S42" i="6" s="1"/>
  <c r="T42" i="6" s="1"/>
  <c r="AA41" i="6"/>
  <c r="AJ41" i="6" s="1"/>
  <c r="AH41" i="6"/>
  <c r="AI41" i="6" s="1"/>
  <c r="N40" i="3"/>
  <c r="V40" i="4"/>
  <c r="W40" i="4" l="1"/>
  <c r="U42" i="6"/>
  <c r="V42" i="6" l="1"/>
  <c r="X40" i="4"/>
  <c r="H40" i="3"/>
  <c r="AD40" i="4"/>
  <c r="L41" i="4" l="1"/>
  <c r="AE40" i="4"/>
  <c r="Q40" i="3"/>
  <c r="Y40" i="4"/>
  <c r="Z40" i="4" s="1"/>
  <c r="W42" i="6"/>
  <c r="X42" i="6" l="1"/>
  <c r="AD42" i="6"/>
  <c r="AB40" i="4"/>
  <c r="AC40" i="4" s="1"/>
  <c r="I40" i="3"/>
  <c r="C40" i="3" s="1"/>
  <c r="AA40" i="4"/>
  <c r="AH40" i="4"/>
  <c r="AI40" i="4" s="1"/>
  <c r="T40" i="3" s="1"/>
  <c r="R40" i="3"/>
  <c r="M41" i="4"/>
  <c r="N42" i="4" s="1"/>
  <c r="G42" i="3" s="1"/>
  <c r="O40" i="3" l="1"/>
  <c r="AJ40" i="4"/>
  <c r="S41" i="4"/>
  <c r="T41" i="4" s="1"/>
  <c r="P40" i="3"/>
  <c r="L43" i="6"/>
  <c r="AD43" i="6" s="1"/>
  <c r="AE42" i="6"/>
  <c r="Y42" i="6"/>
  <c r="Z42" i="6" s="1"/>
  <c r="AB42" i="6" l="1"/>
  <c r="AC42" i="6" s="1"/>
  <c r="S43" i="6" s="1"/>
  <c r="T43" i="6" s="1"/>
  <c r="AA42" i="6"/>
  <c r="AJ42" i="6" s="1"/>
  <c r="AH42" i="6"/>
  <c r="AI42" i="6" s="1"/>
  <c r="L44" i="6"/>
  <c r="AD44" i="6" s="1"/>
  <c r="AE43" i="6"/>
  <c r="U41" i="4"/>
  <c r="N41" i="3" l="1"/>
  <c r="V41" i="4"/>
  <c r="L45" i="6"/>
  <c r="AD45" i="6" s="1"/>
  <c r="AE44" i="6"/>
  <c r="U43" i="6"/>
  <c r="V43" i="6" l="1"/>
  <c r="L46" i="6"/>
  <c r="AD46" i="6" s="1"/>
  <c r="AE45" i="6"/>
  <c r="W41" i="4"/>
  <c r="X41" i="4" l="1"/>
  <c r="H41" i="3"/>
  <c r="AD41" i="4"/>
  <c r="L47" i="6"/>
  <c r="AD47" i="6" s="1"/>
  <c r="AE46" i="6"/>
  <c r="AA43" i="6"/>
  <c r="AB43" i="6"/>
  <c r="AC43" i="6" s="1"/>
  <c r="AJ43" i="6"/>
  <c r="S44" i="6" l="1"/>
  <c r="T44" i="6" s="1"/>
  <c r="AH43" i="6"/>
  <c r="AI43" i="6" s="1"/>
  <c r="L48" i="6"/>
  <c r="AD48" i="6" s="1"/>
  <c r="AE47" i="6"/>
  <c r="L42" i="4"/>
  <c r="AE41" i="4"/>
  <c r="Q41" i="3"/>
  <c r="Y41" i="4"/>
  <c r="Z41" i="4" s="1"/>
  <c r="AB41" i="4" l="1"/>
  <c r="AC41" i="4" s="1"/>
  <c r="I41" i="3"/>
  <c r="C41" i="3" s="1"/>
  <c r="AA41" i="4"/>
  <c r="AH41" i="4"/>
  <c r="AI41" i="4" s="1"/>
  <c r="T41" i="3" s="1"/>
  <c r="R41" i="3"/>
  <c r="M42" i="4"/>
  <c r="N43" i="4" s="1"/>
  <c r="G43" i="3" s="1"/>
  <c r="C43" i="3" s="1"/>
  <c r="L49" i="6"/>
  <c r="AD49" i="6" s="1"/>
  <c r="AE48" i="6"/>
  <c r="U44" i="6"/>
  <c r="V44" i="6" l="1"/>
  <c r="L50" i="6"/>
  <c r="AD50" i="6" s="1"/>
  <c r="AE49" i="6"/>
  <c r="O41" i="3"/>
  <c r="AJ41" i="4"/>
  <c r="S42" i="4"/>
  <c r="T42" i="4" s="1"/>
  <c r="P41" i="3"/>
  <c r="U42" i="4" l="1"/>
  <c r="L51" i="6"/>
  <c r="AD51" i="6" s="1"/>
  <c r="AE50" i="6"/>
  <c r="AA44" i="6"/>
  <c r="AB44" i="6"/>
  <c r="AC44" i="6" s="1"/>
  <c r="AJ44" i="6"/>
  <c r="S45" i="6" l="1"/>
  <c r="T45" i="6" s="1"/>
  <c r="AH44" i="6"/>
  <c r="AI44" i="6" s="1"/>
  <c r="L52" i="6"/>
  <c r="AD52" i="6" s="1"/>
  <c r="AE51" i="6"/>
  <c r="N42" i="3"/>
  <c r="V42" i="4"/>
  <c r="W42" i="4" l="1"/>
  <c r="L53" i="6"/>
  <c r="AD53" i="6" s="1"/>
  <c r="AE52" i="6"/>
  <c r="U45" i="6"/>
  <c r="V45" i="6" l="1"/>
  <c r="L54" i="6"/>
  <c r="AD54" i="6" s="1"/>
  <c r="AE54" i="6" s="1"/>
  <c r="AE53" i="6"/>
  <c r="X42" i="4"/>
  <c r="H42" i="3"/>
  <c r="AD42" i="4"/>
  <c r="L43" i="4" l="1"/>
  <c r="AE42" i="4"/>
  <c r="Q42" i="3"/>
  <c r="Y42" i="4"/>
  <c r="Z42" i="4" s="1"/>
  <c r="AA45" i="6"/>
  <c r="AB45" i="6"/>
  <c r="AC45" i="6" s="1"/>
  <c r="AJ45" i="6"/>
  <c r="S46" i="6" l="1"/>
  <c r="T46" i="6" s="1"/>
  <c r="AH45" i="6"/>
  <c r="AI45" i="6" s="1"/>
  <c r="AB42" i="4"/>
  <c r="AC42" i="4" s="1"/>
  <c r="I42" i="3"/>
  <c r="C42" i="3" s="1"/>
  <c r="AA42" i="4"/>
  <c r="AH42" i="4"/>
  <c r="AI42" i="4" s="1"/>
  <c r="T42" i="3" s="1"/>
  <c r="R42" i="3"/>
  <c r="AD43" i="4"/>
  <c r="M43" i="4"/>
  <c r="N44" i="4" s="1"/>
  <c r="G44" i="3" s="1"/>
  <c r="C44" i="3" s="1"/>
  <c r="L44" i="4" l="1"/>
  <c r="AE43" i="4"/>
  <c r="Q43" i="3"/>
  <c r="O42" i="3"/>
  <c r="AJ42" i="4"/>
  <c r="S43" i="4"/>
  <c r="T43" i="4" s="1"/>
  <c r="P42" i="3"/>
  <c r="U46" i="6"/>
  <c r="V46" i="6" l="1"/>
  <c r="U43" i="4"/>
  <c r="R43" i="3"/>
  <c r="AD44" i="4"/>
  <c r="M44" i="4"/>
  <c r="N45" i="4" s="1"/>
  <c r="G45" i="3" s="1"/>
  <c r="C45" i="3" s="1"/>
  <c r="L45" i="4" l="1"/>
  <c r="AE44" i="4"/>
  <c r="Q44" i="3"/>
  <c r="N43" i="3"/>
  <c r="V43" i="4"/>
  <c r="AA46" i="6"/>
  <c r="AB46" i="6"/>
  <c r="AC46" i="6" s="1"/>
  <c r="AJ46" i="6"/>
  <c r="S47" i="6" l="1"/>
  <c r="T47" i="6" s="1"/>
  <c r="AH46" i="6"/>
  <c r="AI46" i="6" s="1"/>
  <c r="AA43" i="4"/>
  <c r="O43" i="3" s="1"/>
  <c r="AB43" i="4"/>
  <c r="AC43" i="4" s="1"/>
  <c r="AJ43" i="4"/>
  <c r="R44" i="3"/>
  <c r="AD45" i="4"/>
  <c r="M45" i="4"/>
  <c r="N46" i="4" s="1"/>
  <c r="G46" i="3" s="1"/>
  <c r="C46" i="3" s="1"/>
  <c r="L46" i="4" l="1"/>
  <c r="AE45" i="4"/>
  <c r="Q45" i="3"/>
  <c r="S44" i="4"/>
  <c r="T44" i="4" s="1"/>
  <c r="P43" i="3"/>
  <c r="AH43" i="4"/>
  <c r="AI43" i="4" s="1"/>
  <c r="T43" i="3" s="1"/>
  <c r="U47" i="6"/>
  <c r="V47" i="6" l="1"/>
  <c r="U44" i="4"/>
  <c r="R45" i="3"/>
  <c r="AD46" i="4"/>
  <c r="M46" i="4"/>
  <c r="N47" i="4" s="1"/>
  <c r="G47" i="3" s="1"/>
  <c r="C47" i="3" s="1"/>
  <c r="L47" i="4" l="1"/>
  <c r="AE46" i="4"/>
  <c r="Q46" i="3"/>
  <c r="N44" i="3"/>
  <c r="V44" i="4"/>
  <c r="AA47" i="6"/>
  <c r="AB47" i="6"/>
  <c r="AC47" i="6" s="1"/>
  <c r="AJ47" i="6"/>
  <c r="S48" i="6" l="1"/>
  <c r="T48" i="6" s="1"/>
  <c r="AH47" i="6"/>
  <c r="AI47" i="6" s="1"/>
  <c r="AA44" i="4"/>
  <c r="O44" i="3" s="1"/>
  <c r="AB44" i="4"/>
  <c r="AC44" i="4" s="1"/>
  <c r="AJ44" i="4"/>
  <c r="R46" i="3"/>
  <c r="AD47" i="4"/>
  <c r="M47" i="4"/>
  <c r="N48" i="4" s="1"/>
  <c r="G48" i="3" s="1"/>
  <c r="C48" i="3" s="1"/>
  <c r="L48" i="4" l="1"/>
  <c r="AE47" i="4"/>
  <c r="Q47" i="3"/>
  <c r="S45" i="4"/>
  <c r="T45" i="4" s="1"/>
  <c r="P44" i="3"/>
  <c r="AH44" i="4"/>
  <c r="AI44" i="4" s="1"/>
  <c r="T44" i="3" s="1"/>
  <c r="U48" i="6"/>
  <c r="V48" i="6" l="1"/>
  <c r="U45" i="4"/>
  <c r="R47" i="3"/>
  <c r="AD48" i="4"/>
  <c r="M48" i="4"/>
  <c r="N49" i="4" s="1"/>
  <c r="G49" i="3" s="1"/>
  <c r="C49" i="3" s="1"/>
  <c r="L49" i="4" l="1"/>
  <c r="AE48" i="4"/>
  <c r="Q48" i="3"/>
  <c r="N45" i="3"/>
  <c r="V45" i="4"/>
  <c r="AA48" i="6"/>
  <c r="AB48" i="6"/>
  <c r="AC48" i="6" s="1"/>
  <c r="AJ48" i="6"/>
  <c r="S49" i="6" l="1"/>
  <c r="T49" i="6" s="1"/>
  <c r="AH48" i="6"/>
  <c r="AI48" i="6" s="1"/>
  <c r="AA45" i="4"/>
  <c r="O45" i="3" s="1"/>
  <c r="AB45" i="4"/>
  <c r="AC45" i="4" s="1"/>
  <c r="AJ45" i="4"/>
  <c r="R48" i="3"/>
  <c r="AD49" i="4"/>
  <c r="M49" i="4"/>
  <c r="N50" i="4" s="1"/>
  <c r="G50" i="3" s="1"/>
  <c r="C50" i="3" s="1"/>
  <c r="L50" i="4" l="1"/>
  <c r="AE49" i="4"/>
  <c r="Q49" i="3"/>
  <c r="S46" i="4"/>
  <c r="T46" i="4" s="1"/>
  <c r="P45" i="3"/>
  <c r="AH45" i="4"/>
  <c r="AI45" i="4" s="1"/>
  <c r="T45" i="3" s="1"/>
  <c r="U49" i="6"/>
  <c r="V49" i="6" l="1"/>
  <c r="U46" i="4"/>
  <c r="R49" i="3"/>
  <c r="AD50" i="4"/>
  <c r="M50" i="4"/>
  <c r="N51" i="4" s="1"/>
  <c r="G51" i="3" s="1"/>
  <c r="C51" i="3" s="1"/>
  <c r="L51" i="4" l="1"/>
  <c r="AE50" i="4"/>
  <c r="Q50" i="3"/>
  <c r="N46" i="3"/>
  <c r="V46" i="4"/>
  <c r="AA49" i="6"/>
  <c r="AB49" i="6"/>
  <c r="AC49" i="6" s="1"/>
  <c r="AJ49" i="6"/>
  <c r="S50" i="6" l="1"/>
  <c r="T50" i="6" s="1"/>
  <c r="AH49" i="6"/>
  <c r="AI49" i="6" s="1"/>
  <c r="AA46" i="4"/>
  <c r="O46" i="3" s="1"/>
  <c r="AB46" i="4"/>
  <c r="AC46" i="4" s="1"/>
  <c r="AJ46" i="4"/>
  <c r="R50" i="3"/>
  <c r="AD51" i="4"/>
  <c r="M51" i="4"/>
  <c r="N52" i="4" s="1"/>
  <c r="G52" i="3" s="1"/>
  <c r="C52" i="3" s="1"/>
  <c r="L52" i="4" l="1"/>
  <c r="AE51" i="4"/>
  <c r="Q51" i="3"/>
  <c r="S47" i="4"/>
  <c r="T47" i="4" s="1"/>
  <c r="P46" i="3"/>
  <c r="AH46" i="4"/>
  <c r="AI46" i="4" s="1"/>
  <c r="T46" i="3" s="1"/>
  <c r="U50" i="6"/>
  <c r="V50" i="6" l="1"/>
  <c r="U47" i="4"/>
  <c r="R51" i="3"/>
  <c r="AD52" i="4"/>
  <c r="M52" i="4"/>
  <c r="N53" i="4" s="1"/>
  <c r="G53" i="3" s="1"/>
  <c r="C53" i="3" s="1"/>
  <c r="L53" i="4" l="1"/>
  <c r="AE52" i="4"/>
  <c r="Q52" i="3"/>
  <c r="N47" i="3"/>
  <c r="V47" i="4"/>
  <c r="AA50" i="6"/>
  <c r="AB50" i="6"/>
  <c r="AC50" i="6" s="1"/>
  <c r="AJ50" i="6"/>
  <c r="S51" i="6" l="1"/>
  <c r="T51" i="6" s="1"/>
  <c r="AH50" i="6"/>
  <c r="AI50" i="6" s="1"/>
  <c r="AA47" i="4"/>
  <c r="O47" i="3" s="1"/>
  <c r="AB47" i="4"/>
  <c r="AC47" i="4" s="1"/>
  <c r="AJ47" i="4"/>
  <c r="R52" i="3"/>
  <c r="AD53" i="4"/>
  <c r="M53" i="4"/>
  <c r="N54" i="4" s="1"/>
  <c r="G54" i="3" s="1"/>
  <c r="C54" i="3" s="1"/>
  <c r="L54" i="4" l="1"/>
  <c r="AE53" i="4"/>
  <c r="Q53" i="3"/>
  <c r="S48" i="4"/>
  <c r="T48" i="4" s="1"/>
  <c r="P47" i="3"/>
  <c r="AH47" i="4"/>
  <c r="AI47" i="4" s="1"/>
  <c r="T47" i="3" s="1"/>
  <c r="U51" i="6"/>
  <c r="V51" i="6" l="1"/>
  <c r="U48" i="4"/>
  <c r="R53" i="3"/>
  <c r="AD54" i="4"/>
  <c r="M54" i="4"/>
  <c r="AE54" i="4" l="1"/>
  <c r="Q54" i="3"/>
  <c r="N48" i="3"/>
  <c r="V48" i="4"/>
  <c r="AA51" i="6"/>
  <c r="AB51" i="6"/>
  <c r="AC51" i="6" s="1"/>
  <c r="AJ51" i="6"/>
  <c r="S52" i="6" l="1"/>
  <c r="T52" i="6" s="1"/>
  <c r="AH51" i="6"/>
  <c r="AI51" i="6" s="1"/>
  <c r="AA48" i="4"/>
  <c r="O48" i="3" s="1"/>
  <c r="AB48" i="4"/>
  <c r="AC48" i="4" s="1"/>
  <c r="AJ48" i="4"/>
  <c r="R54" i="3"/>
  <c r="S49" i="4" l="1"/>
  <c r="T49" i="4" s="1"/>
  <c r="P48" i="3"/>
  <c r="AH48" i="4"/>
  <c r="AI48" i="4" s="1"/>
  <c r="T48" i="3" s="1"/>
  <c r="U52" i="6"/>
  <c r="V52" i="6" l="1"/>
  <c r="U49" i="4"/>
  <c r="N49" i="3" l="1"/>
  <c r="V49" i="4"/>
  <c r="AA52" i="6"/>
  <c r="AB52" i="6"/>
  <c r="AC52" i="6" s="1"/>
  <c r="AJ52" i="6"/>
  <c r="S53" i="6" l="1"/>
  <c r="T53" i="6" s="1"/>
  <c r="AH52" i="6"/>
  <c r="AI52" i="6" s="1"/>
  <c r="AA49" i="4"/>
  <c r="O49" i="3" s="1"/>
  <c r="AB49" i="4"/>
  <c r="AC49" i="4" s="1"/>
  <c r="AJ49" i="4"/>
  <c r="S50" i="4" l="1"/>
  <c r="T50" i="4" s="1"/>
  <c r="P49" i="3"/>
  <c r="AH49" i="4"/>
  <c r="AI49" i="4" s="1"/>
  <c r="T49" i="3" s="1"/>
  <c r="U53" i="6"/>
  <c r="V53" i="6" l="1"/>
  <c r="U50" i="4"/>
  <c r="N50" i="3" l="1"/>
  <c r="V50" i="4"/>
  <c r="AA53" i="6"/>
  <c r="AB53" i="6"/>
  <c r="AC53" i="6" s="1"/>
  <c r="AJ53" i="6"/>
  <c r="S54" i="6" l="1"/>
  <c r="T54" i="6" s="1"/>
  <c r="AH53" i="6"/>
  <c r="AI53" i="6" s="1"/>
  <c r="AA50" i="4"/>
  <c r="O50" i="3" s="1"/>
  <c r="AB50" i="4"/>
  <c r="AC50" i="4" s="1"/>
  <c r="AJ50" i="4"/>
  <c r="S51" i="4" l="1"/>
  <c r="T51" i="4" s="1"/>
  <c r="P50" i="3"/>
  <c r="AH50" i="4"/>
  <c r="AI50" i="4" s="1"/>
  <c r="T50" i="3" s="1"/>
  <c r="U54" i="6"/>
  <c r="V54" i="6" l="1"/>
  <c r="U51" i="4"/>
  <c r="N51" i="3" l="1"/>
  <c r="V51" i="4"/>
  <c r="AA54" i="6"/>
  <c r="AB54" i="6"/>
  <c r="AC54" i="6" s="1"/>
  <c r="AH54" i="6" s="1"/>
  <c r="AI54" i="6" s="1"/>
  <c r="AJ54" i="6"/>
  <c r="AA51" i="4" l="1"/>
  <c r="O51" i="3" s="1"/>
  <c r="AB51" i="4"/>
  <c r="AC51" i="4" s="1"/>
  <c r="AJ51" i="4"/>
  <c r="S52" i="4" l="1"/>
  <c r="T52" i="4" s="1"/>
  <c r="P51" i="3"/>
  <c r="AH51" i="4"/>
  <c r="AI51" i="4" s="1"/>
  <c r="T51" i="3" s="1"/>
  <c r="U52" i="4" l="1"/>
  <c r="N52" i="3" l="1"/>
  <c r="V52" i="4"/>
  <c r="AA52" i="4" l="1"/>
  <c r="O52" i="3" s="1"/>
  <c r="AB52" i="4"/>
  <c r="AC52" i="4" s="1"/>
  <c r="AJ52" i="4"/>
  <c r="S53" i="4" l="1"/>
  <c r="T53" i="4" s="1"/>
  <c r="P52" i="3"/>
  <c r="AH52" i="4"/>
  <c r="AI52" i="4" s="1"/>
  <c r="T52" i="3" s="1"/>
  <c r="U53" i="4" l="1"/>
  <c r="N53" i="3" l="1"/>
  <c r="V53" i="4"/>
  <c r="AA53" i="4" l="1"/>
  <c r="O53" i="3" s="1"/>
  <c r="AB53" i="4"/>
  <c r="AC53" i="4" s="1"/>
  <c r="AJ53" i="4"/>
  <c r="S54" i="4" l="1"/>
  <c r="T54" i="4" s="1"/>
  <c r="P53" i="3"/>
  <c r="AH53" i="4"/>
  <c r="AI53" i="4" s="1"/>
  <c r="T53" i="3" s="1"/>
  <c r="U54" i="4" l="1"/>
  <c r="N54" i="3" l="1"/>
  <c r="V54" i="4"/>
  <c r="AA54" i="4" l="1"/>
  <c r="O54" i="3" s="1"/>
  <c r="AB54" i="4"/>
  <c r="AC54" i="4" s="1"/>
  <c r="AJ54" i="4"/>
  <c r="P54" i="3" l="1"/>
  <c r="AH54" i="4"/>
  <c r="AI54" i="4" s="1"/>
  <c r="T54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M365 Copilot</author>
  </authors>
  <commentList>
    <comment ref="B4" authorId="0" shapeId="0" xr:uid="{00000000-0006-0000-0100-000001000000}">
      <text>
        <r>
          <rPr>
            <sz val="10"/>
            <rFont val="Noto Sans CJK SC"/>
            <family val="2"/>
          </rPr>
          <t>用户可调整的试算假设。来源：用户提供。</t>
        </r>
      </text>
    </comment>
    <comment ref="B5" authorId="0" shapeId="0" xr:uid="{00000000-0006-0000-0100-000002000000}">
      <text>
        <r>
          <rPr>
            <sz val="10"/>
            <rFont val="Noto Sans CJK SC"/>
            <family val="2"/>
          </rPr>
          <t>用户可调整的试算假设。来源：用户提供。</t>
        </r>
      </text>
    </comment>
    <comment ref="B6" authorId="0" shapeId="0" xr:uid="{00000000-0006-0000-0100-000003000000}">
      <text>
        <r>
          <rPr>
            <sz val="10"/>
            <rFont val="Noto Sans CJK SC"/>
            <family val="2"/>
          </rPr>
          <t>用户可调整的试算假设。来源：用户提供。</t>
        </r>
      </text>
    </comment>
    <comment ref="B7" authorId="0" shapeId="0" xr:uid="{00000000-0006-0000-0100-000004000000}">
      <text>
        <r>
          <rPr>
            <sz val="10"/>
            <rFont val="Noto Sans CJK SC"/>
            <family val="2"/>
          </rPr>
          <t>用户可调整的试算假设。来源：用户提供。</t>
        </r>
      </text>
    </comment>
    <comment ref="B8" authorId="0" shapeId="0" xr:uid="{00000000-0006-0000-0100-000005000000}">
      <text>
        <r>
          <rPr>
            <sz val="10"/>
            <rFont val="Noto Sans CJK SC"/>
            <family val="2"/>
          </rPr>
          <t>用户可调整的试算假设。来源：用户提供。</t>
        </r>
      </text>
    </comment>
    <comment ref="B9" authorId="0" shapeId="0" xr:uid="{00000000-0006-0000-0100-000006000000}">
      <text>
        <r>
          <rPr>
            <sz val="10"/>
            <rFont val="Noto Sans CJK SC"/>
            <family val="2"/>
          </rPr>
          <t>用户可调整的试算假设。来源：用户提供。</t>
        </r>
      </text>
    </comment>
    <comment ref="B11" authorId="0" shapeId="0" xr:uid="{00000000-0006-0000-0100-000007000000}">
      <text>
        <r>
          <rPr>
            <sz val="10"/>
            <rFont val="Noto Sans CJK SC"/>
            <family val="2"/>
          </rPr>
          <t>用户可调整的试算假设。来源：用户提供。</t>
        </r>
      </text>
    </comment>
    <comment ref="B12" authorId="0" shapeId="0" xr:uid="{00000000-0006-0000-0100-000008000000}">
      <text>
        <r>
          <rPr>
            <sz val="10"/>
            <rFont val="Noto Sans CJK SC"/>
            <family val="2"/>
          </rPr>
          <t>用户可调整的试算假设。来源：用户提供。</t>
        </r>
      </text>
    </comment>
    <comment ref="B13" authorId="0" shapeId="0" xr:uid="{00000000-0006-0000-0100-000009000000}">
      <text>
        <r>
          <rPr>
            <sz val="10"/>
            <rFont val="Noto Sans CJK SC"/>
            <family val="2"/>
          </rPr>
          <t>用户可调整的试算假设。来源：用户提供。</t>
        </r>
      </text>
    </comment>
    <comment ref="B14" authorId="0" shapeId="0" xr:uid="{00000000-0006-0000-0100-00000A000000}">
      <text>
        <r>
          <rPr>
            <sz val="10"/>
            <rFont val="Noto Sans CJK SC"/>
            <family val="2"/>
          </rPr>
          <t>用户可调整的试算假设。来源：用户提供。</t>
        </r>
      </text>
    </comment>
    <comment ref="B15" authorId="0" shapeId="0" xr:uid="{00000000-0006-0000-0100-00000B000000}">
      <text>
        <r>
          <rPr>
            <sz val="10"/>
            <rFont val="Noto Sans CJK SC"/>
            <family val="2"/>
          </rPr>
          <t>用户可调整的试算假设。来源：用户提供。</t>
        </r>
      </text>
    </comment>
    <comment ref="B18" authorId="0" shapeId="0" xr:uid="{00000000-0006-0000-0100-00000C000000}">
      <text>
        <r>
          <rPr>
            <sz val="10"/>
            <rFont val="Noto Sans CJK SC"/>
            <family val="2"/>
          </rPr>
          <t>用户可调整的试算假设。来源：用户提供。</t>
        </r>
      </text>
    </comment>
    <comment ref="B19" authorId="0" shapeId="0" xr:uid="{00000000-0006-0000-0100-00000D000000}">
      <text>
        <r>
          <rPr>
            <sz val="10"/>
            <rFont val="Noto Sans CJK SC"/>
            <family val="2"/>
          </rPr>
          <t>用户可调整的试算假设。来源：用户提供。</t>
        </r>
      </text>
    </comment>
    <comment ref="B20" authorId="0" shapeId="0" xr:uid="{00000000-0006-0000-0100-00000E000000}">
      <text>
        <r>
          <rPr>
            <sz val="10"/>
            <rFont val="Noto Sans CJK SC"/>
            <family val="2"/>
          </rPr>
          <t>用户可调整的试算假设。来源：用户提供。</t>
        </r>
      </text>
    </comment>
    <comment ref="B22" authorId="0" shapeId="0" xr:uid="{00000000-0006-0000-0100-00000F000000}">
      <text>
        <r>
          <rPr>
            <sz val="10"/>
            <rFont val="Noto Sans CJK SC"/>
            <family val="2"/>
          </rPr>
          <t>用户可调整的试算假设。来源：用户提供。</t>
        </r>
      </text>
    </comment>
    <comment ref="B23" authorId="0" shapeId="0" xr:uid="{00000000-0006-0000-0100-000010000000}">
      <text>
        <r>
          <rPr>
            <sz val="10"/>
            <rFont val="Noto Sans CJK SC"/>
            <family val="2"/>
          </rPr>
          <t>用户可调整的试算假设。来源：用户提供。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M365 Copilot</author>
  </authors>
  <commentList>
    <comment ref="C6" authorId="0" shapeId="0" xr:uid="{00000000-0006-0000-0500-000001000000}">
      <text>
        <r>
          <rPr>
            <sz val="10"/>
            <rFont val="Noto Sans CJK SC"/>
            <family val="2"/>
          </rPr>
          <t>每月输入实际新增贷款人民币金额。若无贷款填</t>
        </r>
        <r>
          <rPr>
            <sz val="10"/>
            <rFont val="Arial"/>
            <family val="2"/>
          </rPr>
          <t>0</t>
        </r>
        <r>
          <rPr>
            <sz val="10"/>
            <rFont val="Noto Sans CJK SC"/>
            <family val="2"/>
          </rPr>
          <t>。</t>
        </r>
      </text>
    </comment>
    <comment ref="D6" authorId="0" shapeId="0" xr:uid="{00000000-0006-0000-0500-000002000000}">
      <text>
        <r>
          <rPr>
            <sz val="10"/>
            <rFont val="Noto Sans CJK SC"/>
            <family val="2"/>
          </rPr>
          <t>输入当月实际人民币</t>
        </r>
        <r>
          <rPr>
            <sz val="10"/>
            <rFont val="Arial"/>
            <family val="2"/>
          </rPr>
          <t>/</t>
        </r>
        <r>
          <rPr>
            <sz val="10"/>
            <rFont val="Noto Sans CJK SC"/>
            <family val="2"/>
          </rPr>
          <t>港币汇率。</t>
        </r>
      </text>
    </comment>
    <comment ref="F6" authorId="0" shapeId="0" xr:uid="{00000000-0006-0000-0500-000003000000}">
      <text>
        <r>
          <rPr>
            <sz val="10"/>
            <rFont val="Noto Sans CJK SC"/>
            <family val="2"/>
          </rPr>
          <t>输入当月实际基金买入</t>
        </r>
        <r>
          <rPr>
            <sz val="10"/>
            <rFont val="Arial"/>
            <family val="2"/>
          </rPr>
          <t>/</t>
        </r>
        <r>
          <rPr>
            <sz val="10"/>
            <rFont val="Noto Sans CJK SC"/>
            <family val="2"/>
          </rPr>
          <t>估值价格。</t>
        </r>
      </text>
    </comment>
    <comment ref="J6" authorId="0" shapeId="0" xr:uid="{00000000-0006-0000-0500-000004000000}">
      <text>
        <r>
          <rPr>
            <sz val="10"/>
            <rFont val="Noto Sans CJK SC"/>
            <family val="2"/>
          </rPr>
          <t>输入当月实际申购费用金额，而非费率。</t>
        </r>
      </text>
    </comment>
    <comment ref="N6" authorId="0" shapeId="0" xr:uid="{00000000-0006-0000-0500-000005000000}">
      <text>
        <r>
          <rPr>
            <sz val="10"/>
            <rFont val="Noto Sans CJK SC"/>
            <family val="2"/>
          </rPr>
          <t>输入当月实际到账的每股分红。模型以期初持仓股数乘以该数计算当月收到分红。</t>
        </r>
      </text>
    </comment>
  </commentList>
</comments>
</file>

<file path=xl/sharedStrings.xml><?xml version="1.0" encoding="utf-8"?>
<sst xmlns="http://schemas.openxmlformats.org/spreadsheetml/2006/main" count="275" uniqueCount="114">
  <si>
    <t>中银E贷 + 港币基金三阶段策略模型（v6）</t>
  </si>
  <si>
    <t>本次更新</t>
  </si>
  <si>
    <t>“每月决策汇总”新增每月收到分红金额；新增“实际执行追踪”及“实际贷款明细”，用于逐月记录真实贷款、汇率、基金价格、每股分红和费用。</t>
  </si>
  <si>
    <t>试算模块</t>
  </si>
  <si>
    <t>参数设置、每月决策汇总、月度资金流、贷款明细继续用于情景试算。默认每手500股、每股10港币、每股每月分红0.05港币。</t>
  </si>
  <si>
    <t>实际模块</t>
  </si>
  <si>
    <t>实际执行追踪中黄色蓝字为每月实际输入。用户输入当月策略、贷款额、汇率、价格、手数、分红及费用后，持仓、现金池、还款来源、外部资金池和净资产自动滚动计算。</t>
  </si>
  <si>
    <t>实际贷款</t>
  </si>
  <si>
    <t>实际贷款明细按每个月实际输入的贷款人民币额度建立独立12个月还息、到期还本计划，计息口径仍为Actual/360。</t>
  </si>
  <si>
    <t>未来月份</t>
  </si>
  <si>
    <t>尚未发生的月份可将实际贷款额、分红和基金交易相关输入保持为0；已发生后再覆盖成真实数据。</t>
  </si>
  <si>
    <t>资金优先级</t>
  </si>
  <si>
    <t>策略二新贷款抵还旧本金 → 内部现金池 → 策略三按整手卖基金 → 外部资金池。买基金找零、每月收到分红、卖出超额现金均进入内部现金池。</t>
  </si>
  <si>
    <t>风险提示</t>
  </si>
  <si>
    <t>本模型用于记录和情景分析，不构成投资或借贷建议。实际贷款合同、基金价格、分红、费用与赎回到账时间应以真实记录为准。</t>
  </si>
  <si>
    <t>参数设置（试算默认值）</t>
  </si>
  <si>
    <t>基础及贷款</t>
  </si>
  <si>
    <t>模型开始日</t>
  </si>
  <si>
    <t>首月</t>
  </si>
  <si>
    <t>每月人民币标准金额</t>
  </si>
  <si>
    <t>试算值</t>
  </si>
  <si>
    <t>连续贷款月数上限</t>
  </si>
  <si>
    <t>默认24个月</t>
  </si>
  <si>
    <t>汇率（人民币/港币）</t>
  </si>
  <si>
    <r>
      <rPr>
        <sz val="11"/>
        <color rgb="FF666666"/>
        <rFont val="Cambria"/>
        <charset val="1"/>
      </rPr>
      <t>1</t>
    </r>
    <r>
      <rPr>
        <sz val="11"/>
        <color rgb="FF666666"/>
        <rFont val="Noto Sans CJK SC"/>
        <family val="2"/>
      </rPr>
      <t>港币兑换人民币</t>
    </r>
  </si>
  <si>
    <t>主策略期（月）</t>
  </si>
  <si>
    <t>三阶段</t>
  </si>
  <si>
    <t>延伸追踪期（月）</t>
  </si>
  <si>
    <t>期后追踪</t>
  </si>
  <si>
    <t>贷款年利率</t>
  </si>
  <si>
    <t>Actual/360</t>
  </si>
  <si>
    <t>计息年基数</t>
  </si>
  <si>
    <t>贷款期限（月）</t>
  </si>
  <si>
    <t>每笔</t>
  </si>
  <si>
    <t>每月结息日</t>
  </si>
  <si>
    <t>首期按放款后第二个月</t>
  </si>
  <si>
    <t>金额取整位数</t>
  </si>
  <si>
    <t>人民币分</t>
  </si>
  <si>
    <t>基金默认值</t>
  </si>
  <si>
    <t>基金单位价格（港币/股）</t>
  </si>
  <si>
    <t>试算默认</t>
  </si>
  <si>
    <t>每手股数</t>
  </si>
  <si>
    <t>整手买卖</t>
  </si>
  <si>
    <t>每股每月分红（港币）</t>
  </si>
  <si>
    <t>默认0.05</t>
  </si>
  <si>
    <t>隐含年化现金分红率</t>
  </si>
  <si>
    <t>自动计算</t>
  </si>
  <si>
    <t>申购费用率</t>
  </si>
  <si>
    <t>赎回费用率</t>
  </si>
  <si>
    <t>每月决策汇总：整手买卖、分红、还款与资金分配</t>
  </si>
  <si>
    <t>月份</t>
  </si>
  <si>
    <t>当月策略</t>
  </si>
  <si>
    <t>当月操作提示</t>
  </si>
  <si>
    <t>买入股数</t>
  </si>
  <si>
    <t>买入基金（港币）</t>
  </si>
  <si>
    <t>找零入内部池</t>
  </si>
  <si>
    <t>当月收到分红</t>
  </si>
  <si>
    <t>卖出股数</t>
  </si>
  <si>
    <t>卖出基金净额</t>
  </si>
  <si>
    <t>应还本金（人民币）</t>
  </si>
  <si>
    <t>应还利息（人民币）</t>
  </si>
  <si>
    <t>总还款（港币）</t>
  </si>
  <si>
    <t>新贷款抵还</t>
  </si>
  <si>
    <t>内部池用于还款</t>
  </si>
  <si>
    <t>外部资金池投入</t>
  </si>
  <si>
    <t>内部现金池期末</t>
  </si>
  <si>
    <t>基金持仓股数</t>
  </si>
  <si>
    <t>基金市值</t>
  </si>
  <si>
    <t>未偿贷款（人民币）</t>
  </si>
  <si>
    <t>策略净资产</t>
  </si>
  <si>
    <t>月度资金流与整手基金交易</t>
  </si>
  <si>
    <t>新增贷款（人民币）</t>
  </si>
  <si>
    <t>汇率</t>
  </si>
  <si>
    <t>可用港币</t>
  </si>
  <si>
    <t>单位价格</t>
  </si>
  <si>
    <t>基金买入金额</t>
  </si>
  <si>
    <t>申购费</t>
  </si>
  <si>
    <t>买入找零</t>
  </si>
  <si>
    <t>期初持仓</t>
  </si>
  <si>
    <t>当月应计分红</t>
  </si>
  <si>
    <t>内部池期初</t>
  </si>
  <si>
    <t>分红及找零后内部池</t>
  </si>
  <si>
    <t>还款缺口</t>
  </si>
  <si>
    <t>卖出毛额</t>
  </si>
  <si>
    <t>赎回费</t>
  </si>
  <si>
    <t>卖出净额</t>
  </si>
  <si>
    <t>卖出超额入内部池</t>
  </si>
  <si>
    <t>期末持仓</t>
  </si>
  <si>
    <t>期末基金市值</t>
  </si>
  <si>
    <t>期末未偿贷款（人民币）</t>
  </si>
  <si>
    <t>负债折港币</t>
  </si>
  <si>
    <t>基金+内部池</t>
  </si>
  <si>
    <t>资金来源校验</t>
  </si>
  <si>
    <t>策略一：消费贷款+买基金</t>
  </si>
  <si>
    <t>策略二：新贷偿还旧贷</t>
  </si>
  <si>
    <t>策略三：卖基金偿还</t>
  </si>
  <si>
    <t>期后：内部池优先+外部池</t>
  </si>
  <si>
    <t>贷款明细（逐笔Actual/360计息）</t>
  </si>
  <si>
    <t>贷款批次</t>
  </si>
  <si>
    <t>策略月份</t>
  </si>
  <si>
    <t>放款日</t>
  </si>
  <si>
    <t>贷款本金（人民币）</t>
  </si>
  <si>
    <t>期数</t>
  </si>
  <si>
    <t>本期起始日</t>
  </si>
  <si>
    <t>本期还款日</t>
  </si>
  <si>
    <t>计息天数</t>
  </si>
  <si>
    <t>当期本金（人民币）</t>
  </si>
  <si>
    <t>当期利息（人民币）</t>
  </si>
  <si>
    <t>当期还款（人民币）</t>
  </si>
  <si>
    <t>本金到期日</t>
  </si>
  <si>
    <t>是否启用</t>
  </si>
  <si>
    <t>实际执行追踪（黄色蓝字为每月实际输入）</t>
  </si>
  <si>
    <t>实际每股分红（港币）</t>
  </si>
  <si>
    <t>实际贷款明细（逐笔Actual/360计息）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</si>
</sst>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yyyy\-mm\-dd"/>
    <numFmt numFmtId="165" formatCode="\¥#,##0.00;[Red]&quot;(¥&quot;#,##0.00\);\-"/>
    <numFmt numFmtId="166" formatCode="0.0000"/>
    <numFmt numFmtId="167" formatCode="&quot;HK$&quot;#,##0.00;[Red]&quot;(HK$&quot;#,##0.00\);\-"/>
    <numFmt numFmtId="168" formatCode="yyyy\-mm"/>
    <numFmt numFmtId="169" formatCode="#,##0&quot; 股&quot;;[Red]\(#,##0&quot; 股)&quot;;\-"/>
  </numFmts>
  <fonts count="13">
    <font>
      <sz val="11"/>
      <color theme="1"/>
      <name val="Calibri"/>
      <family val="2"/>
      <charset val="1"/>
    </font>
    <font>
      <b/>
      <sz val="15"/>
      <color rgb="FFFFFFFF"/>
      <name val="Noto Sans CJK SC"/>
      <family val="2"/>
      <charset val="1"/>
    </font>
    <font>
      <b/>
      <sz val="11"/>
      <name val="Noto Sans CJK SC"/>
      <family val="2"/>
      <charset val="1"/>
    </font>
    <font>
      <sz val="11"/>
      <color theme="1"/>
      <name val="Noto Sans CJK SC"/>
      <family val="2"/>
      <charset val="1"/>
    </font>
    <font>
      <b/>
      <sz val="11"/>
      <color rgb="FFFFFFFF"/>
      <name val="Noto Sans CJK SC"/>
      <family val="2"/>
      <charset val="1"/>
    </font>
    <font>
      <sz val="11"/>
      <color rgb="FF0000FF"/>
      <name val="Cambria"/>
      <charset val="1"/>
    </font>
    <font>
      <sz val="11"/>
      <color rgb="FF666666"/>
      <name val="Noto Sans CJK SC"/>
      <family val="2"/>
      <charset val="1"/>
    </font>
    <font>
      <sz val="11"/>
      <color rgb="FF666666"/>
      <name val="Cambria"/>
      <charset val="1"/>
    </font>
    <font>
      <sz val="11"/>
      <color rgb="FF666666"/>
      <name val="Noto Sans CJK SC"/>
      <family val="2"/>
    </font>
    <font>
      <sz val="10"/>
      <name val="Noto Sans CJK SC"/>
      <family val="2"/>
    </font>
    <font>
      <sz val="11"/>
      <color theme="1"/>
      <name val="Noto Sans CJK SC"/>
      <family val="2"/>
    </font>
    <font>
      <sz val="11"/>
      <color rgb="FF0000FF"/>
      <name val="Noto Sans CJK SC"/>
      <family val="2"/>
      <charset val="1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7365D"/>
        <bgColor rgb="FF333333"/>
      </patternFill>
    </fill>
    <fill>
      <patternFill patternType="solid">
        <fgColor rgb="FFFFF2CC"/>
        <bgColor rgb="FFFCE4D6"/>
      </patternFill>
    </fill>
    <fill>
      <patternFill patternType="solid">
        <fgColor rgb="FFDDEBF7"/>
        <bgColor rgb="FFD9EAF7"/>
      </patternFill>
    </fill>
    <fill>
      <patternFill patternType="solid">
        <fgColor rgb="FFD9EAF7"/>
        <bgColor rgb="FFDDEBF7"/>
      </patternFill>
    </fill>
    <fill>
      <patternFill patternType="solid">
        <fgColor rgb="FFE2F0D9"/>
        <bgColor rgb="FFDDEBF7"/>
      </patternFill>
    </fill>
    <fill>
      <patternFill patternType="solid">
        <fgColor rgb="FFFCE4D6"/>
        <b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0" xfId="0" applyFont="1"/>
    <xf numFmtId="0" fontId="3" fillId="0" borderId="0" xfId="0" applyFont="1" applyAlignment="1">
      <alignment vertical="top" wrapText="1"/>
    </xf>
    <xf numFmtId="0" fontId="3" fillId="3" borderId="0" xfId="0" applyFont="1" applyFill="1" applyAlignment="1">
      <alignment vertical="top" wrapText="1"/>
    </xf>
    <xf numFmtId="0" fontId="3" fillId="0" borderId="0" xfId="0" applyFont="1"/>
    <xf numFmtId="164" fontId="5" fillId="3" borderId="0" xfId="0" applyNumberFormat="1" applyFont="1" applyFill="1"/>
    <xf numFmtId="0" fontId="6" fillId="0" borderId="0" xfId="0" applyFont="1"/>
    <xf numFmtId="165" fontId="5" fillId="3" borderId="0" xfId="0" applyNumberFormat="1" applyFont="1" applyFill="1"/>
    <xf numFmtId="0" fontId="5" fillId="3" borderId="0" xfId="0" applyFont="1" applyFill="1"/>
    <xf numFmtId="166" fontId="5" fillId="3" borderId="0" xfId="0" applyNumberFormat="1" applyFont="1" applyFill="1"/>
    <xf numFmtId="0" fontId="7" fillId="0" borderId="0" xfId="0" applyFont="1"/>
    <xf numFmtId="10" fontId="5" fillId="3" borderId="0" xfId="0" applyNumberFormat="1" applyFont="1" applyFill="1"/>
    <xf numFmtId="167" fontId="5" fillId="3" borderId="0" xfId="0" applyNumberFormat="1" applyFont="1" applyFill="1"/>
    <xf numFmtId="10" fontId="0" fillId="4" borderId="0" xfId="0" applyNumberFormat="1" applyFill="1"/>
    <xf numFmtId="0" fontId="2" fillId="5" borderId="0" xfId="0" applyFont="1" applyFill="1" applyAlignment="1">
      <alignment horizontal="center" vertical="center" wrapText="1"/>
    </xf>
    <xf numFmtId="168" fontId="0" fillId="0" borderId="0" xfId="0" applyNumberFormat="1"/>
    <xf numFmtId="0" fontId="10" fillId="0" borderId="0" xfId="0" applyFont="1" applyAlignment="1">
      <alignment wrapText="1"/>
    </xf>
    <xf numFmtId="169" fontId="0" fillId="6" borderId="0" xfId="0" applyNumberFormat="1" applyFill="1"/>
    <xf numFmtId="167" fontId="0" fillId="0" borderId="0" xfId="0" applyNumberFormat="1"/>
    <xf numFmtId="167" fontId="0" fillId="4" borderId="0" xfId="0" applyNumberFormat="1" applyFill="1"/>
    <xf numFmtId="169" fontId="0" fillId="7" borderId="0" xfId="0" applyNumberFormat="1" applyFill="1"/>
    <xf numFmtId="165" fontId="0" fillId="0" borderId="0" xfId="0" applyNumberFormat="1"/>
    <xf numFmtId="167" fontId="0" fillId="3" borderId="0" xfId="0" applyNumberFormat="1" applyFill="1"/>
    <xf numFmtId="169" fontId="0" fillId="0" borderId="0" xfId="0" applyNumberFormat="1"/>
    <xf numFmtId="2" fontId="0" fillId="0" borderId="0" xfId="0" applyNumberFormat="1"/>
    <xf numFmtId="164" fontId="0" fillId="0" borderId="0" xfId="0" applyNumberFormat="1"/>
    <xf numFmtId="0" fontId="11" fillId="3" borderId="0" xfId="0" applyFont="1" applyFill="1"/>
    <xf numFmtId="0" fontId="1" fillId="2" borderId="0" xfId="0" applyFont="1" applyFill="1" applyAlignment="1">
      <alignment horizontal="left"/>
    </xf>
    <xf numFmtId="0" fontId="4" fillId="2" borderId="0" xfId="0" applyFont="1" applyFill="1" applyAlignment="1"/>
  </cellXfs>
  <cellStyles count="1">
    <cellStyle name="一般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7A44B"/>
      <rgbColor rgb="FF800080"/>
      <rgbColor rgb="FF4F81BD"/>
      <rgbColor rgb="FFB3C992"/>
      <rgbColor rgb="FF878787"/>
      <rgbColor rgb="FF8EA5CA"/>
      <rgbColor rgb="FFAA433F"/>
      <rgbColor rgb="FFFFF2CC"/>
      <rgbColor rgb="FFD9EAF7"/>
      <rgbColor rgb="FF660066"/>
      <rgbColor rgb="FFCC8F8E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DEBF7"/>
      <rgbColor rgb="FFE2F0D9"/>
      <rgbColor rgb="FFFCE4D6"/>
      <rgbColor rgb="FF8CBFD2"/>
      <rgbColor rgb="FFFF99CC"/>
      <rgbColor rgb="FF8064A2"/>
      <rgbColor rgb="FFF5B089"/>
      <rgbColor rgb="FF426FA6"/>
      <rgbColor rgb="FF4BACC6"/>
      <rgbColor rgb="FF9BBB59"/>
      <rgbColor rgb="FFFFCC00"/>
      <rgbColor rgb="FFDB8238"/>
      <rgbColor rgb="FFFF6600"/>
      <rgbColor rgb="FF6F568D"/>
      <rgbColor rgb="FFA596B9"/>
      <rgbColor rgb="FF17365D"/>
      <rgbColor rgb="FF3D97AF"/>
      <rgbColor rgb="FF003300"/>
      <rgbColor rgb="FF333300"/>
      <rgbColor rgb="FF993300"/>
      <rgbColor rgb="FFC0504D"/>
      <rgbColor rgb="FF66666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每月基金买入与卖出股数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每月决策汇总!D6</c:f>
              <c:strCache>
                <c:ptCount val="1"/>
                <c:pt idx="0">
                  <c:v>买入股数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每月决策汇总!$A$7:$A$42</c:f>
              <c:numCache>
                <c:formatCode>yyyy\-mm</c:formatCode>
                <c:ptCount val="36"/>
                <c:pt idx="0">
                  <c:v>46235</c:v>
                </c:pt>
                <c:pt idx="1">
                  <c:v>46266</c:v>
                </c:pt>
                <c:pt idx="2">
                  <c:v>46296</c:v>
                </c:pt>
                <c:pt idx="3">
                  <c:v>46327</c:v>
                </c:pt>
                <c:pt idx="4">
                  <c:v>46357</c:v>
                </c:pt>
                <c:pt idx="5">
                  <c:v>46388</c:v>
                </c:pt>
                <c:pt idx="6">
                  <c:v>46419</c:v>
                </c:pt>
                <c:pt idx="7">
                  <c:v>46447</c:v>
                </c:pt>
                <c:pt idx="8">
                  <c:v>46478</c:v>
                </c:pt>
                <c:pt idx="9">
                  <c:v>46508</c:v>
                </c:pt>
                <c:pt idx="10">
                  <c:v>46539</c:v>
                </c:pt>
                <c:pt idx="11">
                  <c:v>46569</c:v>
                </c:pt>
                <c:pt idx="12">
                  <c:v>46600</c:v>
                </c:pt>
                <c:pt idx="13">
                  <c:v>46631</c:v>
                </c:pt>
                <c:pt idx="14">
                  <c:v>46661</c:v>
                </c:pt>
                <c:pt idx="15">
                  <c:v>46692</c:v>
                </c:pt>
                <c:pt idx="16">
                  <c:v>46722</c:v>
                </c:pt>
                <c:pt idx="17">
                  <c:v>46753</c:v>
                </c:pt>
                <c:pt idx="18">
                  <c:v>46784</c:v>
                </c:pt>
                <c:pt idx="19">
                  <c:v>46813</c:v>
                </c:pt>
                <c:pt idx="20">
                  <c:v>46844</c:v>
                </c:pt>
                <c:pt idx="21">
                  <c:v>46874</c:v>
                </c:pt>
                <c:pt idx="22">
                  <c:v>46905</c:v>
                </c:pt>
                <c:pt idx="23">
                  <c:v>46935</c:v>
                </c:pt>
                <c:pt idx="24">
                  <c:v>46966</c:v>
                </c:pt>
                <c:pt idx="25">
                  <c:v>46997</c:v>
                </c:pt>
                <c:pt idx="26">
                  <c:v>47027</c:v>
                </c:pt>
                <c:pt idx="27">
                  <c:v>47058</c:v>
                </c:pt>
                <c:pt idx="28">
                  <c:v>47088</c:v>
                </c:pt>
                <c:pt idx="29">
                  <c:v>47119</c:v>
                </c:pt>
                <c:pt idx="30">
                  <c:v>47150</c:v>
                </c:pt>
                <c:pt idx="31">
                  <c:v>47178</c:v>
                </c:pt>
                <c:pt idx="32">
                  <c:v>47209</c:v>
                </c:pt>
                <c:pt idx="33">
                  <c:v>47239</c:v>
                </c:pt>
                <c:pt idx="34">
                  <c:v>47270</c:v>
                </c:pt>
                <c:pt idx="35">
                  <c:v>47300</c:v>
                </c:pt>
              </c:numCache>
            </c:numRef>
          </c:cat>
          <c:val>
            <c:numRef>
              <c:f>每月决策汇总!$D$7:$D$42</c:f>
              <c:numCache>
                <c:formatCode>#,##0" 股";[Red]\(#,##0" 股)";\-</c:formatCode>
                <c:ptCount val="36"/>
                <c:pt idx="0">
                  <c:v>2500</c:v>
                </c:pt>
                <c:pt idx="1">
                  <c:v>2500</c:v>
                </c:pt>
                <c:pt idx="2">
                  <c:v>2500</c:v>
                </c:pt>
                <c:pt idx="3">
                  <c:v>2500</c:v>
                </c:pt>
                <c:pt idx="4">
                  <c:v>2500</c:v>
                </c:pt>
                <c:pt idx="5">
                  <c:v>2500</c:v>
                </c:pt>
                <c:pt idx="6">
                  <c:v>2500</c:v>
                </c:pt>
                <c:pt idx="7">
                  <c:v>2500</c:v>
                </c:pt>
                <c:pt idx="8">
                  <c:v>2500</c:v>
                </c:pt>
                <c:pt idx="9">
                  <c:v>2500</c:v>
                </c:pt>
                <c:pt idx="10">
                  <c:v>2500</c:v>
                </c:pt>
                <c:pt idx="11">
                  <c:v>2500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A0-4F9F-87EE-054C03875DBC}"/>
            </c:ext>
          </c:extLst>
        </c:ser>
        <c:ser>
          <c:idx val="1"/>
          <c:order val="1"/>
          <c:tx>
            <c:strRef>
              <c:f>每月决策汇总!E6</c:f>
              <c:strCache>
                <c:ptCount val="1"/>
                <c:pt idx="0">
                  <c:v>买入基金（港币）</c:v>
                </c:pt>
              </c:strCache>
            </c:strRef>
          </c:tx>
          <c:spPr>
            <a:solidFill>
              <a:srgbClr val="C0504D"/>
            </a:solidFill>
            <a:ln w="1260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每月决策汇总!$A$7:$A$42</c:f>
              <c:numCache>
                <c:formatCode>yyyy\-mm</c:formatCode>
                <c:ptCount val="36"/>
                <c:pt idx="0">
                  <c:v>46235</c:v>
                </c:pt>
                <c:pt idx="1">
                  <c:v>46266</c:v>
                </c:pt>
                <c:pt idx="2">
                  <c:v>46296</c:v>
                </c:pt>
                <c:pt idx="3">
                  <c:v>46327</c:v>
                </c:pt>
                <c:pt idx="4">
                  <c:v>46357</c:v>
                </c:pt>
                <c:pt idx="5">
                  <c:v>46388</c:v>
                </c:pt>
                <c:pt idx="6">
                  <c:v>46419</c:v>
                </c:pt>
                <c:pt idx="7">
                  <c:v>46447</c:v>
                </c:pt>
                <c:pt idx="8">
                  <c:v>46478</c:v>
                </c:pt>
                <c:pt idx="9">
                  <c:v>46508</c:v>
                </c:pt>
                <c:pt idx="10">
                  <c:v>46539</c:v>
                </c:pt>
                <c:pt idx="11">
                  <c:v>46569</c:v>
                </c:pt>
                <c:pt idx="12">
                  <c:v>46600</c:v>
                </c:pt>
                <c:pt idx="13">
                  <c:v>46631</c:v>
                </c:pt>
                <c:pt idx="14">
                  <c:v>46661</c:v>
                </c:pt>
                <c:pt idx="15">
                  <c:v>46692</c:v>
                </c:pt>
                <c:pt idx="16">
                  <c:v>46722</c:v>
                </c:pt>
                <c:pt idx="17">
                  <c:v>46753</c:v>
                </c:pt>
                <c:pt idx="18">
                  <c:v>46784</c:v>
                </c:pt>
                <c:pt idx="19">
                  <c:v>46813</c:v>
                </c:pt>
                <c:pt idx="20">
                  <c:v>46844</c:v>
                </c:pt>
                <c:pt idx="21">
                  <c:v>46874</c:v>
                </c:pt>
                <c:pt idx="22">
                  <c:v>46905</c:v>
                </c:pt>
                <c:pt idx="23">
                  <c:v>46935</c:v>
                </c:pt>
                <c:pt idx="24">
                  <c:v>46966</c:v>
                </c:pt>
                <c:pt idx="25">
                  <c:v>46997</c:v>
                </c:pt>
                <c:pt idx="26">
                  <c:v>47027</c:v>
                </c:pt>
                <c:pt idx="27">
                  <c:v>47058</c:v>
                </c:pt>
                <c:pt idx="28">
                  <c:v>47088</c:v>
                </c:pt>
                <c:pt idx="29">
                  <c:v>47119</c:v>
                </c:pt>
                <c:pt idx="30">
                  <c:v>47150</c:v>
                </c:pt>
                <c:pt idx="31">
                  <c:v>47178</c:v>
                </c:pt>
                <c:pt idx="32">
                  <c:v>47209</c:v>
                </c:pt>
                <c:pt idx="33">
                  <c:v>47239</c:v>
                </c:pt>
                <c:pt idx="34">
                  <c:v>47270</c:v>
                </c:pt>
                <c:pt idx="35">
                  <c:v>47300</c:v>
                </c:pt>
              </c:numCache>
            </c:numRef>
          </c:cat>
          <c:val>
            <c:numRef>
              <c:f>每月决策汇总!$E$7:$E$42</c:f>
              <c:numCache>
                <c:formatCode>"HK$"#,##0.00;[Red]"(HK$"#,##0.00\);\-</c:formatCode>
                <c:ptCount val="36"/>
                <c:pt idx="0">
                  <c:v>25000</c:v>
                </c:pt>
                <c:pt idx="1">
                  <c:v>25000</c:v>
                </c:pt>
                <c:pt idx="2">
                  <c:v>25000</c:v>
                </c:pt>
                <c:pt idx="3">
                  <c:v>25000</c:v>
                </c:pt>
                <c:pt idx="4">
                  <c:v>25000</c:v>
                </c:pt>
                <c:pt idx="5">
                  <c:v>25000</c:v>
                </c:pt>
                <c:pt idx="6">
                  <c:v>25000</c:v>
                </c:pt>
                <c:pt idx="7">
                  <c:v>25000</c:v>
                </c:pt>
                <c:pt idx="8">
                  <c:v>25000</c:v>
                </c:pt>
                <c:pt idx="9">
                  <c:v>25000</c:v>
                </c:pt>
                <c:pt idx="10">
                  <c:v>25000</c:v>
                </c:pt>
                <c:pt idx="11">
                  <c:v>25000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DA0-4F9F-87EE-054C03875DBC}"/>
            </c:ext>
          </c:extLst>
        </c:ser>
        <c:ser>
          <c:idx val="2"/>
          <c:order val="2"/>
          <c:tx>
            <c:strRef>
              <c:f>每月决策汇总!F6</c:f>
              <c:strCache>
                <c:ptCount val="1"/>
                <c:pt idx="0">
                  <c:v>找零入内部池</c:v>
                </c:pt>
              </c:strCache>
            </c:strRef>
          </c:tx>
          <c:spPr>
            <a:solidFill>
              <a:srgbClr val="9BBB59"/>
            </a:solidFill>
            <a:ln w="1260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每月决策汇总!$A$7:$A$42</c:f>
              <c:numCache>
                <c:formatCode>yyyy\-mm</c:formatCode>
                <c:ptCount val="36"/>
                <c:pt idx="0">
                  <c:v>46235</c:v>
                </c:pt>
                <c:pt idx="1">
                  <c:v>46266</c:v>
                </c:pt>
                <c:pt idx="2">
                  <c:v>46296</c:v>
                </c:pt>
                <c:pt idx="3">
                  <c:v>46327</c:v>
                </c:pt>
                <c:pt idx="4">
                  <c:v>46357</c:v>
                </c:pt>
                <c:pt idx="5">
                  <c:v>46388</c:v>
                </c:pt>
                <c:pt idx="6">
                  <c:v>46419</c:v>
                </c:pt>
                <c:pt idx="7">
                  <c:v>46447</c:v>
                </c:pt>
                <c:pt idx="8">
                  <c:v>46478</c:v>
                </c:pt>
                <c:pt idx="9">
                  <c:v>46508</c:v>
                </c:pt>
                <c:pt idx="10">
                  <c:v>46539</c:v>
                </c:pt>
                <c:pt idx="11">
                  <c:v>46569</c:v>
                </c:pt>
                <c:pt idx="12">
                  <c:v>46600</c:v>
                </c:pt>
                <c:pt idx="13">
                  <c:v>46631</c:v>
                </c:pt>
                <c:pt idx="14">
                  <c:v>46661</c:v>
                </c:pt>
                <c:pt idx="15">
                  <c:v>46692</c:v>
                </c:pt>
                <c:pt idx="16">
                  <c:v>46722</c:v>
                </c:pt>
                <c:pt idx="17">
                  <c:v>46753</c:v>
                </c:pt>
                <c:pt idx="18">
                  <c:v>46784</c:v>
                </c:pt>
                <c:pt idx="19">
                  <c:v>46813</c:v>
                </c:pt>
                <c:pt idx="20">
                  <c:v>46844</c:v>
                </c:pt>
                <c:pt idx="21">
                  <c:v>46874</c:v>
                </c:pt>
                <c:pt idx="22">
                  <c:v>46905</c:v>
                </c:pt>
                <c:pt idx="23">
                  <c:v>46935</c:v>
                </c:pt>
                <c:pt idx="24">
                  <c:v>46966</c:v>
                </c:pt>
                <c:pt idx="25">
                  <c:v>46997</c:v>
                </c:pt>
                <c:pt idx="26">
                  <c:v>47027</c:v>
                </c:pt>
                <c:pt idx="27">
                  <c:v>47058</c:v>
                </c:pt>
                <c:pt idx="28">
                  <c:v>47088</c:v>
                </c:pt>
                <c:pt idx="29">
                  <c:v>47119</c:v>
                </c:pt>
                <c:pt idx="30">
                  <c:v>47150</c:v>
                </c:pt>
                <c:pt idx="31">
                  <c:v>47178</c:v>
                </c:pt>
                <c:pt idx="32">
                  <c:v>47209</c:v>
                </c:pt>
                <c:pt idx="33">
                  <c:v>47239</c:v>
                </c:pt>
                <c:pt idx="34">
                  <c:v>47270</c:v>
                </c:pt>
                <c:pt idx="35">
                  <c:v>47300</c:v>
                </c:pt>
              </c:numCache>
            </c:numRef>
          </c:cat>
          <c:val>
            <c:numRef>
              <c:f>每月决策汇总!$F$7:$F$42</c:f>
              <c:numCache>
                <c:formatCode>"HK$"#,##0.00;[Red]"(HK$"#,##0.00\);\-</c:formatCode>
                <c:ptCount val="36"/>
                <c:pt idx="0">
                  <c:v>2209.3023255813969</c:v>
                </c:pt>
                <c:pt idx="1">
                  <c:v>2209.3023255813969</c:v>
                </c:pt>
                <c:pt idx="2">
                  <c:v>2209.3023255813969</c:v>
                </c:pt>
                <c:pt idx="3">
                  <c:v>2209.3023255813969</c:v>
                </c:pt>
                <c:pt idx="4">
                  <c:v>2209.3023255813969</c:v>
                </c:pt>
                <c:pt idx="5">
                  <c:v>2209.3023255813969</c:v>
                </c:pt>
                <c:pt idx="6">
                  <c:v>2209.3023255813969</c:v>
                </c:pt>
                <c:pt idx="7">
                  <c:v>2209.3023255813969</c:v>
                </c:pt>
                <c:pt idx="8">
                  <c:v>2209.3023255813969</c:v>
                </c:pt>
                <c:pt idx="9">
                  <c:v>2209.3023255813969</c:v>
                </c:pt>
                <c:pt idx="10">
                  <c:v>2209.3023255813969</c:v>
                </c:pt>
                <c:pt idx="11">
                  <c:v>2209.3023255813969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DA0-4F9F-87EE-054C03875DBC}"/>
            </c:ext>
          </c:extLst>
        </c:ser>
        <c:ser>
          <c:idx val="3"/>
          <c:order val="3"/>
          <c:tx>
            <c:strRef>
              <c:f>每月决策汇总!G6</c:f>
              <c:strCache>
                <c:ptCount val="1"/>
                <c:pt idx="0">
                  <c:v>当月收到分红</c:v>
                </c:pt>
              </c:strCache>
            </c:strRef>
          </c:tx>
          <c:spPr>
            <a:solidFill>
              <a:srgbClr val="8064A2"/>
            </a:solidFill>
            <a:ln w="1260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每月决策汇总!$A$7:$A$42</c:f>
              <c:numCache>
                <c:formatCode>yyyy\-mm</c:formatCode>
                <c:ptCount val="36"/>
                <c:pt idx="0">
                  <c:v>46235</c:v>
                </c:pt>
                <c:pt idx="1">
                  <c:v>46266</c:v>
                </c:pt>
                <c:pt idx="2">
                  <c:v>46296</c:v>
                </c:pt>
                <c:pt idx="3">
                  <c:v>46327</c:v>
                </c:pt>
                <c:pt idx="4">
                  <c:v>46357</c:v>
                </c:pt>
                <c:pt idx="5">
                  <c:v>46388</c:v>
                </c:pt>
                <c:pt idx="6">
                  <c:v>46419</c:v>
                </c:pt>
                <c:pt idx="7">
                  <c:v>46447</c:v>
                </c:pt>
                <c:pt idx="8">
                  <c:v>46478</c:v>
                </c:pt>
                <c:pt idx="9">
                  <c:v>46508</c:v>
                </c:pt>
                <c:pt idx="10">
                  <c:v>46539</c:v>
                </c:pt>
                <c:pt idx="11">
                  <c:v>46569</c:v>
                </c:pt>
                <c:pt idx="12">
                  <c:v>46600</c:v>
                </c:pt>
                <c:pt idx="13">
                  <c:v>46631</c:v>
                </c:pt>
                <c:pt idx="14">
                  <c:v>46661</c:v>
                </c:pt>
                <c:pt idx="15">
                  <c:v>46692</c:v>
                </c:pt>
                <c:pt idx="16">
                  <c:v>46722</c:v>
                </c:pt>
                <c:pt idx="17">
                  <c:v>46753</c:v>
                </c:pt>
                <c:pt idx="18">
                  <c:v>46784</c:v>
                </c:pt>
                <c:pt idx="19">
                  <c:v>46813</c:v>
                </c:pt>
                <c:pt idx="20">
                  <c:v>46844</c:v>
                </c:pt>
                <c:pt idx="21">
                  <c:v>46874</c:v>
                </c:pt>
                <c:pt idx="22">
                  <c:v>46905</c:v>
                </c:pt>
                <c:pt idx="23">
                  <c:v>46935</c:v>
                </c:pt>
                <c:pt idx="24">
                  <c:v>46966</c:v>
                </c:pt>
                <c:pt idx="25">
                  <c:v>46997</c:v>
                </c:pt>
                <c:pt idx="26">
                  <c:v>47027</c:v>
                </c:pt>
                <c:pt idx="27">
                  <c:v>47058</c:v>
                </c:pt>
                <c:pt idx="28">
                  <c:v>47088</c:v>
                </c:pt>
                <c:pt idx="29">
                  <c:v>47119</c:v>
                </c:pt>
                <c:pt idx="30">
                  <c:v>47150</c:v>
                </c:pt>
                <c:pt idx="31">
                  <c:v>47178</c:v>
                </c:pt>
                <c:pt idx="32">
                  <c:v>47209</c:v>
                </c:pt>
                <c:pt idx="33">
                  <c:v>47239</c:v>
                </c:pt>
                <c:pt idx="34">
                  <c:v>47270</c:v>
                </c:pt>
                <c:pt idx="35">
                  <c:v>47300</c:v>
                </c:pt>
              </c:numCache>
            </c:numRef>
          </c:cat>
          <c:val>
            <c:numRef>
              <c:f>每月决策汇总!$G$7:$G$42</c:f>
              <c:numCache>
                <c:formatCode>"HK$"#,##0.00;[Red]"(HK$"#,##0.00\);\-</c:formatCode>
                <c:ptCount val="36"/>
                <c:pt idx="0">
                  <c:v>0</c:v>
                </c:pt>
                <c:pt idx="1">
                  <c:v>125</c:v>
                </c:pt>
                <c:pt idx="2">
                  <c:v>250</c:v>
                </c:pt>
                <c:pt idx="3">
                  <c:v>375</c:v>
                </c:pt>
                <c:pt idx="4">
                  <c:v>500</c:v>
                </c:pt>
                <c:pt idx="5">
                  <c:v>625</c:v>
                </c:pt>
                <c:pt idx="6">
                  <c:v>750</c:v>
                </c:pt>
                <c:pt idx="7">
                  <c:v>875</c:v>
                </c:pt>
                <c:pt idx="8">
                  <c:v>1000</c:v>
                </c:pt>
                <c:pt idx="9">
                  <c:v>1125</c:v>
                </c:pt>
                <c:pt idx="10">
                  <c:v>1250</c:v>
                </c:pt>
                <c:pt idx="11">
                  <c:v>1375</c:v>
                </c:pt>
                <c:pt idx="12">
                  <c:v>1500</c:v>
                </c:pt>
                <c:pt idx="13">
                  <c:v>1500</c:v>
                </c:pt>
                <c:pt idx="14">
                  <c:v>1500</c:v>
                </c:pt>
                <c:pt idx="15">
                  <c:v>1500</c:v>
                </c:pt>
                <c:pt idx="16">
                  <c:v>1500</c:v>
                </c:pt>
                <c:pt idx="17">
                  <c:v>1500</c:v>
                </c:pt>
                <c:pt idx="18">
                  <c:v>1500</c:v>
                </c:pt>
                <c:pt idx="19">
                  <c:v>1500</c:v>
                </c:pt>
                <c:pt idx="20">
                  <c:v>1500</c:v>
                </c:pt>
                <c:pt idx="21">
                  <c:v>1500</c:v>
                </c:pt>
                <c:pt idx="22">
                  <c:v>1500</c:v>
                </c:pt>
                <c:pt idx="23">
                  <c:v>1500</c:v>
                </c:pt>
                <c:pt idx="24">
                  <c:v>1500</c:v>
                </c:pt>
                <c:pt idx="25">
                  <c:v>1500</c:v>
                </c:pt>
                <c:pt idx="26">
                  <c:v>1500</c:v>
                </c:pt>
                <c:pt idx="27">
                  <c:v>1400</c:v>
                </c:pt>
                <c:pt idx="28">
                  <c:v>1275</c:v>
                </c:pt>
                <c:pt idx="29">
                  <c:v>1150</c:v>
                </c:pt>
                <c:pt idx="30">
                  <c:v>1000</c:v>
                </c:pt>
                <c:pt idx="31">
                  <c:v>875</c:v>
                </c:pt>
                <c:pt idx="32">
                  <c:v>750</c:v>
                </c:pt>
                <c:pt idx="33">
                  <c:v>600</c:v>
                </c:pt>
                <c:pt idx="34">
                  <c:v>475</c:v>
                </c:pt>
                <c:pt idx="35">
                  <c:v>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DA0-4F9F-87EE-054C03875DBC}"/>
            </c:ext>
          </c:extLst>
        </c:ser>
        <c:ser>
          <c:idx val="4"/>
          <c:order val="4"/>
          <c:tx>
            <c:strRef>
              <c:f>每月决策汇总!H6</c:f>
              <c:strCache>
                <c:ptCount val="1"/>
                <c:pt idx="0">
                  <c:v>卖出股数</c:v>
                </c:pt>
              </c:strCache>
            </c:strRef>
          </c:tx>
          <c:spPr>
            <a:solidFill>
              <a:srgbClr val="4BACC6"/>
            </a:solidFill>
            <a:ln w="1260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每月决策汇总!$A$7:$A$42</c:f>
              <c:numCache>
                <c:formatCode>yyyy\-mm</c:formatCode>
                <c:ptCount val="36"/>
                <c:pt idx="0">
                  <c:v>46235</c:v>
                </c:pt>
                <c:pt idx="1">
                  <c:v>46266</c:v>
                </c:pt>
                <c:pt idx="2">
                  <c:v>46296</c:v>
                </c:pt>
                <c:pt idx="3">
                  <c:v>46327</c:v>
                </c:pt>
                <c:pt idx="4">
                  <c:v>46357</c:v>
                </c:pt>
                <c:pt idx="5">
                  <c:v>46388</c:v>
                </c:pt>
                <c:pt idx="6">
                  <c:v>46419</c:v>
                </c:pt>
                <c:pt idx="7">
                  <c:v>46447</c:v>
                </c:pt>
                <c:pt idx="8">
                  <c:v>46478</c:v>
                </c:pt>
                <c:pt idx="9">
                  <c:v>46508</c:v>
                </c:pt>
                <c:pt idx="10">
                  <c:v>46539</c:v>
                </c:pt>
                <c:pt idx="11">
                  <c:v>46569</c:v>
                </c:pt>
                <c:pt idx="12">
                  <c:v>46600</c:v>
                </c:pt>
                <c:pt idx="13">
                  <c:v>46631</c:v>
                </c:pt>
                <c:pt idx="14">
                  <c:v>46661</c:v>
                </c:pt>
                <c:pt idx="15">
                  <c:v>46692</c:v>
                </c:pt>
                <c:pt idx="16">
                  <c:v>46722</c:v>
                </c:pt>
                <c:pt idx="17">
                  <c:v>46753</c:v>
                </c:pt>
                <c:pt idx="18">
                  <c:v>46784</c:v>
                </c:pt>
                <c:pt idx="19">
                  <c:v>46813</c:v>
                </c:pt>
                <c:pt idx="20">
                  <c:v>46844</c:v>
                </c:pt>
                <c:pt idx="21">
                  <c:v>46874</c:v>
                </c:pt>
                <c:pt idx="22">
                  <c:v>46905</c:v>
                </c:pt>
                <c:pt idx="23">
                  <c:v>46935</c:v>
                </c:pt>
                <c:pt idx="24">
                  <c:v>46966</c:v>
                </c:pt>
                <c:pt idx="25">
                  <c:v>46997</c:v>
                </c:pt>
                <c:pt idx="26">
                  <c:v>47027</c:v>
                </c:pt>
                <c:pt idx="27">
                  <c:v>47058</c:v>
                </c:pt>
                <c:pt idx="28">
                  <c:v>47088</c:v>
                </c:pt>
                <c:pt idx="29">
                  <c:v>47119</c:v>
                </c:pt>
                <c:pt idx="30">
                  <c:v>47150</c:v>
                </c:pt>
                <c:pt idx="31">
                  <c:v>47178</c:v>
                </c:pt>
                <c:pt idx="32">
                  <c:v>47209</c:v>
                </c:pt>
                <c:pt idx="33">
                  <c:v>47239</c:v>
                </c:pt>
                <c:pt idx="34">
                  <c:v>47270</c:v>
                </c:pt>
                <c:pt idx="35">
                  <c:v>47300</c:v>
                </c:pt>
              </c:numCache>
            </c:numRef>
          </c:cat>
          <c:val>
            <c:numRef>
              <c:f>每月决策汇总!$H$7:$H$42</c:f>
              <c:numCache>
                <c:formatCode>#,##0" 股";[Red]\(#,##0" 股)";\-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2000</c:v>
                </c:pt>
                <c:pt idx="26">
                  <c:v>2500</c:v>
                </c:pt>
                <c:pt idx="27">
                  <c:v>2500</c:v>
                </c:pt>
                <c:pt idx="28">
                  <c:v>3000</c:v>
                </c:pt>
                <c:pt idx="29">
                  <c:v>2500</c:v>
                </c:pt>
                <c:pt idx="30">
                  <c:v>2500</c:v>
                </c:pt>
                <c:pt idx="31">
                  <c:v>3000</c:v>
                </c:pt>
                <c:pt idx="32">
                  <c:v>2500</c:v>
                </c:pt>
                <c:pt idx="33">
                  <c:v>2500</c:v>
                </c:pt>
                <c:pt idx="34">
                  <c:v>3000</c:v>
                </c:pt>
                <c:pt idx="35">
                  <c:v>2500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DA0-4F9F-87EE-054C03875D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5657944"/>
        <c:axId val="48463846"/>
      </c:barChart>
      <c:dateAx>
        <c:axId val="65657944"/>
        <c:scaling>
          <c:orientation val="minMax"/>
        </c:scaling>
        <c:delete val="0"/>
        <c:axPos val="b"/>
        <c:numFmt formatCode="yyyy\-m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48463846"/>
        <c:crosses val="autoZero"/>
        <c:auto val="1"/>
        <c:lblOffset val="100"/>
        <c:baseTimeUnit val="months"/>
      </c:dateAx>
      <c:valAx>
        <c:axId val="4846384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股数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&quot;HK$&quot;#,##0.00;[Red]&quot;(HK$&quot;#,##0.00\);\-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65657944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分红、内部现金池与基金市值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每月决策汇总!G6</c:f>
              <c:strCache>
                <c:ptCount val="1"/>
                <c:pt idx="0">
                  <c:v>当月收到分红</c:v>
                </c:pt>
              </c:strCache>
            </c:strRef>
          </c:tx>
          <c:spPr>
            <a:ln w="12600">
              <a:solidFill>
                <a:srgbClr val="426FA6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每月决策汇总!$A$7:$A$54</c:f>
              <c:numCache>
                <c:formatCode>yyyy\-mm</c:formatCode>
                <c:ptCount val="48"/>
                <c:pt idx="0">
                  <c:v>46235</c:v>
                </c:pt>
                <c:pt idx="1">
                  <c:v>46266</c:v>
                </c:pt>
                <c:pt idx="2">
                  <c:v>46296</c:v>
                </c:pt>
                <c:pt idx="3">
                  <c:v>46327</c:v>
                </c:pt>
                <c:pt idx="4">
                  <c:v>46357</c:v>
                </c:pt>
                <c:pt idx="5">
                  <c:v>46388</c:v>
                </c:pt>
                <c:pt idx="6">
                  <c:v>46419</c:v>
                </c:pt>
                <c:pt idx="7">
                  <c:v>46447</c:v>
                </c:pt>
                <c:pt idx="8">
                  <c:v>46478</c:v>
                </c:pt>
                <c:pt idx="9">
                  <c:v>46508</c:v>
                </c:pt>
                <c:pt idx="10">
                  <c:v>46539</c:v>
                </c:pt>
                <c:pt idx="11">
                  <c:v>46569</c:v>
                </c:pt>
                <c:pt idx="12">
                  <c:v>46600</c:v>
                </c:pt>
                <c:pt idx="13">
                  <c:v>46631</c:v>
                </c:pt>
                <c:pt idx="14">
                  <c:v>46661</c:v>
                </c:pt>
                <c:pt idx="15">
                  <c:v>46692</c:v>
                </c:pt>
                <c:pt idx="16">
                  <c:v>46722</c:v>
                </c:pt>
                <c:pt idx="17">
                  <c:v>46753</c:v>
                </c:pt>
                <c:pt idx="18">
                  <c:v>46784</c:v>
                </c:pt>
                <c:pt idx="19">
                  <c:v>46813</c:v>
                </c:pt>
                <c:pt idx="20">
                  <c:v>46844</c:v>
                </c:pt>
                <c:pt idx="21">
                  <c:v>46874</c:v>
                </c:pt>
                <c:pt idx="22">
                  <c:v>46905</c:v>
                </c:pt>
                <c:pt idx="23">
                  <c:v>46935</c:v>
                </c:pt>
                <c:pt idx="24">
                  <c:v>46966</c:v>
                </c:pt>
                <c:pt idx="25">
                  <c:v>46997</c:v>
                </c:pt>
                <c:pt idx="26">
                  <c:v>47027</c:v>
                </c:pt>
                <c:pt idx="27">
                  <c:v>47058</c:v>
                </c:pt>
                <c:pt idx="28">
                  <c:v>47088</c:v>
                </c:pt>
                <c:pt idx="29">
                  <c:v>47119</c:v>
                </c:pt>
                <c:pt idx="30">
                  <c:v>47150</c:v>
                </c:pt>
                <c:pt idx="31">
                  <c:v>47178</c:v>
                </c:pt>
                <c:pt idx="32">
                  <c:v>47209</c:v>
                </c:pt>
                <c:pt idx="33">
                  <c:v>47239</c:v>
                </c:pt>
                <c:pt idx="34">
                  <c:v>47270</c:v>
                </c:pt>
                <c:pt idx="35">
                  <c:v>47300</c:v>
                </c:pt>
                <c:pt idx="36">
                  <c:v>47331</c:v>
                </c:pt>
                <c:pt idx="37">
                  <c:v>47362</c:v>
                </c:pt>
                <c:pt idx="38">
                  <c:v>47392</c:v>
                </c:pt>
                <c:pt idx="39">
                  <c:v>47423</c:v>
                </c:pt>
                <c:pt idx="40">
                  <c:v>47453</c:v>
                </c:pt>
                <c:pt idx="41">
                  <c:v>47484</c:v>
                </c:pt>
                <c:pt idx="42">
                  <c:v>47515</c:v>
                </c:pt>
                <c:pt idx="43">
                  <c:v>47543</c:v>
                </c:pt>
                <c:pt idx="44">
                  <c:v>47574</c:v>
                </c:pt>
                <c:pt idx="45">
                  <c:v>47604</c:v>
                </c:pt>
                <c:pt idx="46">
                  <c:v>47635</c:v>
                </c:pt>
                <c:pt idx="47">
                  <c:v>47665</c:v>
                </c:pt>
              </c:numCache>
            </c:numRef>
          </c:cat>
          <c:val>
            <c:numRef>
              <c:f>每月决策汇总!$G$7:$G$54</c:f>
              <c:numCache>
                <c:formatCode>"HK$"#,##0.00;[Red]"(HK$"#,##0.00\);\-</c:formatCode>
                <c:ptCount val="48"/>
                <c:pt idx="0">
                  <c:v>0</c:v>
                </c:pt>
                <c:pt idx="1">
                  <c:v>125</c:v>
                </c:pt>
                <c:pt idx="2">
                  <c:v>250</c:v>
                </c:pt>
                <c:pt idx="3">
                  <c:v>375</c:v>
                </c:pt>
                <c:pt idx="4">
                  <c:v>500</c:v>
                </c:pt>
                <c:pt idx="5">
                  <c:v>625</c:v>
                </c:pt>
                <c:pt idx="6">
                  <c:v>750</c:v>
                </c:pt>
                <c:pt idx="7">
                  <c:v>875</c:v>
                </c:pt>
                <c:pt idx="8">
                  <c:v>1000</c:v>
                </c:pt>
                <c:pt idx="9">
                  <c:v>1125</c:v>
                </c:pt>
                <c:pt idx="10">
                  <c:v>1250</c:v>
                </c:pt>
                <c:pt idx="11">
                  <c:v>1375</c:v>
                </c:pt>
                <c:pt idx="12">
                  <c:v>1500</c:v>
                </c:pt>
                <c:pt idx="13">
                  <c:v>1500</c:v>
                </c:pt>
                <c:pt idx="14">
                  <c:v>1500</c:v>
                </c:pt>
                <c:pt idx="15">
                  <c:v>1500</c:v>
                </c:pt>
                <c:pt idx="16">
                  <c:v>1500</c:v>
                </c:pt>
                <c:pt idx="17">
                  <c:v>1500</c:v>
                </c:pt>
                <c:pt idx="18">
                  <c:v>1500</c:v>
                </c:pt>
                <c:pt idx="19">
                  <c:v>1500</c:v>
                </c:pt>
                <c:pt idx="20">
                  <c:v>1500</c:v>
                </c:pt>
                <c:pt idx="21">
                  <c:v>1500</c:v>
                </c:pt>
                <c:pt idx="22">
                  <c:v>1500</c:v>
                </c:pt>
                <c:pt idx="23">
                  <c:v>1500</c:v>
                </c:pt>
                <c:pt idx="24">
                  <c:v>1500</c:v>
                </c:pt>
                <c:pt idx="25">
                  <c:v>1500</c:v>
                </c:pt>
                <c:pt idx="26">
                  <c:v>1500</c:v>
                </c:pt>
                <c:pt idx="27">
                  <c:v>1400</c:v>
                </c:pt>
                <c:pt idx="28">
                  <c:v>1275</c:v>
                </c:pt>
                <c:pt idx="29">
                  <c:v>1150</c:v>
                </c:pt>
                <c:pt idx="30">
                  <c:v>1000</c:v>
                </c:pt>
                <c:pt idx="31">
                  <c:v>875</c:v>
                </c:pt>
                <c:pt idx="32">
                  <c:v>750</c:v>
                </c:pt>
                <c:pt idx="33">
                  <c:v>600</c:v>
                </c:pt>
                <c:pt idx="34">
                  <c:v>475</c:v>
                </c:pt>
                <c:pt idx="35">
                  <c:v>350</c:v>
                </c:pt>
                <c:pt idx="36">
                  <c:v>200</c:v>
                </c:pt>
                <c:pt idx="37">
                  <c:v>75</c:v>
                </c:pt>
                <c:pt idx="38">
                  <c:v>75</c:v>
                </c:pt>
                <c:pt idx="39">
                  <c:v>75</c:v>
                </c:pt>
                <c:pt idx="40">
                  <c:v>75</c:v>
                </c:pt>
                <c:pt idx="41">
                  <c:v>75</c:v>
                </c:pt>
                <c:pt idx="42">
                  <c:v>75</c:v>
                </c:pt>
                <c:pt idx="43">
                  <c:v>75</c:v>
                </c:pt>
                <c:pt idx="44">
                  <c:v>75</c:v>
                </c:pt>
                <c:pt idx="45">
                  <c:v>75</c:v>
                </c:pt>
                <c:pt idx="46">
                  <c:v>75</c:v>
                </c:pt>
                <c:pt idx="47">
                  <c:v>75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235-4AEE-B928-6AE267BE14C8}"/>
            </c:ext>
          </c:extLst>
        </c:ser>
        <c:ser>
          <c:idx val="1"/>
          <c:order val="1"/>
          <c:tx>
            <c:strRef>
              <c:f>每月决策汇总!H6</c:f>
              <c:strCache>
                <c:ptCount val="1"/>
                <c:pt idx="0">
                  <c:v>卖出股数</c:v>
                </c:pt>
              </c:strCache>
            </c:strRef>
          </c:tx>
          <c:spPr>
            <a:ln w="12600">
              <a:solidFill>
                <a:srgbClr val="AA433F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每月决策汇总!$A$7:$A$54</c:f>
              <c:numCache>
                <c:formatCode>yyyy\-mm</c:formatCode>
                <c:ptCount val="48"/>
                <c:pt idx="0">
                  <c:v>46235</c:v>
                </c:pt>
                <c:pt idx="1">
                  <c:v>46266</c:v>
                </c:pt>
                <c:pt idx="2">
                  <c:v>46296</c:v>
                </c:pt>
                <c:pt idx="3">
                  <c:v>46327</c:v>
                </c:pt>
                <c:pt idx="4">
                  <c:v>46357</c:v>
                </c:pt>
                <c:pt idx="5">
                  <c:v>46388</c:v>
                </c:pt>
                <c:pt idx="6">
                  <c:v>46419</c:v>
                </c:pt>
                <c:pt idx="7">
                  <c:v>46447</c:v>
                </c:pt>
                <c:pt idx="8">
                  <c:v>46478</c:v>
                </c:pt>
                <c:pt idx="9">
                  <c:v>46508</c:v>
                </c:pt>
                <c:pt idx="10">
                  <c:v>46539</c:v>
                </c:pt>
                <c:pt idx="11">
                  <c:v>46569</c:v>
                </c:pt>
                <c:pt idx="12">
                  <c:v>46600</c:v>
                </c:pt>
                <c:pt idx="13">
                  <c:v>46631</c:v>
                </c:pt>
                <c:pt idx="14">
                  <c:v>46661</c:v>
                </c:pt>
                <c:pt idx="15">
                  <c:v>46692</c:v>
                </c:pt>
                <c:pt idx="16">
                  <c:v>46722</c:v>
                </c:pt>
                <c:pt idx="17">
                  <c:v>46753</c:v>
                </c:pt>
                <c:pt idx="18">
                  <c:v>46784</c:v>
                </c:pt>
                <c:pt idx="19">
                  <c:v>46813</c:v>
                </c:pt>
                <c:pt idx="20">
                  <c:v>46844</c:v>
                </c:pt>
                <c:pt idx="21">
                  <c:v>46874</c:v>
                </c:pt>
                <c:pt idx="22">
                  <c:v>46905</c:v>
                </c:pt>
                <c:pt idx="23">
                  <c:v>46935</c:v>
                </c:pt>
                <c:pt idx="24">
                  <c:v>46966</c:v>
                </c:pt>
                <c:pt idx="25">
                  <c:v>46997</c:v>
                </c:pt>
                <c:pt idx="26">
                  <c:v>47027</c:v>
                </c:pt>
                <c:pt idx="27">
                  <c:v>47058</c:v>
                </c:pt>
                <c:pt idx="28">
                  <c:v>47088</c:v>
                </c:pt>
                <c:pt idx="29">
                  <c:v>47119</c:v>
                </c:pt>
                <c:pt idx="30">
                  <c:v>47150</c:v>
                </c:pt>
                <c:pt idx="31">
                  <c:v>47178</c:v>
                </c:pt>
                <c:pt idx="32">
                  <c:v>47209</c:v>
                </c:pt>
                <c:pt idx="33">
                  <c:v>47239</c:v>
                </c:pt>
                <c:pt idx="34">
                  <c:v>47270</c:v>
                </c:pt>
                <c:pt idx="35">
                  <c:v>47300</c:v>
                </c:pt>
                <c:pt idx="36">
                  <c:v>47331</c:v>
                </c:pt>
                <c:pt idx="37">
                  <c:v>47362</c:v>
                </c:pt>
                <c:pt idx="38">
                  <c:v>47392</c:v>
                </c:pt>
                <c:pt idx="39">
                  <c:v>47423</c:v>
                </c:pt>
                <c:pt idx="40">
                  <c:v>47453</c:v>
                </c:pt>
                <c:pt idx="41">
                  <c:v>47484</c:v>
                </c:pt>
                <c:pt idx="42">
                  <c:v>47515</c:v>
                </c:pt>
                <c:pt idx="43">
                  <c:v>47543</c:v>
                </c:pt>
                <c:pt idx="44">
                  <c:v>47574</c:v>
                </c:pt>
                <c:pt idx="45">
                  <c:v>47604</c:v>
                </c:pt>
                <c:pt idx="46">
                  <c:v>47635</c:v>
                </c:pt>
                <c:pt idx="47">
                  <c:v>47665</c:v>
                </c:pt>
              </c:numCache>
            </c:numRef>
          </c:cat>
          <c:val>
            <c:numRef>
              <c:f>每月决策汇总!$H$7:$H$54</c:f>
              <c:numCache>
                <c:formatCode>#,##0" 股";[Red]\(#,##0" 股)";\-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2000</c:v>
                </c:pt>
                <c:pt idx="26">
                  <c:v>2500</c:v>
                </c:pt>
                <c:pt idx="27">
                  <c:v>2500</c:v>
                </c:pt>
                <c:pt idx="28">
                  <c:v>3000</c:v>
                </c:pt>
                <c:pt idx="29">
                  <c:v>2500</c:v>
                </c:pt>
                <c:pt idx="30">
                  <c:v>2500</c:v>
                </c:pt>
                <c:pt idx="31">
                  <c:v>3000</c:v>
                </c:pt>
                <c:pt idx="32">
                  <c:v>2500</c:v>
                </c:pt>
                <c:pt idx="33">
                  <c:v>2500</c:v>
                </c:pt>
                <c:pt idx="34">
                  <c:v>3000</c:v>
                </c:pt>
                <c:pt idx="35">
                  <c:v>2500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235-4AEE-B928-6AE267BE14C8}"/>
            </c:ext>
          </c:extLst>
        </c:ser>
        <c:ser>
          <c:idx val="2"/>
          <c:order val="2"/>
          <c:tx>
            <c:strRef>
              <c:f>每月决策汇总!I6</c:f>
              <c:strCache>
                <c:ptCount val="1"/>
                <c:pt idx="0">
                  <c:v>卖出基金净额</c:v>
                </c:pt>
              </c:strCache>
            </c:strRef>
          </c:tx>
          <c:spPr>
            <a:ln w="12600">
              <a:solidFill>
                <a:srgbClr val="87A44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每月决策汇总!$A$7:$A$54</c:f>
              <c:numCache>
                <c:formatCode>yyyy\-mm</c:formatCode>
                <c:ptCount val="48"/>
                <c:pt idx="0">
                  <c:v>46235</c:v>
                </c:pt>
                <c:pt idx="1">
                  <c:v>46266</c:v>
                </c:pt>
                <c:pt idx="2">
                  <c:v>46296</c:v>
                </c:pt>
                <c:pt idx="3">
                  <c:v>46327</c:v>
                </c:pt>
                <c:pt idx="4">
                  <c:v>46357</c:v>
                </c:pt>
                <c:pt idx="5">
                  <c:v>46388</c:v>
                </c:pt>
                <c:pt idx="6">
                  <c:v>46419</c:v>
                </c:pt>
                <c:pt idx="7">
                  <c:v>46447</c:v>
                </c:pt>
                <c:pt idx="8">
                  <c:v>46478</c:v>
                </c:pt>
                <c:pt idx="9">
                  <c:v>46508</c:v>
                </c:pt>
                <c:pt idx="10">
                  <c:v>46539</c:v>
                </c:pt>
                <c:pt idx="11">
                  <c:v>46569</c:v>
                </c:pt>
                <c:pt idx="12">
                  <c:v>46600</c:v>
                </c:pt>
                <c:pt idx="13">
                  <c:v>46631</c:v>
                </c:pt>
                <c:pt idx="14">
                  <c:v>46661</c:v>
                </c:pt>
                <c:pt idx="15">
                  <c:v>46692</c:v>
                </c:pt>
                <c:pt idx="16">
                  <c:v>46722</c:v>
                </c:pt>
                <c:pt idx="17">
                  <c:v>46753</c:v>
                </c:pt>
                <c:pt idx="18">
                  <c:v>46784</c:v>
                </c:pt>
                <c:pt idx="19">
                  <c:v>46813</c:v>
                </c:pt>
                <c:pt idx="20">
                  <c:v>46844</c:v>
                </c:pt>
                <c:pt idx="21">
                  <c:v>46874</c:v>
                </c:pt>
                <c:pt idx="22">
                  <c:v>46905</c:v>
                </c:pt>
                <c:pt idx="23">
                  <c:v>46935</c:v>
                </c:pt>
                <c:pt idx="24">
                  <c:v>46966</c:v>
                </c:pt>
                <c:pt idx="25">
                  <c:v>46997</c:v>
                </c:pt>
                <c:pt idx="26">
                  <c:v>47027</c:v>
                </c:pt>
                <c:pt idx="27">
                  <c:v>47058</c:v>
                </c:pt>
                <c:pt idx="28">
                  <c:v>47088</c:v>
                </c:pt>
                <c:pt idx="29">
                  <c:v>47119</c:v>
                </c:pt>
                <c:pt idx="30">
                  <c:v>47150</c:v>
                </c:pt>
                <c:pt idx="31">
                  <c:v>47178</c:v>
                </c:pt>
                <c:pt idx="32">
                  <c:v>47209</c:v>
                </c:pt>
                <c:pt idx="33">
                  <c:v>47239</c:v>
                </c:pt>
                <c:pt idx="34">
                  <c:v>47270</c:v>
                </c:pt>
                <c:pt idx="35">
                  <c:v>47300</c:v>
                </c:pt>
                <c:pt idx="36">
                  <c:v>47331</c:v>
                </c:pt>
                <c:pt idx="37">
                  <c:v>47362</c:v>
                </c:pt>
                <c:pt idx="38">
                  <c:v>47392</c:v>
                </c:pt>
                <c:pt idx="39">
                  <c:v>47423</c:v>
                </c:pt>
                <c:pt idx="40">
                  <c:v>47453</c:v>
                </c:pt>
                <c:pt idx="41">
                  <c:v>47484</c:v>
                </c:pt>
                <c:pt idx="42">
                  <c:v>47515</c:v>
                </c:pt>
                <c:pt idx="43">
                  <c:v>47543</c:v>
                </c:pt>
                <c:pt idx="44">
                  <c:v>47574</c:v>
                </c:pt>
                <c:pt idx="45">
                  <c:v>47604</c:v>
                </c:pt>
                <c:pt idx="46">
                  <c:v>47635</c:v>
                </c:pt>
                <c:pt idx="47">
                  <c:v>47665</c:v>
                </c:pt>
              </c:numCache>
            </c:numRef>
          </c:cat>
          <c:val>
            <c:numRef>
              <c:f>每月决策汇总!$I$7:$I$54</c:f>
              <c:numCache>
                <c:formatCode>"HK$"#,##0.00;[Red]"(HK$"#,##0.00\);\-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20000</c:v>
                </c:pt>
                <c:pt idx="26">
                  <c:v>25000</c:v>
                </c:pt>
                <c:pt idx="27">
                  <c:v>25000</c:v>
                </c:pt>
                <c:pt idx="28">
                  <c:v>30000</c:v>
                </c:pt>
                <c:pt idx="29">
                  <c:v>25000</c:v>
                </c:pt>
                <c:pt idx="30">
                  <c:v>25000</c:v>
                </c:pt>
                <c:pt idx="31">
                  <c:v>30000</c:v>
                </c:pt>
                <c:pt idx="32">
                  <c:v>25000</c:v>
                </c:pt>
                <c:pt idx="33">
                  <c:v>25000</c:v>
                </c:pt>
                <c:pt idx="34">
                  <c:v>30000</c:v>
                </c:pt>
                <c:pt idx="35">
                  <c:v>25000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1235-4AEE-B928-6AE267BE14C8}"/>
            </c:ext>
          </c:extLst>
        </c:ser>
        <c:ser>
          <c:idx val="3"/>
          <c:order val="3"/>
          <c:tx>
            <c:strRef>
              <c:f>每月决策汇总!J6</c:f>
              <c:strCache>
                <c:ptCount val="1"/>
                <c:pt idx="0">
                  <c:v>应还本金（人民币）</c:v>
                </c:pt>
              </c:strCache>
            </c:strRef>
          </c:tx>
          <c:spPr>
            <a:ln w="12600">
              <a:solidFill>
                <a:srgbClr val="6F568D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每月决策汇总!$A$7:$A$54</c:f>
              <c:numCache>
                <c:formatCode>yyyy\-mm</c:formatCode>
                <c:ptCount val="48"/>
                <c:pt idx="0">
                  <c:v>46235</c:v>
                </c:pt>
                <c:pt idx="1">
                  <c:v>46266</c:v>
                </c:pt>
                <c:pt idx="2">
                  <c:v>46296</c:v>
                </c:pt>
                <c:pt idx="3">
                  <c:v>46327</c:v>
                </c:pt>
                <c:pt idx="4">
                  <c:v>46357</c:v>
                </c:pt>
                <c:pt idx="5">
                  <c:v>46388</c:v>
                </c:pt>
                <c:pt idx="6">
                  <c:v>46419</c:v>
                </c:pt>
                <c:pt idx="7">
                  <c:v>46447</c:v>
                </c:pt>
                <c:pt idx="8">
                  <c:v>46478</c:v>
                </c:pt>
                <c:pt idx="9">
                  <c:v>46508</c:v>
                </c:pt>
                <c:pt idx="10">
                  <c:v>46539</c:v>
                </c:pt>
                <c:pt idx="11">
                  <c:v>46569</c:v>
                </c:pt>
                <c:pt idx="12">
                  <c:v>46600</c:v>
                </c:pt>
                <c:pt idx="13">
                  <c:v>46631</c:v>
                </c:pt>
                <c:pt idx="14">
                  <c:v>46661</c:v>
                </c:pt>
                <c:pt idx="15">
                  <c:v>46692</c:v>
                </c:pt>
                <c:pt idx="16">
                  <c:v>46722</c:v>
                </c:pt>
                <c:pt idx="17">
                  <c:v>46753</c:v>
                </c:pt>
                <c:pt idx="18">
                  <c:v>46784</c:v>
                </c:pt>
                <c:pt idx="19">
                  <c:v>46813</c:v>
                </c:pt>
                <c:pt idx="20">
                  <c:v>46844</c:v>
                </c:pt>
                <c:pt idx="21">
                  <c:v>46874</c:v>
                </c:pt>
                <c:pt idx="22">
                  <c:v>46905</c:v>
                </c:pt>
                <c:pt idx="23">
                  <c:v>46935</c:v>
                </c:pt>
                <c:pt idx="24">
                  <c:v>46966</c:v>
                </c:pt>
                <c:pt idx="25">
                  <c:v>46997</c:v>
                </c:pt>
                <c:pt idx="26">
                  <c:v>47027</c:v>
                </c:pt>
                <c:pt idx="27">
                  <c:v>47058</c:v>
                </c:pt>
                <c:pt idx="28">
                  <c:v>47088</c:v>
                </c:pt>
                <c:pt idx="29">
                  <c:v>47119</c:v>
                </c:pt>
                <c:pt idx="30">
                  <c:v>47150</c:v>
                </c:pt>
                <c:pt idx="31">
                  <c:v>47178</c:v>
                </c:pt>
                <c:pt idx="32">
                  <c:v>47209</c:v>
                </c:pt>
                <c:pt idx="33">
                  <c:v>47239</c:v>
                </c:pt>
                <c:pt idx="34">
                  <c:v>47270</c:v>
                </c:pt>
                <c:pt idx="35">
                  <c:v>47300</c:v>
                </c:pt>
                <c:pt idx="36">
                  <c:v>47331</c:v>
                </c:pt>
                <c:pt idx="37">
                  <c:v>47362</c:v>
                </c:pt>
                <c:pt idx="38">
                  <c:v>47392</c:v>
                </c:pt>
                <c:pt idx="39">
                  <c:v>47423</c:v>
                </c:pt>
                <c:pt idx="40">
                  <c:v>47453</c:v>
                </c:pt>
                <c:pt idx="41">
                  <c:v>47484</c:v>
                </c:pt>
                <c:pt idx="42">
                  <c:v>47515</c:v>
                </c:pt>
                <c:pt idx="43">
                  <c:v>47543</c:v>
                </c:pt>
                <c:pt idx="44">
                  <c:v>47574</c:v>
                </c:pt>
                <c:pt idx="45">
                  <c:v>47604</c:v>
                </c:pt>
                <c:pt idx="46">
                  <c:v>47635</c:v>
                </c:pt>
                <c:pt idx="47">
                  <c:v>47665</c:v>
                </c:pt>
              </c:numCache>
            </c:numRef>
          </c:cat>
          <c:val>
            <c:numRef>
              <c:f>每月决策汇总!$J$7:$J$54</c:f>
              <c:numCache>
                <c:formatCode>\¥#,##0.00;[Red]"(¥"#,##0.00\);\-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23400</c:v>
                </c:pt>
                <c:pt idx="13">
                  <c:v>23400</c:v>
                </c:pt>
                <c:pt idx="14">
                  <c:v>23400</c:v>
                </c:pt>
                <c:pt idx="15">
                  <c:v>23400</c:v>
                </c:pt>
                <c:pt idx="16">
                  <c:v>23400</c:v>
                </c:pt>
                <c:pt idx="17">
                  <c:v>23400</c:v>
                </c:pt>
                <c:pt idx="18">
                  <c:v>23400</c:v>
                </c:pt>
                <c:pt idx="19">
                  <c:v>23400</c:v>
                </c:pt>
                <c:pt idx="20">
                  <c:v>23400</c:v>
                </c:pt>
                <c:pt idx="21">
                  <c:v>23400</c:v>
                </c:pt>
                <c:pt idx="22">
                  <c:v>23400</c:v>
                </c:pt>
                <c:pt idx="23">
                  <c:v>23400</c:v>
                </c:pt>
                <c:pt idx="24">
                  <c:v>23400</c:v>
                </c:pt>
                <c:pt idx="25">
                  <c:v>23400</c:v>
                </c:pt>
                <c:pt idx="26">
                  <c:v>23400</c:v>
                </c:pt>
                <c:pt idx="27">
                  <c:v>23400</c:v>
                </c:pt>
                <c:pt idx="28">
                  <c:v>23400</c:v>
                </c:pt>
                <c:pt idx="29">
                  <c:v>23400</c:v>
                </c:pt>
                <c:pt idx="30">
                  <c:v>23400</c:v>
                </c:pt>
                <c:pt idx="31">
                  <c:v>23400</c:v>
                </c:pt>
                <c:pt idx="32">
                  <c:v>23400</c:v>
                </c:pt>
                <c:pt idx="33">
                  <c:v>23400</c:v>
                </c:pt>
                <c:pt idx="34">
                  <c:v>23400</c:v>
                </c:pt>
                <c:pt idx="35">
                  <c:v>23400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1235-4AEE-B928-6AE267BE14C8}"/>
            </c:ext>
          </c:extLst>
        </c:ser>
        <c:ser>
          <c:idx val="4"/>
          <c:order val="4"/>
          <c:tx>
            <c:strRef>
              <c:f>每月决策汇总!K6</c:f>
              <c:strCache>
                <c:ptCount val="1"/>
                <c:pt idx="0">
                  <c:v>应还利息（人民币）</c:v>
                </c:pt>
              </c:strCache>
            </c:strRef>
          </c:tx>
          <c:spPr>
            <a:ln w="12600">
              <a:solidFill>
                <a:srgbClr val="3D97AF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每月决策汇总!$A$7:$A$54</c:f>
              <c:numCache>
                <c:formatCode>yyyy\-mm</c:formatCode>
                <c:ptCount val="48"/>
                <c:pt idx="0">
                  <c:v>46235</c:v>
                </c:pt>
                <c:pt idx="1">
                  <c:v>46266</c:v>
                </c:pt>
                <c:pt idx="2">
                  <c:v>46296</c:v>
                </c:pt>
                <c:pt idx="3">
                  <c:v>46327</c:v>
                </c:pt>
                <c:pt idx="4">
                  <c:v>46357</c:v>
                </c:pt>
                <c:pt idx="5">
                  <c:v>46388</c:v>
                </c:pt>
                <c:pt idx="6">
                  <c:v>46419</c:v>
                </c:pt>
                <c:pt idx="7">
                  <c:v>46447</c:v>
                </c:pt>
                <c:pt idx="8">
                  <c:v>46478</c:v>
                </c:pt>
                <c:pt idx="9">
                  <c:v>46508</c:v>
                </c:pt>
                <c:pt idx="10">
                  <c:v>46539</c:v>
                </c:pt>
                <c:pt idx="11">
                  <c:v>46569</c:v>
                </c:pt>
                <c:pt idx="12">
                  <c:v>46600</c:v>
                </c:pt>
                <c:pt idx="13">
                  <c:v>46631</c:v>
                </c:pt>
                <c:pt idx="14">
                  <c:v>46661</c:v>
                </c:pt>
                <c:pt idx="15">
                  <c:v>46692</c:v>
                </c:pt>
                <c:pt idx="16">
                  <c:v>46722</c:v>
                </c:pt>
                <c:pt idx="17">
                  <c:v>46753</c:v>
                </c:pt>
                <c:pt idx="18">
                  <c:v>46784</c:v>
                </c:pt>
                <c:pt idx="19">
                  <c:v>46813</c:v>
                </c:pt>
                <c:pt idx="20">
                  <c:v>46844</c:v>
                </c:pt>
                <c:pt idx="21">
                  <c:v>46874</c:v>
                </c:pt>
                <c:pt idx="22">
                  <c:v>46905</c:v>
                </c:pt>
                <c:pt idx="23">
                  <c:v>46935</c:v>
                </c:pt>
                <c:pt idx="24">
                  <c:v>46966</c:v>
                </c:pt>
                <c:pt idx="25">
                  <c:v>46997</c:v>
                </c:pt>
                <c:pt idx="26">
                  <c:v>47027</c:v>
                </c:pt>
                <c:pt idx="27">
                  <c:v>47058</c:v>
                </c:pt>
                <c:pt idx="28">
                  <c:v>47088</c:v>
                </c:pt>
                <c:pt idx="29">
                  <c:v>47119</c:v>
                </c:pt>
                <c:pt idx="30">
                  <c:v>47150</c:v>
                </c:pt>
                <c:pt idx="31">
                  <c:v>47178</c:v>
                </c:pt>
                <c:pt idx="32">
                  <c:v>47209</c:v>
                </c:pt>
                <c:pt idx="33">
                  <c:v>47239</c:v>
                </c:pt>
                <c:pt idx="34">
                  <c:v>47270</c:v>
                </c:pt>
                <c:pt idx="35">
                  <c:v>47300</c:v>
                </c:pt>
                <c:pt idx="36">
                  <c:v>47331</c:v>
                </c:pt>
                <c:pt idx="37">
                  <c:v>47362</c:v>
                </c:pt>
                <c:pt idx="38">
                  <c:v>47392</c:v>
                </c:pt>
                <c:pt idx="39">
                  <c:v>47423</c:v>
                </c:pt>
                <c:pt idx="40">
                  <c:v>47453</c:v>
                </c:pt>
                <c:pt idx="41">
                  <c:v>47484</c:v>
                </c:pt>
                <c:pt idx="42">
                  <c:v>47515</c:v>
                </c:pt>
                <c:pt idx="43">
                  <c:v>47543</c:v>
                </c:pt>
                <c:pt idx="44">
                  <c:v>47574</c:v>
                </c:pt>
                <c:pt idx="45">
                  <c:v>47604</c:v>
                </c:pt>
                <c:pt idx="46">
                  <c:v>47635</c:v>
                </c:pt>
                <c:pt idx="47">
                  <c:v>47665</c:v>
                </c:pt>
              </c:numCache>
            </c:numRef>
          </c:cat>
          <c:val>
            <c:numRef>
              <c:f>每月决策汇总!$K$7:$K$54</c:f>
              <c:numCache>
                <c:formatCode>\¥#,##0.00;[Red]"(¥"#,##0.00\);\-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120.12</c:v>
                </c:pt>
                <c:pt idx="3">
                  <c:v>186.62</c:v>
                </c:pt>
                <c:pt idx="4">
                  <c:v>248.82</c:v>
                </c:pt>
                <c:pt idx="5">
                  <c:v>319.62</c:v>
                </c:pt>
                <c:pt idx="6">
                  <c:v>388.27</c:v>
                </c:pt>
                <c:pt idx="7">
                  <c:v>416.13</c:v>
                </c:pt>
                <c:pt idx="8">
                  <c:v>514.83000000000004</c:v>
                </c:pt>
                <c:pt idx="9">
                  <c:v>570.57000000000005</c:v>
                </c:pt>
                <c:pt idx="10">
                  <c:v>652.12</c:v>
                </c:pt>
                <c:pt idx="11">
                  <c:v>699.2700000000001</c:v>
                </c:pt>
                <c:pt idx="12">
                  <c:v>795.85</c:v>
                </c:pt>
                <c:pt idx="13">
                  <c:v>798</c:v>
                </c:pt>
                <c:pt idx="14">
                  <c:v>774.35000000000014</c:v>
                </c:pt>
                <c:pt idx="15">
                  <c:v>795.85</c:v>
                </c:pt>
                <c:pt idx="16">
                  <c:v>774.35000000000014</c:v>
                </c:pt>
                <c:pt idx="17">
                  <c:v>795.85</c:v>
                </c:pt>
                <c:pt idx="18">
                  <c:v>798</c:v>
                </c:pt>
                <c:pt idx="19">
                  <c:v>750.81</c:v>
                </c:pt>
                <c:pt idx="20">
                  <c:v>793.71</c:v>
                </c:pt>
                <c:pt idx="21">
                  <c:v>774.35000000000014</c:v>
                </c:pt>
                <c:pt idx="22">
                  <c:v>795.85</c:v>
                </c:pt>
                <c:pt idx="23">
                  <c:v>774.35000000000014</c:v>
                </c:pt>
                <c:pt idx="24">
                  <c:v>795.85</c:v>
                </c:pt>
                <c:pt idx="25">
                  <c:v>798</c:v>
                </c:pt>
                <c:pt idx="26">
                  <c:v>654.23000000000013</c:v>
                </c:pt>
                <c:pt idx="27">
                  <c:v>609.23</c:v>
                </c:pt>
                <c:pt idx="28">
                  <c:v>525.53000000000009</c:v>
                </c:pt>
                <c:pt idx="29">
                  <c:v>476.23</c:v>
                </c:pt>
                <c:pt idx="30">
                  <c:v>409.73</c:v>
                </c:pt>
                <c:pt idx="31">
                  <c:v>311.03000000000003</c:v>
                </c:pt>
                <c:pt idx="32">
                  <c:v>276.73</c:v>
                </c:pt>
                <c:pt idx="33">
                  <c:v>203.78</c:v>
                </c:pt>
                <c:pt idx="34">
                  <c:v>143.73000000000002</c:v>
                </c:pt>
                <c:pt idx="35">
                  <c:v>75.08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1235-4AEE-B928-6AE267BE14C8}"/>
            </c:ext>
          </c:extLst>
        </c:ser>
        <c:ser>
          <c:idx val="5"/>
          <c:order val="5"/>
          <c:tx>
            <c:strRef>
              <c:f>每月决策汇总!L6</c:f>
              <c:strCache>
                <c:ptCount val="1"/>
                <c:pt idx="0">
                  <c:v>总还款（港币）</c:v>
                </c:pt>
              </c:strCache>
            </c:strRef>
          </c:tx>
          <c:spPr>
            <a:ln w="12600">
              <a:solidFill>
                <a:srgbClr val="DB823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每月决策汇总!$A$7:$A$54</c:f>
              <c:numCache>
                <c:formatCode>yyyy\-mm</c:formatCode>
                <c:ptCount val="48"/>
                <c:pt idx="0">
                  <c:v>46235</c:v>
                </c:pt>
                <c:pt idx="1">
                  <c:v>46266</c:v>
                </c:pt>
                <c:pt idx="2">
                  <c:v>46296</c:v>
                </c:pt>
                <c:pt idx="3">
                  <c:v>46327</c:v>
                </c:pt>
                <c:pt idx="4">
                  <c:v>46357</c:v>
                </c:pt>
                <c:pt idx="5">
                  <c:v>46388</c:v>
                </c:pt>
                <c:pt idx="6">
                  <c:v>46419</c:v>
                </c:pt>
                <c:pt idx="7">
                  <c:v>46447</c:v>
                </c:pt>
                <c:pt idx="8">
                  <c:v>46478</c:v>
                </c:pt>
                <c:pt idx="9">
                  <c:v>46508</c:v>
                </c:pt>
                <c:pt idx="10">
                  <c:v>46539</c:v>
                </c:pt>
                <c:pt idx="11">
                  <c:v>46569</c:v>
                </c:pt>
                <c:pt idx="12">
                  <c:v>46600</c:v>
                </c:pt>
                <c:pt idx="13">
                  <c:v>46631</c:v>
                </c:pt>
                <c:pt idx="14">
                  <c:v>46661</c:v>
                </c:pt>
                <c:pt idx="15">
                  <c:v>46692</c:v>
                </c:pt>
                <c:pt idx="16">
                  <c:v>46722</c:v>
                </c:pt>
                <c:pt idx="17">
                  <c:v>46753</c:v>
                </c:pt>
                <c:pt idx="18">
                  <c:v>46784</c:v>
                </c:pt>
                <c:pt idx="19">
                  <c:v>46813</c:v>
                </c:pt>
                <c:pt idx="20">
                  <c:v>46844</c:v>
                </c:pt>
                <c:pt idx="21">
                  <c:v>46874</c:v>
                </c:pt>
                <c:pt idx="22">
                  <c:v>46905</c:v>
                </c:pt>
                <c:pt idx="23">
                  <c:v>46935</c:v>
                </c:pt>
                <c:pt idx="24">
                  <c:v>46966</c:v>
                </c:pt>
                <c:pt idx="25">
                  <c:v>46997</c:v>
                </c:pt>
                <c:pt idx="26">
                  <c:v>47027</c:v>
                </c:pt>
                <c:pt idx="27">
                  <c:v>47058</c:v>
                </c:pt>
                <c:pt idx="28">
                  <c:v>47088</c:v>
                </c:pt>
                <c:pt idx="29">
                  <c:v>47119</c:v>
                </c:pt>
                <c:pt idx="30">
                  <c:v>47150</c:v>
                </c:pt>
                <c:pt idx="31">
                  <c:v>47178</c:v>
                </c:pt>
                <c:pt idx="32">
                  <c:v>47209</c:v>
                </c:pt>
                <c:pt idx="33">
                  <c:v>47239</c:v>
                </c:pt>
                <c:pt idx="34">
                  <c:v>47270</c:v>
                </c:pt>
                <c:pt idx="35">
                  <c:v>47300</c:v>
                </c:pt>
                <c:pt idx="36">
                  <c:v>47331</c:v>
                </c:pt>
                <c:pt idx="37">
                  <c:v>47362</c:v>
                </c:pt>
                <c:pt idx="38">
                  <c:v>47392</c:v>
                </c:pt>
                <c:pt idx="39">
                  <c:v>47423</c:v>
                </c:pt>
                <c:pt idx="40">
                  <c:v>47453</c:v>
                </c:pt>
                <c:pt idx="41">
                  <c:v>47484</c:v>
                </c:pt>
                <c:pt idx="42">
                  <c:v>47515</c:v>
                </c:pt>
                <c:pt idx="43">
                  <c:v>47543</c:v>
                </c:pt>
                <c:pt idx="44">
                  <c:v>47574</c:v>
                </c:pt>
                <c:pt idx="45">
                  <c:v>47604</c:v>
                </c:pt>
                <c:pt idx="46">
                  <c:v>47635</c:v>
                </c:pt>
                <c:pt idx="47">
                  <c:v>47665</c:v>
                </c:pt>
              </c:numCache>
            </c:numRef>
          </c:cat>
          <c:val>
            <c:numRef>
              <c:f>每月决策汇总!$L$7:$L$54</c:f>
              <c:numCache>
                <c:formatCode>"HK$"#,##0.00;[Red]"(HK$"#,##0.00\);\-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139.67441860465118</c:v>
                </c:pt>
                <c:pt idx="3">
                  <c:v>217</c:v>
                </c:pt>
                <c:pt idx="4">
                  <c:v>289.32558139534882</c:v>
                </c:pt>
                <c:pt idx="5">
                  <c:v>371.6511627906977</c:v>
                </c:pt>
                <c:pt idx="6">
                  <c:v>451.47674418604652</c:v>
                </c:pt>
                <c:pt idx="7">
                  <c:v>483.87209302325584</c:v>
                </c:pt>
                <c:pt idx="8">
                  <c:v>598.63953488372101</c:v>
                </c:pt>
                <c:pt idx="9">
                  <c:v>663.45348837209315</c:v>
                </c:pt>
                <c:pt idx="10">
                  <c:v>758.27906976744191</c:v>
                </c:pt>
                <c:pt idx="11">
                  <c:v>813.10465116279079</c:v>
                </c:pt>
                <c:pt idx="12">
                  <c:v>28134.70930232558</c:v>
                </c:pt>
                <c:pt idx="13">
                  <c:v>28137.20930232558</c:v>
                </c:pt>
                <c:pt idx="14">
                  <c:v>28109.70930232558</c:v>
                </c:pt>
                <c:pt idx="15">
                  <c:v>28134.70930232558</c:v>
                </c:pt>
                <c:pt idx="16">
                  <c:v>28109.70930232558</c:v>
                </c:pt>
                <c:pt idx="17">
                  <c:v>28134.70930232558</c:v>
                </c:pt>
                <c:pt idx="18">
                  <c:v>28137.20930232558</c:v>
                </c:pt>
                <c:pt idx="19">
                  <c:v>28082.337209302328</c:v>
                </c:pt>
                <c:pt idx="20">
                  <c:v>28132.220930232557</c:v>
                </c:pt>
                <c:pt idx="21">
                  <c:v>28109.70930232558</c:v>
                </c:pt>
                <c:pt idx="22">
                  <c:v>28134.70930232558</c:v>
                </c:pt>
                <c:pt idx="23">
                  <c:v>28109.70930232558</c:v>
                </c:pt>
                <c:pt idx="24">
                  <c:v>28134.70930232558</c:v>
                </c:pt>
                <c:pt idx="25">
                  <c:v>28137.20930232558</c:v>
                </c:pt>
                <c:pt idx="26">
                  <c:v>27970.034883720931</c:v>
                </c:pt>
                <c:pt idx="27">
                  <c:v>27917.70930232558</c:v>
                </c:pt>
                <c:pt idx="28">
                  <c:v>27820.383720930233</c:v>
                </c:pt>
                <c:pt idx="29">
                  <c:v>27763.058139534885</c:v>
                </c:pt>
                <c:pt idx="30">
                  <c:v>27685.732558139534</c:v>
                </c:pt>
                <c:pt idx="31">
                  <c:v>27570.965116279069</c:v>
                </c:pt>
                <c:pt idx="32">
                  <c:v>27531.081395348836</c:v>
                </c:pt>
                <c:pt idx="33">
                  <c:v>27446.255813953489</c:v>
                </c:pt>
                <c:pt idx="34">
                  <c:v>27376.430232558141</c:v>
                </c:pt>
                <c:pt idx="35">
                  <c:v>27296.604651162794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1235-4AEE-B928-6AE267BE14C8}"/>
            </c:ext>
          </c:extLst>
        </c:ser>
        <c:ser>
          <c:idx val="6"/>
          <c:order val="6"/>
          <c:tx>
            <c:strRef>
              <c:f>每月决策汇总!M6</c:f>
              <c:strCache>
                <c:ptCount val="1"/>
                <c:pt idx="0">
                  <c:v>新贷款抵还</c:v>
                </c:pt>
              </c:strCache>
            </c:strRef>
          </c:tx>
          <c:spPr>
            <a:ln w="12600">
              <a:solidFill>
                <a:srgbClr val="8EA5CA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每月决策汇总!$A$7:$A$54</c:f>
              <c:numCache>
                <c:formatCode>yyyy\-mm</c:formatCode>
                <c:ptCount val="48"/>
                <c:pt idx="0">
                  <c:v>46235</c:v>
                </c:pt>
                <c:pt idx="1">
                  <c:v>46266</c:v>
                </c:pt>
                <c:pt idx="2">
                  <c:v>46296</c:v>
                </c:pt>
                <c:pt idx="3">
                  <c:v>46327</c:v>
                </c:pt>
                <c:pt idx="4">
                  <c:v>46357</c:v>
                </c:pt>
                <c:pt idx="5">
                  <c:v>46388</c:v>
                </c:pt>
                <c:pt idx="6">
                  <c:v>46419</c:v>
                </c:pt>
                <c:pt idx="7">
                  <c:v>46447</c:v>
                </c:pt>
                <c:pt idx="8">
                  <c:v>46478</c:v>
                </c:pt>
                <c:pt idx="9">
                  <c:v>46508</c:v>
                </c:pt>
                <c:pt idx="10">
                  <c:v>46539</c:v>
                </c:pt>
                <c:pt idx="11">
                  <c:v>46569</c:v>
                </c:pt>
                <c:pt idx="12">
                  <c:v>46600</c:v>
                </c:pt>
                <c:pt idx="13">
                  <c:v>46631</c:v>
                </c:pt>
                <c:pt idx="14">
                  <c:v>46661</c:v>
                </c:pt>
                <c:pt idx="15">
                  <c:v>46692</c:v>
                </c:pt>
                <c:pt idx="16">
                  <c:v>46722</c:v>
                </c:pt>
                <c:pt idx="17">
                  <c:v>46753</c:v>
                </c:pt>
                <c:pt idx="18">
                  <c:v>46784</c:v>
                </c:pt>
                <c:pt idx="19">
                  <c:v>46813</c:v>
                </c:pt>
                <c:pt idx="20">
                  <c:v>46844</c:v>
                </c:pt>
                <c:pt idx="21">
                  <c:v>46874</c:v>
                </c:pt>
                <c:pt idx="22">
                  <c:v>46905</c:v>
                </c:pt>
                <c:pt idx="23">
                  <c:v>46935</c:v>
                </c:pt>
                <c:pt idx="24">
                  <c:v>46966</c:v>
                </c:pt>
                <c:pt idx="25">
                  <c:v>46997</c:v>
                </c:pt>
                <c:pt idx="26">
                  <c:v>47027</c:v>
                </c:pt>
                <c:pt idx="27">
                  <c:v>47058</c:v>
                </c:pt>
                <c:pt idx="28">
                  <c:v>47088</c:v>
                </c:pt>
                <c:pt idx="29">
                  <c:v>47119</c:v>
                </c:pt>
                <c:pt idx="30">
                  <c:v>47150</c:v>
                </c:pt>
                <c:pt idx="31">
                  <c:v>47178</c:v>
                </c:pt>
                <c:pt idx="32">
                  <c:v>47209</c:v>
                </c:pt>
                <c:pt idx="33">
                  <c:v>47239</c:v>
                </c:pt>
                <c:pt idx="34">
                  <c:v>47270</c:v>
                </c:pt>
                <c:pt idx="35">
                  <c:v>47300</c:v>
                </c:pt>
                <c:pt idx="36">
                  <c:v>47331</c:v>
                </c:pt>
                <c:pt idx="37">
                  <c:v>47362</c:v>
                </c:pt>
                <c:pt idx="38">
                  <c:v>47392</c:v>
                </c:pt>
                <c:pt idx="39">
                  <c:v>47423</c:v>
                </c:pt>
                <c:pt idx="40">
                  <c:v>47453</c:v>
                </c:pt>
                <c:pt idx="41">
                  <c:v>47484</c:v>
                </c:pt>
                <c:pt idx="42">
                  <c:v>47515</c:v>
                </c:pt>
                <c:pt idx="43">
                  <c:v>47543</c:v>
                </c:pt>
                <c:pt idx="44">
                  <c:v>47574</c:v>
                </c:pt>
                <c:pt idx="45">
                  <c:v>47604</c:v>
                </c:pt>
                <c:pt idx="46">
                  <c:v>47635</c:v>
                </c:pt>
                <c:pt idx="47">
                  <c:v>47665</c:v>
                </c:pt>
              </c:numCache>
            </c:numRef>
          </c:cat>
          <c:val>
            <c:numRef>
              <c:f>每月决策汇总!$M$7:$M$54</c:f>
              <c:numCache>
                <c:formatCode>"HK$"#,##0.00;[Red]"(HK$"#,##0.00\);\-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27209.302325581397</c:v>
                </c:pt>
                <c:pt idx="13">
                  <c:v>27209.302325581397</c:v>
                </c:pt>
                <c:pt idx="14">
                  <c:v>27209.302325581397</c:v>
                </c:pt>
                <c:pt idx="15">
                  <c:v>27209.302325581397</c:v>
                </c:pt>
                <c:pt idx="16">
                  <c:v>27209.302325581397</c:v>
                </c:pt>
                <c:pt idx="17">
                  <c:v>27209.302325581397</c:v>
                </c:pt>
                <c:pt idx="18">
                  <c:v>27209.302325581397</c:v>
                </c:pt>
                <c:pt idx="19">
                  <c:v>27209.302325581397</c:v>
                </c:pt>
                <c:pt idx="20">
                  <c:v>27209.302325581397</c:v>
                </c:pt>
                <c:pt idx="21">
                  <c:v>27209.302325581397</c:v>
                </c:pt>
                <c:pt idx="22">
                  <c:v>27209.302325581397</c:v>
                </c:pt>
                <c:pt idx="23">
                  <c:v>27209.302325581397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1235-4AEE-B928-6AE267BE14C8}"/>
            </c:ext>
          </c:extLst>
        </c:ser>
        <c:ser>
          <c:idx val="7"/>
          <c:order val="7"/>
          <c:tx>
            <c:strRef>
              <c:f>每月决策汇总!N6</c:f>
              <c:strCache>
                <c:ptCount val="1"/>
                <c:pt idx="0">
                  <c:v>内部池用于还款</c:v>
                </c:pt>
              </c:strCache>
            </c:strRef>
          </c:tx>
          <c:spPr>
            <a:ln w="12600">
              <a:solidFill>
                <a:srgbClr val="CC8F8E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每月决策汇总!$A$7:$A$54</c:f>
              <c:numCache>
                <c:formatCode>yyyy\-mm</c:formatCode>
                <c:ptCount val="48"/>
                <c:pt idx="0">
                  <c:v>46235</c:v>
                </c:pt>
                <c:pt idx="1">
                  <c:v>46266</c:v>
                </c:pt>
                <c:pt idx="2">
                  <c:v>46296</c:v>
                </c:pt>
                <c:pt idx="3">
                  <c:v>46327</c:v>
                </c:pt>
                <c:pt idx="4">
                  <c:v>46357</c:v>
                </c:pt>
                <c:pt idx="5">
                  <c:v>46388</c:v>
                </c:pt>
                <c:pt idx="6">
                  <c:v>46419</c:v>
                </c:pt>
                <c:pt idx="7">
                  <c:v>46447</c:v>
                </c:pt>
                <c:pt idx="8">
                  <c:v>46478</c:v>
                </c:pt>
                <c:pt idx="9">
                  <c:v>46508</c:v>
                </c:pt>
                <c:pt idx="10">
                  <c:v>46539</c:v>
                </c:pt>
                <c:pt idx="11">
                  <c:v>46569</c:v>
                </c:pt>
                <c:pt idx="12">
                  <c:v>46600</c:v>
                </c:pt>
                <c:pt idx="13">
                  <c:v>46631</c:v>
                </c:pt>
                <c:pt idx="14">
                  <c:v>46661</c:v>
                </c:pt>
                <c:pt idx="15">
                  <c:v>46692</c:v>
                </c:pt>
                <c:pt idx="16">
                  <c:v>46722</c:v>
                </c:pt>
                <c:pt idx="17">
                  <c:v>46753</c:v>
                </c:pt>
                <c:pt idx="18">
                  <c:v>46784</c:v>
                </c:pt>
                <c:pt idx="19">
                  <c:v>46813</c:v>
                </c:pt>
                <c:pt idx="20">
                  <c:v>46844</c:v>
                </c:pt>
                <c:pt idx="21">
                  <c:v>46874</c:v>
                </c:pt>
                <c:pt idx="22">
                  <c:v>46905</c:v>
                </c:pt>
                <c:pt idx="23">
                  <c:v>46935</c:v>
                </c:pt>
                <c:pt idx="24">
                  <c:v>46966</c:v>
                </c:pt>
                <c:pt idx="25">
                  <c:v>46997</c:v>
                </c:pt>
                <c:pt idx="26">
                  <c:v>47027</c:v>
                </c:pt>
                <c:pt idx="27">
                  <c:v>47058</c:v>
                </c:pt>
                <c:pt idx="28">
                  <c:v>47088</c:v>
                </c:pt>
                <c:pt idx="29">
                  <c:v>47119</c:v>
                </c:pt>
                <c:pt idx="30">
                  <c:v>47150</c:v>
                </c:pt>
                <c:pt idx="31">
                  <c:v>47178</c:v>
                </c:pt>
                <c:pt idx="32">
                  <c:v>47209</c:v>
                </c:pt>
                <c:pt idx="33">
                  <c:v>47239</c:v>
                </c:pt>
                <c:pt idx="34">
                  <c:v>47270</c:v>
                </c:pt>
                <c:pt idx="35">
                  <c:v>47300</c:v>
                </c:pt>
                <c:pt idx="36">
                  <c:v>47331</c:v>
                </c:pt>
                <c:pt idx="37">
                  <c:v>47362</c:v>
                </c:pt>
                <c:pt idx="38">
                  <c:v>47392</c:v>
                </c:pt>
                <c:pt idx="39">
                  <c:v>47423</c:v>
                </c:pt>
                <c:pt idx="40">
                  <c:v>47453</c:v>
                </c:pt>
                <c:pt idx="41">
                  <c:v>47484</c:v>
                </c:pt>
                <c:pt idx="42">
                  <c:v>47515</c:v>
                </c:pt>
                <c:pt idx="43">
                  <c:v>47543</c:v>
                </c:pt>
                <c:pt idx="44">
                  <c:v>47574</c:v>
                </c:pt>
                <c:pt idx="45">
                  <c:v>47604</c:v>
                </c:pt>
                <c:pt idx="46">
                  <c:v>47635</c:v>
                </c:pt>
                <c:pt idx="47">
                  <c:v>47665</c:v>
                </c:pt>
              </c:numCache>
            </c:numRef>
          </c:cat>
          <c:val>
            <c:numRef>
              <c:f>每月决策汇总!$N$7:$N$54</c:f>
              <c:numCache>
                <c:formatCode>"HK$"#,##0.00;[Red]"(HK$"#,##0.00\);\-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139.67441860465118</c:v>
                </c:pt>
                <c:pt idx="3">
                  <c:v>217</c:v>
                </c:pt>
                <c:pt idx="4">
                  <c:v>289.32558139534882</c:v>
                </c:pt>
                <c:pt idx="5">
                  <c:v>371.6511627906977</c:v>
                </c:pt>
                <c:pt idx="6">
                  <c:v>451.47674418604652</c:v>
                </c:pt>
                <c:pt idx="7">
                  <c:v>483.87209302325584</c:v>
                </c:pt>
                <c:pt idx="8">
                  <c:v>598.63953488372101</c:v>
                </c:pt>
                <c:pt idx="9">
                  <c:v>663.45348837209315</c:v>
                </c:pt>
                <c:pt idx="10">
                  <c:v>758.27906976744191</c:v>
                </c:pt>
                <c:pt idx="11">
                  <c:v>813.10465116279079</c:v>
                </c:pt>
                <c:pt idx="12">
                  <c:v>925.40697674418334</c:v>
                </c:pt>
                <c:pt idx="13">
                  <c:v>927.90697674418334</c:v>
                </c:pt>
                <c:pt idx="14">
                  <c:v>900.40697674418334</c:v>
                </c:pt>
                <c:pt idx="15">
                  <c:v>925.40697674418334</c:v>
                </c:pt>
                <c:pt idx="16">
                  <c:v>900.40697674418334</c:v>
                </c:pt>
                <c:pt idx="17">
                  <c:v>925.40697674418334</c:v>
                </c:pt>
                <c:pt idx="18">
                  <c:v>927.90697674418334</c:v>
                </c:pt>
                <c:pt idx="19">
                  <c:v>873.03488372093125</c:v>
                </c:pt>
                <c:pt idx="20">
                  <c:v>922.91860465116042</c:v>
                </c:pt>
                <c:pt idx="21">
                  <c:v>900.40697674418334</c:v>
                </c:pt>
                <c:pt idx="22">
                  <c:v>925.40697674418334</c:v>
                </c:pt>
                <c:pt idx="23">
                  <c:v>900.40697674418334</c:v>
                </c:pt>
                <c:pt idx="24">
                  <c:v>28134.70930232558</c:v>
                </c:pt>
                <c:pt idx="25">
                  <c:v>11885.418604651211</c:v>
                </c:pt>
                <c:pt idx="26">
                  <c:v>5248.2093023256311</c:v>
                </c:pt>
                <c:pt idx="27">
                  <c:v>3678.1744186046999</c:v>
                </c:pt>
                <c:pt idx="28">
                  <c:v>2035.4651162791197</c:v>
                </c:pt>
                <c:pt idx="29">
                  <c:v>5365.0813953488869</c:v>
                </c:pt>
                <c:pt idx="30">
                  <c:v>3602.0232558140015</c:v>
                </c:pt>
                <c:pt idx="31">
                  <c:v>1791.2906976744671</c:v>
                </c:pt>
                <c:pt idx="32">
                  <c:v>4970.3255813953983</c:v>
                </c:pt>
                <c:pt idx="33">
                  <c:v>3039.2441860465624</c:v>
                </c:pt>
                <c:pt idx="34">
                  <c:v>1067.9883720930738</c:v>
                </c:pt>
                <c:pt idx="35">
                  <c:v>4041.5581395349327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7-1235-4AEE-B928-6AE267BE14C8}"/>
            </c:ext>
          </c:extLst>
        </c:ser>
        <c:ser>
          <c:idx val="8"/>
          <c:order val="8"/>
          <c:tx>
            <c:strRef>
              <c:f>每月决策汇总!O6</c:f>
              <c:strCache>
                <c:ptCount val="1"/>
                <c:pt idx="0">
                  <c:v>外部资金池投入</c:v>
                </c:pt>
              </c:strCache>
            </c:strRef>
          </c:tx>
          <c:spPr>
            <a:ln w="12600">
              <a:solidFill>
                <a:srgbClr val="B3C992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每月决策汇总!$A$7:$A$54</c:f>
              <c:numCache>
                <c:formatCode>yyyy\-mm</c:formatCode>
                <c:ptCount val="48"/>
                <c:pt idx="0">
                  <c:v>46235</c:v>
                </c:pt>
                <c:pt idx="1">
                  <c:v>46266</c:v>
                </c:pt>
                <c:pt idx="2">
                  <c:v>46296</c:v>
                </c:pt>
                <c:pt idx="3">
                  <c:v>46327</c:v>
                </c:pt>
                <c:pt idx="4">
                  <c:v>46357</c:v>
                </c:pt>
                <c:pt idx="5">
                  <c:v>46388</c:v>
                </c:pt>
                <c:pt idx="6">
                  <c:v>46419</c:v>
                </c:pt>
                <c:pt idx="7">
                  <c:v>46447</c:v>
                </c:pt>
                <c:pt idx="8">
                  <c:v>46478</c:v>
                </c:pt>
                <c:pt idx="9">
                  <c:v>46508</c:v>
                </c:pt>
                <c:pt idx="10">
                  <c:v>46539</c:v>
                </c:pt>
                <c:pt idx="11">
                  <c:v>46569</c:v>
                </c:pt>
                <c:pt idx="12">
                  <c:v>46600</c:v>
                </c:pt>
                <c:pt idx="13">
                  <c:v>46631</c:v>
                </c:pt>
                <c:pt idx="14">
                  <c:v>46661</c:v>
                </c:pt>
                <c:pt idx="15">
                  <c:v>46692</c:v>
                </c:pt>
                <c:pt idx="16">
                  <c:v>46722</c:v>
                </c:pt>
                <c:pt idx="17">
                  <c:v>46753</c:v>
                </c:pt>
                <c:pt idx="18">
                  <c:v>46784</c:v>
                </c:pt>
                <c:pt idx="19">
                  <c:v>46813</c:v>
                </c:pt>
                <c:pt idx="20">
                  <c:v>46844</c:v>
                </c:pt>
                <c:pt idx="21">
                  <c:v>46874</c:v>
                </c:pt>
                <c:pt idx="22">
                  <c:v>46905</c:v>
                </c:pt>
                <c:pt idx="23">
                  <c:v>46935</c:v>
                </c:pt>
                <c:pt idx="24">
                  <c:v>46966</c:v>
                </c:pt>
                <c:pt idx="25">
                  <c:v>46997</c:v>
                </c:pt>
                <c:pt idx="26">
                  <c:v>47027</c:v>
                </c:pt>
                <c:pt idx="27">
                  <c:v>47058</c:v>
                </c:pt>
                <c:pt idx="28">
                  <c:v>47088</c:v>
                </c:pt>
                <c:pt idx="29">
                  <c:v>47119</c:v>
                </c:pt>
                <c:pt idx="30">
                  <c:v>47150</c:v>
                </c:pt>
                <c:pt idx="31">
                  <c:v>47178</c:v>
                </c:pt>
                <c:pt idx="32">
                  <c:v>47209</c:v>
                </c:pt>
                <c:pt idx="33">
                  <c:v>47239</c:v>
                </c:pt>
                <c:pt idx="34">
                  <c:v>47270</c:v>
                </c:pt>
                <c:pt idx="35">
                  <c:v>47300</c:v>
                </c:pt>
                <c:pt idx="36">
                  <c:v>47331</c:v>
                </c:pt>
                <c:pt idx="37">
                  <c:v>47362</c:v>
                </c:pt>
                <c:pt idx="38">
                  <c:v>47392</c:v>
                </c:pt>
                <c:pt idx="39">
                  <c:v>47423</c:v>
                </c:pt>
                <c:pt idx="40">
                  <c:v>47453</c:v>
                </c:pt>
                <c:pt idx="41">
                  <c:v>47484</c:v>
                </c:pt>
                <c:pt idx="42">
                  <c:v>47515</c:v>
                </c:pt>
                <c:pt idx="43">
                  <c:v>47543</c:v>
                </c:pt>
                <c:pt idx="44">
                  <c:v>47574</c:v>
                </c:pt>
                <c:pt idx="45">
                  <c:v>47604</c:v>
                </c:pt>
                <c:pt idx="46">
                  <c:v>47635</c:v>
                </c:pt>
                <c:pt idx="47">
                  <c:v>47665</c:v>
                </c:pt>
              </c:numCache>
            </c:numRef>
          </c:cat>
          <c:val>
            <c:numRef>
              <c:f>每月决策汇总!$O$7:$O$54</c:f>
              <c:numCache>
                <c:formatCode>"HK$"#,##0.00;[Red]"(HK$"#,##0.00\);\-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8-1235-4AEE-B928-6AE267BE14C8}"/>
            </c:ext>
          </c:extLst>
        </c:ser>
        <c:ser>
          <c:idx val="9"/>
          <c:order val="9"/>
          <c:tx>
            <c:strRef>
              <c:f>每月决策汇总!P6</c:f>
              <c:strCache>
                <c:ptCount val="1"/>
                <c:pt idx="0">
                  <c:v>内部现金池期末</c:v>
                </c:pt>
              </c:strCache>
            </c:strRef>
          </c:tx>
          <c:spPr>
            <a:ln w="12600">
              <a:solidFill>
                <a:srgbClr val="A596B9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每月决策汇总!$A$7:$A$54</c:f>
              <c:numCache>
                <c:formatCode>yyyy\-mm</c:formatCode>
                <c:ptCount val="48"/>
                <c:pt idx="0">
                  <c:v>46235</c:v>
                </c:pt>
                <c:pt idx="1">
                  <c:v>46266</c:v>
                </c:pt>
                <c:pt idx="2">
                  <c:v>46296</c:v>
                </c:pt>
                <c:pt idx="3">
                  <c:v>46327</c:v>
                </c:pt>
                <c:pt idx="4">
                  <c:v>46357</c:v>
                </c:pt>
                <c:pt idx="5">
                  <c:v>46388</c:v>
                </c:pt>
                <c:pt idx="6">
                  <c:v>46419</c:v>
                </c:pt>
                <c:pt idx="7">
                  <c:v>46447</c:v>
                </c:pt>
                <c:pt idx="8">
                  <c:v>46478</c:v>
                </c:pt>
                <c:pt idx="9">
                  <c:v>46508</c:v>
                </c:pt>
                <c:pt idx="10">
                  <c:v>46539</c:v>
                </c:pt>
                <c:pt idx="11">
                  <c:v>46569</c:v>
                </c:pt>
                <c:pt idx="12">
                  <c:v>46600</c:v>
                </c:pt>
                <c:pt idx="13">
                  <c:v>46631</c:v>
                </c:pt>
                <c:pt idx="14">
                  <c:v>46661</c:v>
                </c:pt>
                <c:pt idx="15">
                  <c:v>46692</c:v>
                </c:pt>
                <c:pt idx="16">
                  <c:v>46722</c:v>
                </c:pt>
                <c:pt idx="17">
                  <c:v>46753</c:v>
                </c:pt>
                <c:pt idx="18">
                  <c:v>46784</c:v>
                </c:pt>
                <c:pt idx="19">
                  <c:v>46813</c:v>
                </c:pt>
                <c:pt idx="20">
                  <c:v>46844</c:v>
                </c:pt>
                <c:pt idx="21">
                  <c:v>46874</c:v>
                </c:pt>
                <c:pt idx="22">
                  <c:v>46905</c:v>
                </c:pt>
                <c:pt idx="23">
                  <c:v>46935</c:v>
                </c:pt>
                <c:pt idx="24">
                  <c:v>46966</c:v>
                </c:pt>
                <c:pt idx="25">
                  <c:v>46997</c:v>
                </c:pt>
                <c:pt idx="26">
                  <c:v>47027</c:v>
                </c:pt>
                <c:pt idx="27">
                  <c:v>47058</c:v>
                </c:pt>
                <c:pt idx="28">
                  <c:v>47088</c:v>
                </c:pt>
                <c:pt idx="29">
                  <c:v>47119</c:v>
                </c:pt>
                <c:pt idx="30">
                  <c:v>47150</c:v>
                </c:pt>
                <c:pt idx="31">
                  <c:v>47178</c:v>
                </c:pt>
                <c:pt idx="32">
                  <c:v>47209</c:v>
                </c:pt>
                <c:pt idx="33">
                  <c:v>47239</c:v>
                </c:pt>
                <c:pt idx="34">
                  <c:v>47270</c:v>
                </c:pt>
                <c:pt idx="35">
                  <c:v>47300</c:v>
                </c:pt>
                <c:pt idx="36">
                  <c:v>47331</c:v>
                </c:pt>
                <c:pt idx="37">
                  <c:v>47362</c:v>
                </c:pt>
                <c:pt idx="38">
                  <c:v>47392</c:v>
                </c:pt>
                <c:pt idx="39">
                  <c:v>47423</c:v>
                </c:pt>
                <c:pt idx="40">
                  <c:v>47453</c:v>
                </c:pt>
                <c:pt idx="41">
                  <c:v>47484</c:v>
                </c:pt>
                <c:pt idx="42">
                  <c:v>47515</c:v>
                </c:pt>
                <c:pt idx="43">
                  <c:v>47543</c:v>
                </c:pt>
                <c:pt idx="44">
                  <c:v>47574</c:v>
                </c:pt>
                <c:pt idx="45">
                  <c:v>47604</c:v>
                </c:pt>
                <c:pt idx="46">
                  <c:v>47635</c:v>
                </c:pt>
                <c:pt idx="47">
                  <c:v>47665</c:v>
                </c:pt>
              </c:numCache>
            </c:numRef>
          </c:cat>
          <c:val>
            <c:numRef>
              <c:f>每月决策汇总!$P$7:$P$54</c:f>
              <c:numCache>
                <c:formatCode>"HK$"#,##0.00;[Red]"(HK$"#,##0.00\);\-</c:formatCode>
                <c:ptCount val="48"/>
                <c:pt idx="0">
                  <c:v>2209.3023255813969</c:v>
                </c:pt>
                <c:pt idx="1">
                  <c:v>4543.6046511627937</c:v>
                </c:pt>
                <c:pt idx="2">
                  <c:v>6863.2325581395398</c:v>
                </c:pt>
                <c:pt idx="3">
                  <c:v>9230.5348837209367</c:v>
                </c:pt>
                <c:pt idx="4">
                  <c:v>11650.511627906984</c:v>
                </c:pt>
                <c:pt idx="5">
                  <c:v>14113.162790697683</c:v>
                </c:pt>
                <c:pt idx="6">
                  <c:v>16620.988372093034</c:v>
                </c:pt>
                <c:pt idx="7">
                  <c:v>19221.418604651175</c:v>
                </c:pt>
                <c:pt idx="8">
                  <c:v>21832.08139534885</c:v>
                </c:pt>
                <c:pt idx="9">
                  <c:v>24502.930232558156</c:v>
                </c:pt>
                <c:pt idx="10">
                  <c:v>27203.95348837211</c:v>
                </c:pt>
                <c:pt idx="11">
                  <c:v>29975.151162790717</c:v>
                </c:pt>
                <c:pt idx="12">
                  <c:v>30549.744186046533</c:v>
                </c:pt>
                <c:pt idx="13">
                  <c:v>31121.83720930235</c:v>
                </c:pt>
                <c:pt idx="14">
                  <c:v>31721.430232558167</c:v>
                </c:pt>
                <c:pt idx="15">
                  <c:v>32296.023255813983</c:v>
                </c:pt>
                <c:pt idx="16">
                  <c:v>32895.6162790698</c:v>
                </c:pt>
                <c:pt idx="17">
                  <c:v>33470.209302325617</c:v>
                </c:pt>
                <c:pt idx="18">
                  <c:v>34042.302325581433</c:v>
                </c:pt>
                <c:pt idx="19">
                  <c:v>34669.267441860502</c:v>
                </c:pt>
                <c:pt idx="20">
                  <c:v>35246.348837209342</c:v>
                </c:pt>
                <c:pt idx="21">
                  <c:v>35845.941860465158</c:v>
                </c:pt>
                <c:pt idx="22">
                  <c:v>36420.534883720975</c:v>
                </c:pt>
                <c:pt idx="23">
                  <c:v>37020.127906976792</c:v>
                </c:pt>
                <c:pt idx="24">
                  <c:v>10385.418604651211</c:v>
                </c:pt>
                <c:pt idx="25">
                  <c:v>3748.2093023256311</c:v>
                </c:pt>
                <c:pt idx="26">
                  <c:v>2278.1744186046999</c:v>
                </c:pt>
                <c:pt idx="27">
                  <c:v>760.46511627911968</c:v>
                </c:pt>
                <c:pt idx="28">
                  <c:v>4215.0813953488869</c:v>
                </c:pt>
                <c:pt idx="29">
                  <c:v>2602.0232558140015</c:v>
                </c:pt>
                <c:pt idx="30">
                  <c:v>916.29069767446708</c:v>
                </c:pt>
                <c:pt idx="31">
                  <c:v>4220.3255813953983</c:v>
                </c:pt>
                <c:pt idx="32">
                  <c:v>2439.2441860465624</c:v>
                </c:pt>
                <c:pt idx="33">
                  <c:v>592.98837209307385</c:v>
                </c:pt>
                <c:pt idx="34">
                  <c:v>3691.5581395349327</c:v>
                </c:pt>
                <c:pt idx="35">
                  <c:v>1744.953488372139</c:v>
                </c:pt>
                <c:pt idx="36">
                  <c:v>1944.953488372139</c:v>
                </c:pt>
                <c:pt idx="37">
                  <c:v>2019.953488372139</c:v>
                </c:pt>
                <c:pt idx="38">
                  <c:v>2094.953488372139</c:v>
                </c:pt>
                <c:pt idx="39">
                  <c:v>2169.953488372139</c:v>
                </c:pt>
                <c:pt idx="40">
                  <c:v>2244.953488372139</c:v>
                </c:pt>
                <c:pt idx="41">
                  <c:v>2319.953488372139</c:v>
                </c:pt>
                <c:pt idx="42">
                  <c:v>2394.953488372139</c:v>
                </c:pt>
                <c:pt idx="43">
                  <c:v>2469.953488372139</c:v>
                </c:pt>
                <c:pt idx="44">
                  <c:v>2544.953488372139</c:v>
                </c:pt>
                <c:pt idx="45">
                  <c:v>2619.953488372139</c:v>
                </c:pt>
                <c:pt idx="46">
                  <c:v>2694.953488372139</c:v>
                </c:pt>
                <c:pt idx="47">
                  <c:v>2769.953488372139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9-1235-4AEE-B928-6AE267BE14C8}"/>
            </c:ext>
          </c:extLst>
        </c:ser>
        <c:ser>
          <c:idx val="10"/>
          <c:order val="10"/>
          <c:tx>
            <c:strRef>
              <c:f>每月决策汇总!Q6</c:f>
              <c:strCache>
                <c:ptCount val="1"/>
                <c:pt idx="0">
                  <c:v>基金持仓股数</c:v>
                </c:pt>
              </c:strCache>
            </c:strRef>
          </c:tx>
          <c:spPr>
            <a:ln w="12600">
              <a:solidFill>
                <a:srgbClr val="8CBFD2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每月决策汇总!$A$7:$A$54</c:f>
              <c:numCache>
                <c:formatCode>yyyy\-mm</c:formatCode>
                <c:ptCount val="48"/>
                <c:pt idx="0">
                  <c:v>46235</c:v>
                </c:pt>
                <c:pt idx="1">
                  <c:v>46266</c:v>
                </c:pt>
                <c:pt idx="2">
                  <c:v>46296</c:v>
                </c:pt>
                <c:pt idx="3">
                  <c:v>46327</c:v>
                </c:pt>
                <c:pt idx="4">
                  <c:v>46357</c:v>
                </c:pt>
                <c:pt idx="5">
                  <c:v>46388</c:v>
                </c:pt>
                <c:pt idx="6">
                  <c:v>46419</c:v>
                </c:pt>
                <c:pt idx="7">
                  <c:v>46447</c:v>
                </c:pt>
                <c:pt idx="8">
                  <c:v>46478</c:v>
                </c:pt>
                <c:pt idx="9">
                  <c:v>46508</c:v>
                </c:pt>
                <c:pt idx="10">
                  <c:v>46539</c:v>
                </c:pt>
                <c:pt idx="11">
                  <c:v>46569</c:v>
                </c:pt>
                <c:pt idx="12">
                  <c:v>46600</c:v>
                </c:pt>
                <c:pt idx="13">
                  <c:v>46631</c:v>
                </c:pt>
                <c:pt idx="14">
                  <c:v>46661</c:v>
                </c:pt>
                <c:pt idx="15">
                  <c:v>46692</c:v>
                </c:pt>
                <c:pt idx="16">
                  <c:v>46722</c:v>
                </c:pt>
                <c:pt idx="17">
                  <c:v>46753</c:v>
                </c:pt>
                <c:pt idx="18">
                  <c:v>46784</c:v>
                </c:pt>
                <c:pt idx="19">
                  <c:v>46813</c:v>
                </c:pt>
                <c:pt idx="20">
                  <c:v>46844</c:v>
                </c:pt>
                <c:pt idx="21">
                  <c:v>46874</c:v>
                </c:pt>
                <c:pt idx="22">
                  <c:v>46905</c:v>
                </c:pt>
                <c:pt idx="23">
                  <c:v>46935</c:v>
                </c:pt>
                <c:pt idx="24">
                  <c:v>46966</c:v>
                </c:pt>
                <c:pt idx="25">
                  <c:v>46997</c:v>
                </c:pt>
                <c:pt idx="26">
                  <c:v>47027</c:v>
                </c:pt>
                <c:pt idx="27">
                  <c:v>47058</c:v>
                </c:pt>
                <c:pt idx="28">
                  <c:v>47088</c:v>
                </c:pt>
                <c:pt idx="29">
                  <c:v>47119</c:v>
                </c:pt>
                <c:pt idx="30">
                  <c:v>47150</c:v>
                </c:pt>
                <c:pt idx="31">
                  <c:v>47178</c:v>
                </c:pt>
                <c:pt idx="32">
                  <c:v>47209</c:v>
                </c:pt>
                <c:pt idx="33">
                  <c:v>47239</c:v>
                </c:pt>
                <c:pt idx="34">
                  <c:v>47270</c:v>
                </c:pt>
                <c:pt idx="35">
                  <c:v>47300</c:v>
                </c:pt>
                <c:pt idx="36">
                  <c:v>47331</c:v>
                </c:pt>
                <c:pt idx="37">
                  <c:v>47362</c:v>
                </c:pt>
                <c:pt idx="38">
                  <c:v>47392</c:v>
                </c:pt>
                <c:pt idx="39">
                  <c:v>47423</c:v>
                </c:pt>
                <c:pt idx="40">
                  <c:v>47453</c:v>
                </c:pt>
                <c:pt idx="41">
                  <c:v>47484</c:v>
                </c:pt>
                <c:pt idx="42">
                  <c:v>47515</c:v>
                </c:pt>
                <c:pt idx="43">
                  <c:v>47543</c:v>
                </c:pt>
                <c:pt idx="44">
                  <c:v>47574</c:v>
                </c:pt>
                <c:pt idx="45">
                  <c:v>47604</c:v>
                </c:pt>
                <c:pt idx="46">
                  <c:v>47635</c:v>
                </c:pt>
                <c:pt idx="47">
                  <c:v>47665</c:v>
                </c:pt>
              </c:numCache>
            </c:numRef>
          </c:cat>
          <c:val>
            <c:numRef>
              <c:f>每月决策汇总!$Q$7:$Q$54</c:f>
              <c:numCache>
                <c:formatCode>#,##0" 股";[Red]\(#,##0" 股)";\-</c:formatCode>
                <c:ptCount val="48"/>
                <c:pt idx="0">
                  <c:v>2500</c:v>
                </c:pt>
                <c:pt idx="1">
                  <c:v>5000</c:v>
                </c:pt>
                <c:pt idx="2">
                  <c:v>7500</c:v>
                </c:pt>
                <c:pt idx="3">
                  <c:v>10000</c:v>
                </c:pt>
                <c:pt idx="4">
                  <c:v>12500</c:v>
                </c:pt>
                <c:pt idx="5">
                  <c:v>15000</c:v>
                </c:pt>
                <c:pt idx="6">
                  <c:v>17500</c:v>
                </c:pt>
                <c:pt idx="7">
                  <c:v>20000</c:v>
                </c:pt>
                <c:pt idx="8">
                  <c:v>22500</c:v>
                </c:pt>
                <c:pt idx="9">
                  <c:v>25000</c:v>
                </c:pt>
                <c:pt idx="10">
                  <c:v>27500</c:v>
                </c:pt>
                <c:pt idx="11">
                  <c:v>30000</c:v>
                </c:pt>
                <c:pt idx="12">
                  <c:v>30000</c:v>
                </c:pt>
                <c:pt idx="13">
                  <c:v>30000</c:v>
                </c:pt>
                <c:pt idx="14">
                  <c:v>30000</c:v>
                </c:pt>
                <c:pt idx="15">
                  <c:v>30000</c:v>
                </c:pt>
                <c:pt idx="16">
                  <c:v>30000</c:v>
                </c:pt>
                <c:pt idx="17">
                  <c:v>30000</c:v>
                </c:pt>
                <c:pt idx="18">
                  <c:v>30000</c:v>
                </c:pt>
                <c:pt idx="19">
                  <c:v>30000</c:v>
                </c:pt>
                <c:pt idx="20">
                  <c:v>30000</c:v>
                </c:pt>
                <c:pt idx="21">
                  <c:v>30000</c:v>
                </c:pt>
                <c:pt idx="22">
                  <c:v>30000</c:v>
                </c:pt>
                <c:pt idx="23">
                  <c:v>30000</c:v>
                </c:pt>
                <c:pt idx="24">
                  <c:v>30000</c:v>
                </c:pt>
                <c:pt idx="25">
                  <c:v>28000</c:v>
                </c:pt>
                <c:pt idx="26">
                  <c:v>25500</c:v>
                </c:pt>
                <c:pt idx="27">
                  <c:v>23000</c:v>
                </c:pt>
                <c:pt idx="28">
                  <c:v>20000</c:v>
                </c:pt>
                <c:pt idx="29">
                  <c:v>17500</c:v>
                </c:pt>
                <c:pt idx="30">
                  <c:v>15000</c:v>
                </c:pt>
                <c:pt idx="31">
                  <c:v>12000</c:v>
                </c:pt>
                <c:pt idx="32">
                  <c:v>9500</c:v>
                </c:pt>
                <c:pt idx="33">
                  <c:v>7000</c:v>
                </c:pt>
                <c:pt idx="34">
                  <c:v>4000</c:v>
                </c:pt>
                <c:pt idx="35">
                  <c:v>1500</c:v>
                </c:pt>
                <c:pt idx="36">
                  <c:v>1500</c:v>
                </c:pt>
                <c:pt idx="37">
                  <c:v>1500</c:v>
                </c:pt>
                <c:pt idx="38">
                  <c:v>1500</c:v>
                </c:pt>
                <c:pt idx="39">
                  <c:v>1500</c:v>
                </c:pt>
                <c:pt idx="40">
                  <c:v>1500</c:v>
                </c:pt>
                <c:pt idx="41">
                  <c:v>1500</c:v>
                </c:pt>
                <c:pt idx="42">
                  <c:v>1500</c:v>
                </c:pt>
                <c:pt idx="43">
                  <c:v>1500</c:v>
                </c:pt>
                <c:pt idx="44">
                  <c:v>1500</c:v>
                </c:pt>
                <c:pt idx="45">
                  <c:v>1500</c:v>
                </c:pt>
                <c:pt idx="46">
                  <c:v>1500</c:v>
                </c:pt>
                <c:pt idx="47">
                  <c:v>1500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A-1235-4AEE-B928-6AE267BE14C8}"/>
            </c:ext>
          </c:extLst>
        </c:ser>
        <c:ser>
          <c:idx val="11"/>
          <c:order val="11"/>
          <c:tx>
            <c:strRef>
              <c:f>每月决策汇总!R6</c:f>
              <c:strCache>
                <c:ptCount val="1"/>
                <c:pt idx="0">
                  <c:v>基金市值</c:v>
                </c:pt>
              </c:strCache>
            </c:strRef>
          </c:tx>
          <c:spPr>
            <a:ln w="12600">
              <a:solidFill>
                <a:srgbClr val="F5B089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每月决策汇总!$A$7:$A$54</c:f>
              <c:numCache>
                <c:formatCode>yyyy\-mm</c:formatCode>
                <c:ptCount val="48"/>
                <c:pt idx="0">
                  <c:v>46235</c:v>
                </c:pt>
                <c:pt idx="1">
                  <c:v>46266</c:v>
                </c:pt>
                <c:pt idx="2">
                  <c:v>46296</c:v>
                </c:pt>
                <c:pt idx="3">
                  <c:v>46327</c:v>
                </c:pt>
                <c:pt idx="4">
                  <c:v>46357</c:v>
                </c:pt>
                <c:pt idx="5">
                  <c:v>46388</c:v>
                </c:pt>
                <c:pt idx="6">
                  <c:v>46419</c:v>
                </c:pt>
                <c:pt idx="7">
                  <c:v>46447</c:v>
                </c:pt>
                <c:pt idx="8">
                  <c:v>46478</c:v>
                </c:pt>
                <c:pt idx="9">
                  <c:v>46508</c:v>
                </c:pt>
                <c:pt idx="10">
                  <c:v>46539</c:v>
                </c:pt>
                <c:pt idx="11">
                  <c:v>46569</c:v>
                </c:pt>
                <c:pt idx="12">
                  <c:v>46600</c:v>
                </c:pt>
                <c:pt idx="13">
                  <c:v>46631</c:v>
                </c:pt>
                <c:pt idx="14">
                  <c:v>46661</c:v>
                </c:pt>
                <c:pt idx="15">
                  <c:v>46692</c:v>
                </c:pt>
                <c:pt idx="16">
                  <c:v>46722</c:v>
                </c:pt>
                <c:pt idx="17">
                  <c:v>46753</c:v>
                </c:pt>
                <c:pt idx="18">
                  <c:v>46784</c:v>
                </c:pt>
                <c:pt idx="19">
                  <c:v>46813</c:v>
                </c:pt>
                <c:pt idx="20">
                  <c:v>46844</c:v>
                </c:pt>
                <c:pt idx="21">
                  <c:v>46874</c:v>
                </c:pt>
                <c:pt idx="22">
                  <c:v>46905</c:v>
                </c:pt>
                <c:pt idx="23">
                  <c:v>46935</c:v>
                </c:pt>
                <c:pt idx="24">
                  <c:v>46966</c:v>
                </c:pt>
                <c:pt idx="25">
                  <c:v>46997</c:v>
                </c:pt>
                <c:pt idx="26">
                  <c:v>47027</c:v>
                </c:pt>
                <c:pt idx="27">
                  <c:v>47058</c:v>
                </c:pt>
                <c:pt idx="28">
                  <c:v>47088</c:v>
                </c:pt>
                <c:pt idx="29">
                  <c:v>47119</c:v>
                </c:pt>
                <c:pt idx="30">
                  <c:v>47150</c:v>
                </c:pt>
                <c:pt idx="31">
                  <c:v>47178</c:v>
                </c:pt>
                <c:pt idx="32">
                  <c:v>47209</c:v>
                </c:pt>
                <c:pt idx="33">
                  <c:v>47239</c:v>
                </c:pt>
                <c:pt idx="34">
                  <c:v>47270</c:v>
                </c:pt>
                <c:pt idx="35">
                  <c:v>47300</c:v>
                </c:pt>
                <c:pt idx="36">
                  <c:v>47331</c:v>
                </c:pt>
                <c:pt idx="37">
                  <c:v>47362</c:v>
                </c:pt>
                <c:pt idx="38">
                  <c:v>47392</c:v>
                </c:pt>
                <c:pt idx="39">
                  <c:v>47423</c:v>
                </c:pt>
                <c:pt idx="40">
                  <c:v>47453</c:v>
                </c:pt>
                <c:pt idx="41">
                  <c:v>47484</c:v>
                </c:pt>
                <c:pt idx="42">
                  <c:v>47515</c:v>
                </c:pt>
                <c:pt idx="43">
                  <c:v>47543</c:v>
                </c:pt>
                <c:pt idx="44">
                  <c:v>47574</c:v>
                </c:pt>
                <c:pt idx="45">
                  <c:v>47604</c:v>
                </c:pt>
                <c:pt idx="46">
                  <c:v>47635</c:v>
                </c:pt>
                <c:pt idx="47">
                  <c:v>47665</c:v>
                </c:pt>
              </c:numCache>
            </c:numRef>
          </c:cat>
          <c:val>
            <c:numRef>
              <c:f>每月决策汇总!$R$7:$R$54</c:f>
              <c:numCache>
                <c:formatCode>"HK$"#,##0.00;[Red]"(HK$"#,##0.00\);\-</c:formatCode>
                <c:ptCount val="48"/>
                <c:pt idx="0">
                  <c:v>25000</c:v>
                </c:pt>
                <c:pt idx="1">
                  <c:v>50000</c:v>
                </c:pt>
                <c:pt idx="2">
                  <c:v>75000</c:v>
                </c:pt>
                <c:pt idx="3">
                  <c:v>100000</c:v>
                </c:pt>
                <c:pt idx="4">
                  <c:v>125000</c:v>
                </c:pt>
                <c:pt idx="5">
                  <c:v>150000</c:v>
                </c:pt>
                <c:pt idx="6">
                  <c:v>175000</c:v>
                </c:pt>
                <c:pt idx="7">
                  <c:v>200000</c:v>
                </c:pt>
                <c:pt idx="8">
                  <c:v>225000</c:v>
                </c:pt>
                <c:pt idx="9">
                  <c:v>250000</c:v>
                </c:pt>
                <c:pt idx="10">
                  <c:v>275000</c:v>
                </c:pt>
                <c:pt idx="11">
                  <c:v>300000</c:v>
                </c:pt>
                <c:pt idx="12">
                  <c:v>300000</c:v>
                </c:pt>
                <c:pt idx="13">
                  <c:v>300000</c:v>
                </c:pt>
                <c:pt idx="14">
                  <c:v>300000</c:v>
                </c:pt>
                <c:pt idx="15">
                  <c:v>300000</c:v>
                </c:pt>
                <c:pt idx="16">
                  <c:v>300000</c:v>
                </c:pt>
                <c:pt idx="17">
                  <c:v>300000</c:v>
                </c:pt>
                <c:pt idx="18">
                  <c:v>300000</c:v>
                </c:pt>
                <c:pt idx="19">
                  <c:v>300000</c:v>
                </c:pt>
                <c:pt idx="20">
                  <c:v>300000</c:v>
                </c:pt>
                <c:pt idx="21">
                  <c:v>300000</c:v>
                </c:pt>
                <c:pt idx="22">
                  <c:v>300000</c:v>
                </c:pt>
                <c:pt idx="23">
                  <c:v>300000</c:v>
                </c:pt>
                <c:pt idx="24">
                  <c:v>300000</c:v>
                </c:pt>
                <c:pt idx="25">
                  <c:v>280000</c:v>
                </c:pt>
                <c:pt idx="26">
                  <c:v>255000</c:v>
                </c:pt>
                <c:pt idx="27">
                  <c:v>230000</c:v>
                </c:pt>
                <c:pt idx="28">
                  <c:v>200000</c:v>
                </c:pt>
                <c:pt idx="29">
                  <c:v>175000</c:v>
                </c:pt>
                <c:pt idx="30">
                  <c:v>150000</c:v>
                </c:pt>
                <c:pt idx="31">
                  <c:v>120000</c:v>
                </c:pt>
                <c:pt idx="32">
                  <c:v>95000</c:v>
                </c:pt>
                <c:pt idx="33">
                  <c:v>70000</c:v>
                </c:pt>
                <c:pt idx="34">
                  <c:v>40000</c:v>
                </c:pt>
                <c:pt idx="35">
                  <c:v>15000</c:v>
                </c:pt>
                <c:pt idx="36">
                  <c:v>15000</c:v>
                </c:pt>
                <c:pt idx="37">
                  <c:v>15000</c:v>
                </c:pt>
                <c:pt idx="38">
                  <c:v>15000</c:v>
                </c:pt>
                <c:pt idx="39">
                  <c:v>15000</c:v>
                </c:pt>
                <c:pt idx="40">
                  <c:v>15000</c:v>
                </c:pt>
                <c:pt idx="41">
                  <c:v>15000</c:v>
                </c:pt>
                <c:pt idx="42">
                  <c:v>15000</c:v>
                </c:pt>
                <c:pt idx="43">
                  <c:v>15000</c:v>
                </c:pt>
                <c:pt idx="44">
                  <c:v>15000</c:v>
                </c:pt>
                <c:pt idx="45">
                  <c:v>15000</c:v>
                </c:pt>
                <c:pt idx="46">
                  <c:v>15000</c:v>
                </c:pt>
                <c:pt idx="47">
                  <c:v>15000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B-1235-4AEE-B928-6AE267BE14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43071542"/>
        <c:axId val="30279221"/>
      </c:lineChart>
      <c:dateAx>
        <c:axId val="43071542"/>
        <c:scaling>
          <c:orientation val="minMax"/>
        </c:scaling>
        <c:delete val="0"/>
        <c:axPos val="b"/>
        <c:numFmt formatCode="yyyy\-m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30279221"/>
        <c:crosses val="autoZero"/>
        <c:auto val="1"/>
        <c:lblOffset val="100"/>
        <c:baseTimeUnit val="months"/>
      </c:dateAx>
      <c:valAx>
        <c:axId val="3027922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港币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&quot;HK$&quot;#,##0.00;[Red]&quot;(HK$&quot;#,##0.00\);\-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43071542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实际基金市值、内部现金池与策略净资产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实际执行追踪!AC6</c:f>
              <c:strCache>
                <c:ptCount val="1"/>
                <c:pt idx="0">
                  <c:v>内部现金池期末</c:v>
                </c:pt>
              </c:strCache>
            </c:strRef>
          </c:tx>
          <c:spPr>
            <a:ln w="12600">
              <a:solidFill>
                <a:srgbClr val="426FA6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实际执行追踪!$A$7:$A$54</c:f>
              <c:numCache>
                <c:formatCode>yyyy\-mm</c:formatCode>
                <c:ptCount val="48"/>
                <c:pt idx="0">
                  <c:v>46235</c:v>
                </c:pt>
                <c:pt idx="1">
                  <c:v>46266</c:v>
                </c:pt>
                <c:pt idx="2">
                  <c:v>46296</c:v>
                </c:pt>
                <c:pt idx="3">
                  <c:v>46327</c:v>
                </c:pt>
                <c:pt idx="4">
                  <c:v>46357</c:v>
                </c:pt>
                <c:pt idx="5">
                  <c:v>46388</c:v>
                </c:pt>
                <c:pt idx="6">
                  <c:v>46419</c:v>
                </c:pt>
                <c:pt idx="7">
                  <c:v>46447</c:v>
                </c:pt>
                <c:pt idx="8">
                  <c:v>46478</c:v>
                </c:pt>
                <c:pt idx="9">
                  <c:v>46508</c:v>
                </c:pt>
                <c:pt idx="10">
                  <c:v>46539</c:v>
                </c:pt>
                <c:pt idx="11">
                  <c:v>46569</c:v>
                </c:pt>
                <c:pt idx="12">
                  <c:v>46600</c:v>
                </c:pt>
                <c:pt idx="13">
                  <c:v>46631</c:v>
                </c:pt>
                <c:pt idx="14">
                  <c:v>46661</c:v>
                </c:pt>
                <c:pt idx="15">
                  <c:v>46692</c:v>
                </c:pt>
                <c:pt idx="16">
                  <c:v>46722</c:v>
                </c:pt>
                <c:pt idx="17">
                  <c:v>46753</c:v>
                </c:pt>
                <c:pt idx="18">
                  <c:v>46784</c:v>
                </c:pt>
                <c:pt idx="19">
                  <c:v>46813</c:v>
                </c:pt>
                <c:pt idx="20">
                  <c:v>46844</c:v>
                </c:pt>
                <c:pt idx="21">
                  <c:v>46874</c:v>
                </c:pt>
                <c:pt idx="22">
                  <c:v>46905</c:v>
                </c:pt>
                <c:pt idx="23">
                  <c:v>46935</c:v>
                </c:pt>
                <c:pt idx="24">
                  <c:v>46966</c:v>
                </c:pt>
                <c:pt idx="25">
                  <c:v>46997</c:v>
                </c:pt>
                <c:pt idx="26">
                  <c:v>47027</c:v>
                </c:pt>
                <c:pt idx="27">
                  <c:v>47058</c:v>
                </c:pt>
                <c:pt idx="28">
                  <c:v>47088</c:v>
                </c:pt>
                <c:pt idx="29">
                  <c:v>47119</c:v>
                </c:pt>
                <c:pt idx="30">
                  <c:v>47150</c:v>
                </c:pt>
                <c:pt idx="31">
                  <c:v>47178</c:v>
                </c:pt>
                <c:pt idx="32">
                  <c:v>47209</c:v>
                </c:pt>
                <c:pt idx="33">
                  <c:v>47239</c:v>
                </c:pt>
                <c:pt idx="34">
                  <c:v>47270</c:v>
                </c:pt>
                <c:pt idx="35">
                  <c:v>47300</c:v>
                </c:pt>
                <c:pt idx="36">
                  <c:v>47331</c:v>
                </c:pt>
                <c:pt idx="37">
                  <c:v>47362</c:v>
                </c:pt>
                <c:pt idx="38">
                  <c:v>47392</c:v>
                </c:pt>
                <c:pt idx="39">
                  <c:v>47423</c:v>
                </c:pt>
                <c:pt idx="40">
                  <c:v>47453</c:v>
                </c:pt>
                <c:pt idx="41">
                  <c:v>47484</c:v>
                </c:pt>
                <c:pt idx="42">
                  <c:v>47515</c:v>
                </c:pt>
                <c:pt idx="43">
                  <c:v>47543</c:v>
                </c:pt>
                <c:pt idx="44">
                  <c:v>47574</c:v>
                </c:pt>
                <c:pt idx="45">
                  <c:v>47604</c:v>
                </c:pt>
                <c:pt idx="46">
                  <c:v>47635</c:v>
                </c:pt>
                <c:pt idx="47">
                  <c:v>47665</c:v>
                </c:pt>
              </c:numCache>
            </c:numRef>
          </c:cat>
          <c:val>
            <c:numRef>
              <c:f>实际执行追踪!$AC$7:$AC$54</c:f>
              <c:numCache>
                <c:formatCode>"HK$"#,##0.00;[Red]"(HK$"#,##0.00\);\-</c:formatCode>
                <c:ptCount val="48"/>
                <c:pt idx="0">
                  <c:v>2209.3023255813969</c:v>
                </c:pt>
                <c:pt idx="1">
                  <c:v>4543.6046511627937</c:v>
                </c:pt>
                <c:pt idx="2">
                  <c:v>6863.2325581395398</c:v>
                </c:pt>
                <c:pt idx="3">
                  <c:v>9230.5348837209367</c:v>
                </c:pt>
                <c:pt idx="4">
                  <c:v>11650.511627906984</c:v>
                </c:pt>
                <c:pt idx="5">
                  <c:v>14113.162790697683</c:v>
                </c:pt>
                <c:pt idx="6">
                  <c:v>16620.988372093034</c:v>
                </c:pt>
                <c:pt idx="7">
                  <c:v>19221.418604651175</c:v>
                </c:pt>
                <c:pt idx="8">
                  <c:v>21832.08139534885</c:v>
                </c:pt>
                <c:pt idx="9">
                  <c:v>24502.930232558156</c:v>
                </c:pt>
                <c:pt idx="10">
                  <c:v>27203.95348837211</c:v>
                </c:pt>
                <c:pt idx="11">
                  <c:v>29975.151162790717</c:v>
                </c:pt>
                <c:pt idx="12">
                  <c:v>30549.744186046533</c:v>
                </c:pt>
                <c:pt idx="13">
                  <c:v>31121.83720930235</c:v>
                </c:pt>
                <c:pt idx="14">
                  <c:v>31721.430232558167</c:v>
                </c:pt>
                <c:pt idx="15">
                  <c:v>32296.023255813983</c:v>
                </c:pt>
                <c:pt idx="16">
                  <c:v>32895.6162790698</c:v>
                </c:pt>
                <c:pt idx="17">
                  <c:v>33470.209302325617</c:v>
                </c:pt>
                <c:pt idx="18">
                  <c:v>34042.302325581433</c:v>
                </c:pt>
                <c:pt idx="19">
                  <c:v>34669.267441860502</c:v>
                </c:pt>
                <c:pt idx="20">
                  <c:v>35246.348837209342</c:v>
                </c:pt>
                <c:pt idx="21">
                  <c:v>35845.941860465158</c:v>
                </c:pt>
                <c:pt idx="22">
                  <c:v>36420.534883720975</c:v>
                </c:pt>
                <c:pt idx="23">
                  <c:v>37020.127906976792</c:v>
                </c:pt>
                <c:pt idx="24">
                  <c:v>10385.418604651211</c:v>
                </c:pt>
                <c:pt idx="25">
                  <c:v>3748.2093023256311</c:v>
                </c:pt>
                <c:pt idx="26">
                  <c:v>2178.1744186046999</c:v>
                </c:pt>
                <c:pt idx="27">
                  <c:v>535.46511627911968</c:v>
                </c:pt>
                <c:pt idx="28">
                  <c:v>3865.0813953488869</c:v>
                </c:pt>
                <c:pt idx="29">
                  <c:v>2102.0232558140015</c:v>
                </c:pt>
                <c:pt idx="30">
                  <c:v>291.29069767446708</c:v>
                </c:pt>
                <c:pt idx="31">
                  <c:v>3470.3255813953983</c:v>
                </c:pt>
                <c:pt idx="32">
                  <c:v>1539.2441860465624</c:v>
                </c:pt>
                <c:pt idx="33">
                  <c:v>4567.9883720930738</c:v>
                </c:pt>
                <c:pt idx="34">
                  <c:v>2516.5581395349327</c:v>
                </c:pt>
                <c:pt idx="35">
                  <c:v>419.95348837213896</c:v>
                </c:pt>
                <c:pt idx="36">
                  <c:v>494.95348837213896</c:v>
                </c:pt>
                <c:pt idx="37">
                  <c:v>569.95348837213896</c:v>
                </c:pt>
                <c:pt idx="38">
                  <c:v>644.95348837213896</c:v>
                </c:pt>
                <c:pt idx="39">
                  <c:v>719.95348837213896</c:v>
                </c:pt>
                <c:pt idx="40">
                  <c:v>794.95348837213896</c:v>
                </c:pt>
                <c:pt idx="41">
                  <c:v>869.95348837213896</c:v>
                </c:pt>
                <c:pt idx="42">
                  <c:v>944.95348837213896</c:v>
                </c:pt>
                <c:pt idx="43">
                  <c:v>1019.953488372139</c:v>
                </c:pt>
                <c:pt idx="44">
                  <c:v>1094.953488372139</c:v>
                </c:pt>
                <c:pt idx="45">
                  <c:v>1169.953488372139</c:v>
                </c:pt>
                <c:pt idx="46">
                  <c:v>1244.953488372139</c:v>
                </c:pt>
                <c:pt idx="47">
                  <c:v>1319.953488372139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6D8-4CA3-B0C7-B9B6A2673218}"/>
            </c:ext>
          </c:extLst>
        </c:ser>
        <c:ser>
          <c:idx val="1"/>
          <c:order val="1"/>
          <c:tx>
            <c:strRef>
              <c:f>实际执行追踪!AD6</c:f>
              <c:strCache>
                <c:ptCount val="1"/>
                <c:pt idx="0">
                  <c:v>期末持仓</c:v>
                </c:pt>
              </c:strCache>
            </c:strRef>
          </c:tx>
          <c:spPr>
            <a:ln w="12600">
              <a:solidFill>
                <a:srgbClr val="AA433F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实际执行追踪!$A$7:$A$54</c:f>
              <c:numCache>
                <c:formatCode>yyyy\-mm</c:formatCode>
                <c:ptCount val="48"/>
                <c:pt idx="0">
                  <c:v>46235</c:v>
                </c:pt>
                <c:pt idx="1">
                  <c:v>46266</c:v>
                </c:pt>
                <c:pt idx="2">
                  <c:v>46296</c:v>
                </c:pt>
                <c:pt idx="3">
                  <c:v>46327</c:v>
                </c:pt>
                <c:pt idx="4">
                  <c:v>46357</c:v>
                </c:pt>
                <c:pt idx="5">
                  <c:v>46388</c:v>
                </c:pt>
                <c:pt idx="6">
                  <c:v>46419</c:v>
                </c:pt>
                <c:pt idx="7">
                  <c:v>46447</c:v>
                </c:pt>
                <c:pt idx="8">
                  <c:v>46478</c:v>
                </c:pt>
                <c:pt idx="9">
                  <c:v>46508</c:v>
                </c:pt>
                <c:pt idx="10">
                  <c:v>46539</c:v>
                </c:pt>
                <c:pt idx="11">
                  <c:v>46569</c:v>
                </c:pt>
                <c:pt idx="12">
                  <c:v>46600</c:v>
                </c:pt>
                <c:pt idx="13">
                  <c:v>46631</c:v>
                </c:pt>
                <c:pt idx="14">
                  <c:v>46661</c:v>
                </c:pt>
                <c:pt idx="15">
                  <c:v>46692</c:v>
                </c:pt>
                <c:pt idx="16">
                  <c:v>46722</c:v>
                </c:pt>
                <c:pt idx="17">
                  <c:v>46753</c:v>
                </c:pt>
                <c:pt idx="18">
                  <c:v>46784</c:v>
                </c:pt>
                <c:pt idx="19">
                  <c:v>46813</c:v>
                </c:pt>
                <c:pt idx="20">
                  <c:v>46844</c:v>
                </c:pt>
                <c:pt idx="21">
                  <c:v>46874</c:v>
                </c:pt>
                <c:pt idx="22">
                  <c:v>46905</c:v>
                </c:pt>
                <c:pt idx="23">
                  <c:v>46935</c:v>
                </c:pt>
                <c:pt idx="24">
                  <c:v>46966</c:v>
                </c:pt>
                <c:pt idx="25">
                  <c:v>46997</c:v>
                </c:pt>
                <c:pt idx="26">
                  <c:v>47027</c:v>
                </c:pt>
                <c:pt idx="27">
                  <c:v>47058</c:v>
                </c:pt>
                <c:pt idx="28">
                  <c:v>47088</c:v>
                </c:pt>
                <c:pt idx="29">
                  <c:v>47119</c:v>
                </c:pt>
                <c:pt idx="30">
                  <c:v>47150</c:v>
                </c:pt>
                <c:pt idx="31">
                  <c:v>47178</c:v>
                </c:pt>
                <c:pt idx="32">
                  <c:v>47209</c:v>
                </c:pt>
                <c:pt idx="33">
                  <c:v>47239</c:v>
                </c:pt>
                <c:pt idx="34">
                  <c:v>47270</c:v>
                </c:pt>
                <c:pt idx="35">
                  <c:v>47300</c:v>
                </c:pt>
                <c:pt idx="36">
                  <c:v>47331</c:v>
                </c:pt>
                <c:pt idx="37">
                  <c:v>47362</c:v>
                </c:pt>
                <c:pt idx="38">
                  <c:v>47392</c:v>
                </c:pt>
                <c:pt idx="39">
                  <c:v>47423</c:v>
                </c:pt>
                <c:pt idx="40">
                  <c:v>47453</c:v>
                </c:pt>
                <c:pt idx="41">
                  <c:v>47484</c:v>
                </c:pt>
                <c:pt idx="42">
                  <c:v>47515</c:v>
                </c:pt>
                <c:pt idx="43">
                  <c:v>47543</c:v>
                </c:pt>
                <c:pt idx="44">
                  <c:v>47574</c:v>
                </c:pt>
                <c:pt idx="45">
                  <c:v>47604</c:v>
                </c:pt>
                <c:pt idx="46">
                  <c:v>47635</c:v>
                </c:pt>
                <c:pt idx="47">
                  <c:v>47665</c:v>
                </c:pt>
              </c:numCache>
            </c:numRef>
          </c:cat>
          <c:val>
            <c:numRef>
              <c:f>实际执行追踪!$AD$7:$AD$54</c:f>
              <c:numCache>
                <c:formatCode>#,##0" 股";[Red]\(#,##0" 股)";\-</c:formatCode>
                <c:ptCount val="48"/>
                <c:pt idx="0">
                  <c:v>2500</c:v>
                </c:pt>
                <c:pt idx="1">
                  <c:v>5000</c:v>
                </c:pt>
                <c:pt idx="2">
                  <c:v>7500</c:v>
                </c:pt>
                <c:pt idx="3">
                  <c:v>10000</c:v>
                </c:pt>
                <c:pt idx="4">
                  <c:v>12500</c:v>
                </c:pt>
                <c:pt idx="5">
                  <c:v>15000</c:v>
                </c:pt>
                <c:pt idx="6">
                  <c:v>17500</c:v>
                </c:pt>
                <c:pt idx="7">
                  <c:v>20000</c:v>
                </c:pt>
                <c:pt idx="8">
                  <c:v>22500</c:v>
                </c:pt>
                <c:pt idx="9">
                  <c:v>25000</c:v>
                </c:pt>
                <c:pt idx="10">
                  <c:v>27500</c:v>
                </c:pt>
                <c:pt idx="11">
                  <c:v>30000</c:v>
                </c:pt>
                <c:pt idx="12">
                  <c:v>30000</c:v>
                </c:pt>
                <c:pt idx="13">
                  <c:v>30000</c:v>
                </c:pt>
                <c:pt idx="14">
                  <c:v>30000</c:v>
                </c:pt>
                <c:pt idx="15">
                  <c:v>30000</c:v>
                </c:pt>
                <c:pt idx="16">
                  <c:v>30000</c:v>
                </c:pt>
                <c:pt idx="17">
                  <c:v>30000</c:v>
                </c:pt>
                <c:pt idx="18">
                  <c:v>30000</c:v>
                </c:pt>
                <c:pt idx="19">
                  <c:v>30000</c:v>
                </c:pt>
                <c:pt idx="20">
                  <c:v>30000</c:v>
                </c:pt>
                <c:pt idx="21">
                  <c:v>30000</c:v>
                </c:pt>
                <c:pt idx="22">
                  <c:v>30000</c:v>
                </c:pt>
                <c:pt idx="23">
                  <c:v>30000</c:v>
                </c:pt>
                <c:pt idx="24">
                  <c:v>30000</c:v>
                </c:pt>
                <c:pt idx="25">
                  <c:v>28000</c:v>
                </c:pt>
                <c:pt idx="26">
                  <c:v>25500</c:v>
                </c:pt>
                <c:pt idx="27">
                  <c:v>23000</c:v>
                </c:pt>
                <c:pt idx="28">
                  <c:v>20000</c:v>
                </c:pt>
                <c:pt idx="29">
                  <c:v>17500</c:v>
                </c:pt>
                <c:pt idx="30">
                  <c:v>15000</c:v>
                </c:pt>
                <c:pt idx="31">
                  <c:v>12000</c:v>
                </c:pt>
                <c:pt idx="32">
                  <c:v>9500</c:v>
                </c:pt>
                <c:pt idx="33">
                  <c:v>6500</c:v>
                </c:pt>
                <c:pt idx="34">
                  <c:v>4000</c:v>
                </c:pt>
                <c:pt idx="35">
                  <c:v>1500</c:v>
                </c:pt>
                <c:pt idx="36">
                  <c:v>1500</c:v>
                </c:pt>
                <c:pt idx="37">
                  <c:v>1500</c:v>
                </c:pt>
                <c:pt idx="38">
                  <c:v>1500</c:v>
                </c:pt>
                <c:pt idx="39">
                  <c:v>1500</c:v>
                </c:pt>
                <c:pt idx="40">
                  <c:v>1500</c:v>
                </c:pt>
                <c:pt idx="41">
                  <c:v>1500</c:v>
                </c:pt>
                <c:pt idx="42">
                  <c:v>1500</c:v>
                </c:pt>
                <c:pt idx="43">
                  <c:v>1500</c:v>
                </c:pt>
                <c:pt idx="44">
                  <c:v>1500</c:v>
                </c:pt>
                <c:pt idx="45">
                  <c:v>1500</c:v>
                </c:pt>
                <c:pt idx="46">
                  <c:v>1500</c:v>
                </c:pt>
                <c:pt idx="47">
                  <c:v>1500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6D8-4CA3-B0C7-B9B6A2673218}"/>
            </c:ext>
          </c:extLst>
        </c:ser>
        <c:ser>
          <c:idx val="2"/>
          <c:order val="2"/>
          <c:tx>
            <c:strRef>
              <c:f>实际执行追踪!AE6</c:f>
              <c:strCache>
                <c:ptCount val="1"/>
                <c:pt idx="0">
                  <c:v>期末基金市值</c:v>
                </c:pt>
              </c:strCache>
            </c:strRef>
          </c:tx>
          <c:spPr>
            <a:ln w="12600">
              <a:solidFill>
                <a:srgbClr val="87A44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实际执行追踪!$A$7:$A$54</c:f>
              <c:numCache>
                <c:formatCode>yyyy\-mm</c:formatCode>
                <c:ptCount val="48"/>
                <c:pt idx="0">
                  <c:v>46235</c:v>
                </c:pt>
                <c:pt idx="1">
                  <c:v>46266</c:v>
                </c:pt>
                <c:pt idx="2">
                  <c:v>46296</c:v>
                </c:pt>
                <c:pt idx="3">
                  <c:v>46327</c:v>
                </c:pt>
                <c:pt idx="4">
                  <c:v>46357</c:v>
                </c:pt>
                <c:pt idx="5">
                  <c:v>46388</c:v>
                </c:pt>
                <c:pt idx="6">
                  <c:v>46419</c:v>
                </c:pt>
                <c:pt idx="7">
                  <c:v>46447</c:v>
                </c:pt>
                <c:pt idx="8">
                  <c:v>46478</c:v>
                </c:pt>
                <c:pt idx="9">
                  <c:v>46508</c:v>
                </c:pt>
                <c:pt idx="10">
                  <c:v>46539</c:v>
                </c:pt>
                <c:pt idx="11">
                  <c:v>46569</c:v>
                </c:pt>
                <c:pt idx="12">
                  <c:v>46600</c:v>
                </c:pt>
                <c:pt idx="13">
                  <c:v>46631</c:v>
                </c:pt>
                <c:pt idx="14">
                  <c:v>46661</c:v>
                </c:pt>
                <c:pt idx="15">
                  <c:v>46692</c:v>
                </c:pt>
                <c:pt idx="16">
                  <c:v>46722</c:v>
                </c:pt>
                <c:pt idx="17">
                  <c:v>46753</c:v>
                </c:pt>
                <c:pt idx="18">
                  <c:v>46784</c:v>
                </c:pt>
                <c:pt idx="19">
                  <c:v>46813</c:v>
                </c:pt>
                <c:pt idx="20">
                  <c:v>46844</c:v>
                </c:pt>
                <c:pt idx="21">
                  <c:v>46874</c:v>
                </c:pt>
                <c:pt idx="22">
                  <c:v>46905</c:v>
                </c:pt>
                <c:pt idx="23">
                  <c:v>46935</c:v>
                </c:pt>
                <c:pt idx="24">
                  <c:v>46966</c:v>
                </c:pt>
                <c:pt idx="25">
                  <c:v>46997</c:v>
                </c:pt>
                <c:pt idx="26">
                  <c:v>47027</c:v>
                </c:pt>
                <c:pt idx="27">
                  <c:v>47058</c:v>
                </c:pt>
                <c:pt idx="28">
                  <c:v>47088</c:v>
                </c:pt>
                <c:pt idx="29">
                  <c:v>47119</c:v>
                </c:pt>
                <c:pt idx="30">
                  <c:v>47150</c:v>
                </c:pt>
                <c:pt idx="31">
                  <c:v>47178</c:v>
                </c:pt>
                <c:pt idx="32">
                  <c:v>47209</c:v>
                </c:pt>
                <c:pt idx="33">
                  <c:v>47239</c:v>
                </c:pt>
                <c:pt idx="34">
                  <c:v>47270</c:v>
                </c:pt>
                <c:pt idx="35">
                  <c:v>47300</c:v>
                </c:pt>
                <c:pt idx="36">
                  <c:v>47331</c:v>
                </c:pt>
                <c:pt idx="37">
                  <c:v>47362</c:v>
                </c:pt>
                <c:pt idx="38">
                  <c:v>47392</c:v>
                </c:pt>
                <c:pt idx="39">
                  <c:v>47423</c:v>
                </c:pt>
                <c:pt idx="40">
                  <c:v>47453</c:v>
                </c:pt>
                <c:pt idx="41">
                  <c:v>47484</c:v>
                </c:pt>
                <c:pt idx="42">
                  <c:v>47515</c:v>
                </c:pt>
                <c:pt idx="43">
                  <c:v>47543</c:v>
                </c:pt>
                <c:pt idx="44">
                  <c:v>47574</c:v>
                </c:pt>
                <c:pt idx="45">
                  <c:v>47604</c:v>
                </c:pt>
                <c:pt idx="46">
                  <c:v>47635</c:v>
                </c:pt>
                <c:pt idx="47">
                  <c:v>47665</c:v>
                </c:pt>
              </c:numCache>
            </c:numRef>
          </c:cat>
          <c:val>
            <c:numRef>
              <c:f>实际执行追踪!$AE$7:$AE$54</c:f>
              <c:numCache>
                <c:formatCode>"HK$"#,##0.00;[Red]"(HK$"#,##0.00\);\-</c:formatCode>
                <c:ptCount val="48"/>
                <c:pt idx="0">
                  <c:v>25000</c:v>
                </c:pt>
                <c:pt idx="1">
                  <c:v>50000</c:v>
                </c:pt>
                <c:pt idx="2">
                  <c:v>75000</c:v>
                </c:pt>
                <c:pt idx="3">
                  <c:v>100000</c:v>
                </c:pt>
                <c:pt idx="4">
                  <c:v>125000</c:v>
                </c:pt>
                <c:pt idx="5">
                  <c:v>150000</c:v>
                </c:pt>
                <c:pt idx="6">
                  <c:v>175000</c:v>
                </c:pt>
                <c:pt idx="7">
                  <c:v>200000</c:v>
                </c:pt>
                <c:pt idx="8">
                  <c:v>225000</c:v>
                </c:pt>
                <c:pt idx="9">
                  <c:v>250000</c:v>
                </c:pt>
                <c:pt idx="10">
                  <c:v>275000</c:v>
                </c:pt>
                <c:pt idx="11">
                  <c:v>300000</c:v>
                </c:pt>
                <c:pt idx="12">
                  <c:v>300000</c:v>
                </c:pt>
                <c:pt idx="13">
                  <c:v>300000</c:v>
                </c:pt>
                <c:pt idx="14">
                  <c:v>300000</c:v>
                </c:pt>
                <c:pt idx="15">
                  <c:v>300000</c:v>
                </c:pt>
                <c:pt idx="16">
                  <c:v>300000</c:v>
                </c:pt>
                <c:pt idx="17">
                  <c:v>300000</c:v>
                </c:pt>
                <c:pt idx="18">
                  <c:v>300000</c:v>
                </c:pt>
                <c:pt idx="19">
                  <c:v>300000</c:v>
                </c:pt>
                <c:pt idx="20">
                  <c:v>300000</c:v>
                </c:pt>
                <c:pt idx="21">
                  <c:v>300000</c:v>
                </c:pt>
                <c:pt idx="22">
                  <c:v>300000</c:v>
                </c:pt>
                <c:pt idx="23">
                  <c:v>300000</c:v>
                </c:pt>
                <c:pt idx="24">
                  <c:v>300000</c:v>
                </c:pt>
                <c:pt idx="25">
                  <c:v>280000</c:v>
                </c:pt>
                <c:pt idx="26">
                  <c:v>255000</c:v>
                </c:pt>
                <c:pt idx="27">
                  <c:v>230000</c:v>
                </c:pt>
                <c:pt idx="28">
                  <c:v>200000</c:v>
                </c:pt>
                <c:pt idx="29">
                  <c:v>175000</c:v>
                </c:pt>
                <c:pt idx="30">
                  <c:v>150000</c:v>
                </c:pt>
                <c:pt idx="31">
                  <c:v>120000</c:v>
                </c:pt>
                <c:pt idx="32">
                  <c:v>95000</c:v>
                </c:pt>
                <c:pt idx="33">
                  <c:v>65000</c:v>
                </c:pt>
                <c:pt idx="34">
                  <c:v>40000</c:v>
                </c:pt>
                <c:pt idx="35">
                  <c:v>15000</c:v>
                </c:pt>
                <c:pt idx="36">
                  <c:v>15000</c:v>
                </c:pt>
                <c:pt idx="37">
                  <c:v>15000</c:v>
                </c:pt>
                <c:pt idx="38">
                  <c:v>15000</c:v>
                </c:pt>
                <c:pt idx="39">
                  <c:v>15000</c:v>
                </c:pt>
                <c:pt idx="40">
                  <c:v>15000</c:v>
                </c:pt>
                <c:pt idx="41">
                  <c:v>15000</c:v>
                </c:pt>
                <c:pt idx="42">
                  <c:v>15000</c:v>
                </c:pt>
                <c:pt idx="43">
                  <c:v>15000</c:v>
                </c:pt>
                <c:pt idx="44">
                  <c:v>15000</c:v>
                </c:pt>
                <c:pt idx="45">
                  <c:v>15000</c:v>
                </c:pt>
                <c:pt idx="46">
                  <c:v>15000</c:v>
                </c:pt>
                <c:pt idx="47">
                  <c:v>15000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26D8-4CA3-B0C7-B9B6A2673218}"/>
            </c:ext>
          </c:extLst>
        </c:ser>
        <c:ser>
          <c:idx val="3"/>
          <c:order val="3"/>
          <c:tx>
            <c:strRef>
              <c:f>实际执行追踪!AF6</c:f>
              <c:strCache>
                <c:ptCount val="1"/>
                <c:pt idx="0">
                  <c:v>期末未偿贷款（人民币）</c:v>
                </c:pt>
              </c:strCache>
            </c:strRef>
          </c:tx>
          <c:spPr>
            <a:ln w="12600">
              <a:solidFill>
                <a:srgbClr val="6F568D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实际执行追踪!$A$7:$A$54</c:f>
              <c:numCache>
                <c:formatCode>yyyy\-mm</c:formatCode>
                <c:ptCount val="48"/>
                <c:pt idx="0">
                  <c:v>46235</c:v>
                </c:pt>
                <c:pt idx="1">
                  <c:v>46266</c:v>
                </c:pt>
                <c:pt idx="2">
                  <c:v>46296</c:v>
                </c:pt>
                <c:pt idx="3">
                  <c:v>46327</c:v>
                </c:pt>
                <c:pt idx="4">
                  <c:v>46357</c:v>
                </c:pt>
                <c:pt idx="5">
                  <c:v>46388</c:v>
                </c:pt>
                <c:pt idx="6">
                  <c:v>46419</c:v>
                </c:pt>
                <c:pt idx="7">
                  <c:v>46447</c:v>
                </c:pt>
                <c:pt idx="8">
                  <c:v>46478</c:v>
                </c:pt>
                <c:pt idx="9">
                  <c:v>46508</c:v>
                </c:pt>
                <c:pt idx="10">
                  <c:v>46539</c:v>
                </c:pt>
                <c:pt idx="11">
                  <c:v>46569</c:v>
                </c:pt>
                <c:pt idx="12">
                  <c:v>46600</c:v>
                </c:pt>
                <c:pt idx="13">
                  <c:v>46631</c:v>
                </c:pt>
                <c:pt idx="14">
                  <c:v>46661</c:v>
                </c:pt>
                <c:pt idx="15">
                  <c:v>46692</c:v>
                </c:pt>
                <c:pt idx="16">
                  <c:v>46722</c:v>
                </c:pt>
                <c:pt idx="17">
                  <c:v>46753</c:v>
                </c:pt>
                <c:pt idx="18">
                  <c:v>46784</c:v>
                </c:pt>
                <c:pt idx="19">
                  <c:v>46813</c:v>
                </c:pt>
                <c:pt idx="20">
                  <c:v>46844</c:v>
                </c:pt>
                <c:pt idx="21">
                  <c:v>46874</c:v>
                </c:pt>
                <c:pt idx="22">
                  <c:v>46905</c:v>
                </c:pt>
                <c:pt idx="23">
                  <c:v>46935</c:v>
                </c:pt>
                <c:pt idx="24">
                  <c:v>46966</c:v>
                </c:pt>
                <c:pt idx="25">
                  <c:v>46997</c:v>
                </c:pt>
                <c:pt idx="26">
                  <c:v>47027</c:v>
                </c:pt>
                <c:pt idx="27">
                  <c:v>47058</c:v>
                </c:pt>
                <c:pt idx="28">
                  <c:v>47088</c:v>
                </c:pt>
                <c:pt idx="29">
                  <c:v>47119</c:v>
                </c:pt>
                <c:pt idx="30">
                  <c:v>47150</c:v>
                </c:pt>
                <c:pt idx="31">
                  <c:v>47178</c:v>
                </c:pt>
                <c:pt idx="32">
                  <c:v>47209</c:v>
                </c:pt>
                <c:pt idx="33">
                  <c:v>47239</c:v>
                </c:pt>
                <c:pt idx="34">
                  <c:v>47270</c:v>
                </c:pt>
                <c:pt idx="35">
                  <c:v>47300</c:v>
                </c:pt>
                <c:pt idx="36">
                  <c:v>47331</c:v>
                </c:pt>
                <c:pt idx="37">
                  <c:v>47362</c:v>
                </c:pt>
                <c:pt idx="38">
                  <c:v>47392</c:v>
                </c:pt>
                <c:pt idx="39">
                  <c:v>47423</c:v>
                </c:pt>
                <c:pt idx="40">
                  <c:v>47453</c:v>
                </c:pt>
                <c:pt idx="41">
                  <c:v>47484</c:v>
                </c:pt>
                <c:pt idx="42">
                  <c:v>47515</c:v>
                </c:pt>
                <c:pt idx="43">
                  <c:v>47543</c:v>
                </c:pt>
                <c:pt idx="44">
                  <c:v>47574</c:v>
                </c:pt>
                <c:pt idx="45">
                  <c:v>47604</c:v>
                </c:pt>
                <c:pt idx="46">
                  <c:v>47635</c:v>
                </c:pt>
                <c:pt idx="47">
                  <c:v>47665</c:v>
                </c:pt>
              </c:numCache>
            </c:numRef>
          </c:cat>
          <c:val>
            <c:numRef>
              <c:f>实际执行追踪!$AF$7:$AF$54</c:f>
              <c:numCache>
                <c:formatCode>\¥#,##0.00;[Red]"(¥"#,##0.00\);\-</c:formatCode>
                <c:ptCount val="48"/>
                <c:pt idx="0">
                  <c:v>23400</c:v>
                </c:pt>
                <c:pt idx="1">
                  <c:v>46800</c:v>
                </c:pt>
                <c:pt idx="2">
                  <c:v>70200</c:v>
                </c:pt>
                <c:pt idx="3">
                  <c:v>93600</c:v>
                </c:pt>
                <c:pt idx="4">
                  <c:v>117000</c:v>
                </c:pt>
                <c:pt idx="5">
                  <c:v>140400</c:v>
                </c:pt>
                <c:pt idx="6">
                  <c:v>163800</c:v>
                </c:pt>
                <c:pt idx="7">
                  <c:v>187200</c:v>
                </c:pt>
                <c:pt idx="8">
                  <c:v>210600</c:v>
                </c:pt>
                <c:pt idx="9">
                  <c:v>234000</c:v>
                </c:pt>
                <c:pt idx="10">
                  <c:v>257400</c:v>
                </c:pt>
                <c:pt idx="11">
                  <c:v>280800</c:v>
                </c:pt>
                <c:pt idx="12">
                  <c:v>280800</c:v>
                </c:pt>
                <c:pt idx="13">
                  <c:v>280800</c:v>
                </c:pt>
                <c:pt idx="14">
                  <c:v>280800</c:v>
                </c:pt>
                <c:pt idx="15">
                  <c:v>280800</c:v>
                </c:pt>
                <c:pt idx="16">
                  <c:v>280800</c:v>
                </c:pt>
                <c:pt idx="17">
                  <c:v>280800</c:v>
                </c:pt>
                <c:pt idx="18">
                  <c:v>280800</c:v>
                </c:pt>
                <c:pt idx="19">
                  <c:v>280800</c:v>
                </c:pt>
                <c:pt idx="20">
                  <c:v>280800</c:v>
                </c:pt>
                <c:pt idx="21">
                  <c:v>280800</c:v>
                </c:pt>
                <c:pt idx="22">
                  <c:v>280800</c:v>
                </c:pt>
                <c:pt idx="23">
                  <c:v>280800</c:v>
                </c:pt>
                <c:pt idx="24">
                  <c:v>257400</c:v>
                </c:pt>
                <c:pt idx="25">
                  <c:v>234000</c:v>
                </c:pt>
                <c:pt idx="26">
                  <c:v>210600</c:v>
                </c:pt>
                <c:pt idx="27">
                  <c:v>187200</c:v>
                </c:pt>
                <c:pt idx="28">
                  <c:v>163800</c:v>
                </c:pt>
                <c:pt idx="29">
                  <c:v>140400</c:v>
                </c:pt>
                <c:pt idx="30">
                  <c:v>117000</c:v>
                </c:pt>
                <c:pt idx="31">
                  <c:v>93600</c:v>
                </c:pt>
                <c:pt idx="32">
                  <c:v>70200</c:v>
                </c:pt>
                <c:pt idx="33">
                  <c:v>46800</c:v>
                </c:pt>
                <c:pt idx="34">
                  <c:v>23400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26D8-4CA3-B0C7-B9B6A2673218}"/>
            </c:ext>
          </c:extLst>
        </c:ser>
        <c:ser>
          <c:idx val="4"/>
          <c:order val="4"/>
          <c:tx>
            <c:strRef>
              <c:f>实际执行追踪!AG6</c:f>
              <c:strCache>
                <c:ptCount val="1"/>
                <c:pt idx="0">
                  <c:v>负债折港币</c:v>
                </c:pt>
              </c:strCache>
            </c:strRef>
          </c:tx>
          <c:spPr>
            <a:ln w="12600">
              <a:solidFill>
                <a:srgbClr val="3D97AF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实际执行追踪!$A$7:$A$54</c:f>
              <c:numCache>
                <c:formatCode>yyyy\-mm</c:formatCode>
                <c:ptCount val="48"/>
                <c:pt idx="0">
                  <c:v>46235</c:v>
                </c:pt>
                <c:pt idx="1">
                  <c:v>46266</c:v>
                </c:pt>
                <c:pt idx="2">
                  <c:v>46296</c:v>
                </c:pt>
                <c:pt idx="3">
                  <c:v>46327</c:v>
                </c:pt>
                <c:pt idx="4">
                  <c:v>46357</c:v>
                </c:pt>
                <c:pt idx="5">
                  <c:v>46388</c:v>
                </c:pt>
                <c:pt idx="6">
                  <c:v>46419</c:v>
                </c:pt>
                <c:pt idx="7">
                  <c:v>46447</c:v>
                </c:pt>
                <c:pt idx="8">
                  <c:v>46478</c:v>
                </c:pt>
                <c:pt idx="9">
                  <c:v>46508</c:v>
                </c:pt>
                <c:pt idx="10">
                  <c:v>46539</c:v>
                </c:pt>
                <c:pt idx="11">
                  <c:v>46569</c:v>
                </c:pt>
                <c:pt idx="12">
                  <c:v>46600</c:v>
                </c:pt>
                <c:pt idx="13">
                  <c:v>46631</c:v>
                </c:pt>
                <c:pt idx="14">
                  <c:v>46661</c:v>
                </c:pt>
                <c:pt idx="15">
                  <c:v>46692</c:v>
                </c:pt>
                <c:pt idx="16">
                  <c:v>46722</c:v>
                </c:pt>
                <c:pt idx="17">
                  <c:v>46753</c:v>
                </c:pt>
                <c:pt idx="18">
                  <c:v>46784</c:v>
                </c:pt>
                <c:pt idx="19">
                  <c:v>46813</c:v>
                </c:pt>
                <c:pt idx="20">
                  <c:v>46844</c:v>
                </c:pt>
                <c:pt idx="21">
                  <c:v>46874</c:v>
                </c:pt>
                <c:pt idx="22">
                  <c:v>46905</c:v>
                </c:pt>
                <c:pt idx="23">
                  <c:v>46935</c:v>
                </c:pt>
                <c:pt idx="24">
                  <c:v>46966</c:v>
                </c:pt>
                <c:pt idx="25">
                  <c:v>46997</c:v>
                </c:pt>
                <c:pt idx="26">
                  <c:v>47027</c:v>
                </c:pt>
                <c:pt idx="27">
                  <c:v>47058</c:v>
                </c:pt>
                <c:pt idx="28">
                  <c:v>47088</c:v>
                </c:pt>
                <c:pt idx="29">
                  <c:v>47119</c:v>
                </c:pt>
                <c:pt idx="30">
                  <c:v>47150</c:v>
                </c:pt>
                <c:pt idx="31">
                  <c:v>47178</c:v>
                </c:pt>
                <c:pt idx="32">
                  <c:v>47209</c:v>
                </c:pt>
                <c:pt idx="33">
                  <c:v>47239</c:v>
                </c:pt>
                <c:pt idx="34">
                  <c:v>47270</c:v>
                </c:pt>
                <c:pt idx="35">
                  <c:v>47300</c:v>
                </c:pt>
                <c:pt idx="36">
                  <c:v>47331</c:v>
                </c:pt>
                <c:pt idx="37">
                  <c:v>47362</c:v>
                </c:pt>
                <c:pt idx="38">
                  <c:v>47392</c:v>
                </c:pt>
                <c:pt idx="39">
                  <c:v>47423</c:v>
                </c:pt>
                <c:pt idx="40">
                  <c:v>47453</c:v>
                </c:pt>
                <c:pt idx="41">
                  <c:v>47484</c:v>
                </c:pt>
                <c:pt idx="42">
                  <c:v>47515</c:v>
                </c:pt>
                <c:pt idx="43">
                  <c:v>47543</c:v>
                </c:pt>
                <c:pt idx="44">
                  <c:v>47574</c:v>
                </c:pt>
                <c:pt idx="45">
                  <c:v>47604</c:v>
                </c:pt>
                <c:pt idx="46">
                  <c:v>47635</c:v>
                </c:pt>
                <c:pt idx="47">
                  <c:v>47665</c:v>
                </c:pt>
              </c:numCache>
            </c:numRef>
          </c:cat>
          <c:val>
            <c:numRef>
              <c:f>实际执行追踪!$AG$7:$AG$54</c:f>
              <c:numCache>
                <c:formatCode>"HK$"#,##0.00;[Red]"(HK$"#,##0.00\);\-</c:formatCode>
                <c:ptCount val="48"/>
                <c:pt idx="0">
                  <c:v>27209.302325581397</c:v>
                </c:pt>
                <c:pt idx="1">
                  <c:v>54418.604651162794</c:v>
                </c:pt>
                <c:pt idx="2">
                  <c:v>81627.906976744183</c:v>
                </c:pt>
                <c:pt idx="3">
                  <c:v>108837.20930232559</c:v>
                </c:pt>
                <c:pt idx="4">
                  <c:v>136046.51162790699</c:v>
                </c:pt>
                <c:pt idx="5">
                  <c:v>163255.81395348837</c:v>
                </c:pt>
                <c:pt idx="6">
                  <c:v>190465.11627906977</c:v>
                </c:pt>
                <c:pt idx="7">
                  <c:v>217674.41860465117</c:v>
                </c:pt>
                <c:pt idx="8">
                  <c:v>244883.72093023255</c:v>
                </c:pt>
                <c:pt idx="9">
                  <c:v>272093.02325581398</c:v>
                </c:pt>
                <c:pt idx="10">
                  <c:v>299302.32558139536</c:v>
                </c:pt>
                <c:pt idx="11">
                  <c:v>326511.62790697673</c:v>
                </c:pt>
                <c:pt idx="12">
                  <c:v>326511.62790697673</c:v>
                </c:pt>
                <c:pt idx="13">
                  <c:v>326511.62790697673</c:v>
                </c:pt>
                <c:pt idx="14">
                  <c:v>326511.62790697673</c:v>
                </c:pt>
                <c:pt idx="15">
                  <c:v>326511.62790697673</c:v>
                </c:pt>
                <c:pt idx="16">
                  <c:v>326511.62790697673</c:v>
                </c:pt>
                <c:pt idx="17">
                  <c:v>326511.62790697673</c:v>
                </c:pt>
                <c:pt idx="18">
                  <c:v>326511.62790697673</c:v>
                </c:pt>
                <c:pt idx="19">
                  <c:v>326511.62790697673</c:v>
                </c:pt>
                <c:pt idx="20">
                  <c:v>326511.62790697673</c:v>
                </c:pt>
                <c:pt idx="21">
                  <c:v>326511.62790697673</c:v>
                </c:pt>
                <c:pt idx="22">
                  <c:v>326511.62790697673</c:v>
                </c:pt>
                <c:pt idx="23">
                  <c:v>326511.62790697673</c:v>
                </c:pt>
                <c:pt idx="24">
                  <c:v>299302.32558139536</c:v>
                </c:pt>
                <c:pt idx="25">
                  <c:v>272093.02325581398</c:v>
                </c:pt>
                <c:pt idx="26">
                  <c:v>244883.72093023255</c:v>
                </c:pt>
                <c:pt idx="27">
                  <c:v>217674.41860465117</c:v>
                </c:pt>
                <c:pt idx="28">
                  <c:v>190465.11627906977</c:v>
                </c:pt>
                <c:pt idx="29">
                  <c:v>163255.81395348837</c:v>
                </c:pt>
                <c:pt idx="30">
                  <c:v>136046.51162790699</c:v>
                </c:pt>
                <c:pt idx="31">
                  <c:v>108837.20930232559</c:v>
                </c:pt>
                <c:pt idx="32">
                  <c:v>81627.906976744183</c:v>
                </c:pt>
                <c:pt idx="33">
                  <c:v>54418.604651162794</c:v>
                </c:pt>
                <c:pt idx="34">
                  <c:v>27209.302325581397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26D8-4CA3-B0C7-B9B6A2673218}"/>
            </c:ext>
          </c:extLst>
        </c:ser>
        <c:ser>
          <c:idx val="5"/>
          <c:order val="5"/>
          <c:tx>
            <c:strRef>
              <c:f>实际执行追踪!AH6</c:f>
              <c:strCache>
                <c:ptCount val="1"/>
                <c:pt idx="0">
                  <c:v>基金+内部池</c:v>
                </c:pt>
              </c:strCache>
            </c:strRef>
          </c:tx>
          <c:spPr>
            <a:ln w="12600">
              <a:solidFill>
                <a:srgbClr val="DB823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实际执行追踪!$A$7:$A$54</c:f>
              <c:numCache>
                <c:formatCode>yyyy\-mm</c:formatCode>
                <c:ptCount val="48"/>
                <c:pt idx="0">
                  <c:v>46235</c:v>
                </c:pt>
                <c:pt idx="1">
                  <c:v>46266</c:v>
                </c:pt>
                <c:pt idx="2">
                  <c:v>46296</c:v>
                </c:pt>
                <c:pt idx="3">
                  <c:v>46327</c:v>
                </c:pt>
                <c:pt idx="4">
                  <c:v>46357</c:v>
                </c:pt>
                <c:pt idx="5">
                  <c:v>46388</c:v>
                </c:pt>
                <c:pt idx="6">
                  <c:v>46419</c:v>
                </c:pt>
                <c:pt idx="7">
                  <c:v>46447</c:v>
                </c:pt>
                <c:pt idx="8">
                  <c:v>46478</c:v>
                </c:pt>
                <c:pt idx="9">
                  <c:v>46508</c:v>
                </c:pt>
                <c:pt idx="10">
                  <c:v>46539</c:v>
                </c:pt>
                <c:pt idx="11">
                  <c:v>46569</c:v>
                </c:pt>
                <c:pt idx="12">
                  <c:v>46600</c:v>
                </c:pt>
                <c:pt idx="13">
                  <c:v>46631</c:v>
                </c:pt>
                <c:pt idx="14">
                  <c:v>46661</c:v>
                </c:pt>
                <c:pt idx="15">
                  <c:v>46692</c:v>
                </c:pt>
                <c:pt idx="16">
                  <c:v>46722</c:v>
                </c:pt>
                <c:pt idx="17">
                  <c:v>46753</c:v>
                </c:pt>
                <c:pt idx="18">
                  <c:v>46784</c:v>
                </c:pt>
                <c:pt idx="19">
                  <c:v>46813</c:v>
                </c:pt>
                <c:pt idx="20">
                  <c:v>46844</c:v>
                </c:pt>
                <c:pt idx="21">
                  <c:v>46874</c:v>
                </c:pt>
                <c:pt idx="22">
                  <c:v>46905</c:v>
                </c:pt>
                <c:pt idx="23">
                  <c:v>46935</c:v>
                </c:pt>
                <c:pt idx="24">
                  <c:v>46966</c:v>
                </c:pt>
                <c:pt idx="25">
                  <c:v>46997</c:v>
                </c:pt>
                <c:pt idx="26">
                  <c:v>47027</c:v>
                </c:pt>
                <c:pt idx="27">
                  <c:v>47058</c:v>
                </c:pt>
                <c:pt idx="28">
                  <c:v>47088</c:v>
                </c:pt>
                <c:pt idx="29">
                  <c:v>47119</c:v>
                </c:pt>
                <c:pt idx="30">
                  <c:v>47150</c:v>
                </c:pt>
                <c:pt idx="31">
                  <c:v>47178</c:v>
                </c:pt>
                <c:pt idx="32">
                  <c:v>47209</c:v>
                </c:pt>
                <c:pt idx="33">
                  <c:v>47239</c:v>
                </c:pt>
                <c:pt idx="34">
                  <c:v>47270</c:v>
                </c:pt>
                <c:pt idx="35">
                  <c:v>47300</c:v>
                </c:pt>
                <c:pt idx="36">
                  <c:v>47331</c:v>
                </c:pt>
                <c:pt idx="37">
                  <c:v>47362</c:v>
                </c:pt>
                <c:pt idx="38">
                  <c:v>47392</c:v>
                </c:pt>
                <c:pt idx="39">
                  <c:v>47423</c:v>
                </c:pt>
                <c:pt idx="40">
                  <c:v>47453</c:v>
                </c:pt>
                <c:pt idx="41">
                  <c:v>47484</c:v>
                </c:pt>
                <c:pt idx="42">
                  <c:v>47515</c:v>
                </c:pt>
                <c:pt idx="43">
                  <c:v>47543</c:v>
                </c:pt>
                <c:pt idx="44">
                  <c:v>47574</c:v>
                </c:pt>
                <c:pt idx="45">
                  <c:v>47604</c:v>
                </c:pt>
                <c:pt idx="46">
                  <c:v>47635</c:v>
                </c:pt>
                <c:pt idx="47">
                  <c:v>47665</c:v>
                </c:pt>
              </c:numCache>
            </c:numRef>
          </c:cat>
          <c:val>
            <c:numRef>
              <c:f>实际执行追踪!$AH$7:$AH$54</c:f>
              <c:numCache>
                <c:formatCode>"HK$"#,##0.00;[Red]"(HK$"#,##0.00\);\-</c:formatCode>
                <c:ptCount val="48"/>
                <c:pt idx="0">
                  <c:v>27209.302325581397</c:v>
                </c:pt>
                <c:pt idx="1">
                  <c:v>54543.604651162794</c:v>
                </c:pt>
                <c:pt idx="2">
                  <c:v>81863.232558139542</c:v>
                </c:pt>
                <c:pt idx="3">
                  <c:v>109230.53488372093</c:v>
                </c:pt>
                <c:pt idx="4">
                  <c:v>136650.51162790699</c:v>
                </c:pt>
                <c:pt idx="5">
                  <c:v>164113.16279069768</c:v>
                </c:pt>
                <c:pt idx="6">
                  <c:v>191620.98837209304</c:v>
                </c:pt>
                <c:pt idx="7">
                  <c:v>219221.41860465117</c:v>
                </c:pt>
                <c:pt idx="8">
                  <c:v>246832.08139534885</c:v>
                </c:pt>
                <c:pt idx="9">
                  <c:v>274502.93023255817</c:v>
                </c:pt>
                <c:pt idx="10">
                  <c:v>302203.95348837209</c:v>
                </c:pt>
                <c:pt idx="11">
                  <c:v>329975.15116279072</c:v>
                </c:pt>
                <c:pt idx="12">
                  <c:v>330549.74418604653</c:v>
                </c:pt>
                <c:pt idx="13">
                  <c:v>331121.83720930235</c:v>
                </c:pt>
                <c:pt idx="14">
                  <c:v>331721.43023255817</c:v>
                </c:pt>
                <c:pt idx="15">
                  <c:v>332296.02325581398</c:v>
                </c:pt>
                <c:pt idx="16">
                  <c:v>332895.6162790698</c:v>
                </c:pt>
                <c:pt idx="17">
                  <c:v>333470.20930232562</c:v>
                </c:pt>
                <c:pt idx="18">
                  <c:v>334042.30232558143</c:v>
                </c:pt>
                <c:pt idx="19">
                  <c:v>334669.26744186052</c:v>
                </c:pt>
                <c:pt idx="20">
                  <c:v>335246.34883720934</c:v>
                </c:pt>
                <c:pt idx="21">
                  <c:v>335845.94186046516</c:v>
                </c:pt>
                <c:pt idx="22">
                  <c:v>336420.53488372097</c:v>
                </c:pt>
                <c:pt idx="23">
                  <c:v>337020.12790697679</c:v>
                </c:pt>
                <c:pt idx="24">
                  <c:v>310385.41860465123</c:v>
                </c:pt>
                <c:pt idx="25">
                  <c:v>283748.20930232562</c:v>
                </c:pt>
                <c:pt idx="26">
                  <c:v>257178.1744186047</c:v>
                </c:pt>
                <c:pt idx="27">
                  <c:v>230535.46511627911</c:v>
                </c:pt>
                <c:pt idx="28">
                  <c:v>203865.08139534888</c:v>
                </c:pt>
                <c:pt idx="29">
                  <c:v>177102.02325581401</c:v>
                </c:pt>
                <c:pt idx="30">
                  <c:v>150291.29069767447</c:v>
                </c:pt>
                <c:pt idx="31">
                  <c:v>123470.3255813954</c:v>
                </c:pt>
                <c:pt idx="32">
                  <c:v>96539.244186046562</c:v>
                </c:pt>
                <c:pt idx="33">
                  <c:v>69567.988372093067</c:v>
                </c:pt>
                <c:pt idx="34">
                  <c:v>42516.558139534929</c:v>
                </c:pt>
                <c:pt idx="35">
                  <c:v>15419.953488372139</c:v>
                </c:pt>
                <c:pt idx="36">
                  <c:v>15494.953488372139</c:v>
                </c:pt>
                <c:pt idx="37">
                  <c:v>15569.953488372139</c:v>
                </c:pt>
                <c:pt idx="38">
                  <c:v>15644.953488372139</c:v>
                </c:pt>
                <c:pt idx="39">
                  <c:v>15719.953488372139</c:v>
                </c:pt>
                <c:pt idx="40">
                  <c:v>15794.953488372139</c:v>
                </c:pt>
                <c:pt idx="41">
                  <c:v>15869.953488372139</c:v>
                </c:pt>
                <c:pt idx="42">
                  <c:v>15944.953488372139</c:v>
                </c:pt>
                <c:pt idx="43">
                  <c:v>16019.953488372139</c:v>
                </c:pt>
                <c:pt idx="44">
                  <c:v>16094.953488372139</c:v>
                </c:pt>
                <c:pt idx="45">
                  <c:v>16169.953488372139</c:v>
                </c:pt>
                <c:pt idx="46">
                  <c:v>16244.953488372139</c:v>
                </c:pt>
                <c:pt idx="47">
                  <c:v>16319.953488372139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26D8-4CA3-B0C7-B9B6A2673218}"/>
            </c:ext>
          </c:extLst>
        </c:ser>
        <c:ser>
          <c:idx val="6"/>
          <c:order val="6"/>
          <c:tx>
            <c:strRef>
              <c:f>实际执行追踪!AI6</c:f>
              <c:strCache>
                <c:ptCount val="1"/>
                <c:pt idx="0">
                  <c:v>策略净资产</c:v>
                </c:pt>
              </c:strCache>
            </c:strRef>
          </c:tx>
          <c:spPr>
            <a:ln w="12600">
              <a:solidFill>
                <a:srgbClr val="8EA5CA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实际执行追踪!$A$7:$A$54</c:f>
              <c:numCache>
                <c:formatCode>yyyy\-mm</c:formatCode>
                <c:ptCount val="48"/>
                <c:pt idx="0">
                  <c:v>46235</c:v>
                </c:pt>
                <c:pt idx="1">
                  <c:v>46266</c:v>
                </c:pt>
                <c:pt idx="2">
                  <c:v>46296</c:v>
                </c:pt>
                <c:pt idx="3">
                  <c:v>46327</c:v>
                </c:pt>
                <c:pt idx="4">
                  <c:v>46357</c:v>
                </c:pt>
                <c:pt idx="5">
                  <c:v>46388</c:v>
                </c:pt>
                <c:pt idx="6">
                  <c:v>46419</c:v>
                </c:pt>
                <c:pt idx="7">
                  <c:v>46447</c:v>
                </c:pt>
                <c:pt idx="8">
                  <c:v>46478</c:v>
                </c:pt>
                <c:pt idx="9">
                  <c:v>46508</c:v>
                </c:pt>
                <c:pt idx="10">
                  <c:v>46539</c:v>
                </c:pt>
                <c:pt idx="11">
                  <c:v>46569</c:v>
                </c:pt>
                <c:pt idx="12">
                  <c:v>46600</c:v>
                </c:pt>
                <c:pt idx="13">
                  <c:v>46631</c:v>
                </c:pt>
                <c:pt idx="14">
                  <c:v>46661</c:v>
                </c:pt>
                <c:pt idx="15">
                  <c:v>46692</c:v>
                </c:pt>
                <c:pt idx="16">
                  <c:v>46722</c:v>
                </c:pt>
                <c:pt idx="17">
                  <c:v>46753</c:v>
                </c:pt>
                <c:pt idx="18">
                  <c:v>46784</c:v>
                </c:pt>
                <c:pt idx="19">
                  <c:v>46813</c:v>
                </c:pt>
                <c:pt idx="20">
                  <c:v>46844</c:v>
                </c:pt>
                <c:pt idx="21">
                  <c:v>46874</c:v>
                </c:pt>
                <c:pt idx="22">
                  <c:v>46905</c:v>
                </c:pt>
                <c:pt idx="23">
                  <c:v>46935</c:v>
                </c:pt>
                <c:pt idx="24">
                  <c:v>46966</c:v>
                </c:pt>
                <c:pt idx="25">
                  <c:v>46997</c:v>
                </c:pt>
                <c:pt idx="26">
                  <c:v>47027</c:v>
                </c:pt>
                <c:pt idx="27">
                  <c:v>47058</c:v>
                </c:pt>
                <c:pt idx="28">
                  <c:v>47088</c:v>
                </c:pt>
                <c:pt idx="29">
                  <c:v>47119</c:v>
                </c:pt>
                <c:pt idx="30">
                  <c:v>47150</c:v>
                </c:pt>
                <c:pt idx="31">
                  <c:v>47178</c:v>
                </c:pt>
                <c:pt idx="32">
                  <c:v>47209</c:v>
                </c:pt>
                <c:pt idx="33">
                  <c:v>47239</c:v>
                </c:pt>
                <c:pt idx="34">
                  <c:v>47270</c:v>
                </c:pt>
                <c:pt idx="35">
                  <c:v>47300</c:v>
                </c:pt>
                <c:pt idx="36">
                  <c:v>47331</c:v>
                </c:pt>
                <c:pt idx="37">
                  <c:v>47362</c:v>
                </c:pt>
                <c:pt idx="38">
                  <c:v>47392</c:v>
                </c:pt>
                <c:pt idx="39">
                  <c:v>47423</c:v>
                </c:pt>
                <c:pt idx="40">
                  <c:v>47453</c:v>
                </c:pt>
                <c:pt idx="41">
                  <c:v>47484</c:v>
                </c:pt>
                <c:pt idx="42">
                  <c:v>47515</c:v>
                </c:pt>
                <c:pt idx="43">
                  <c:v>47543</c:v>
                </c:pt>
                <c:pt idx="44">
                  <c:v>47574</c:v>
                </c:pt>
                <c:pt idx="45">
                  <c:v>47604</c:v>
                </c:pt>
                <c:pt idx="46">
                  <c:v>47635</c:v>
                </c:pt>
                <c:pt idx="47">
                  <c:v>47665</c:v>
                </c:pt>
              </c:numCache>
            </c:numRef>
          </c:cat>
          <c:val>
            <c:numRef>
              <c:f>实际执行追踪!$AI$7:$AI$54</c:f>
              <c:numCache>
                <c:formatCode>"HK$"#,##0.00;[Red]"(HK$"#,##0.00\);\-</c:formatCode>
                <c:ptCount val="48"/>
                <c:pt idx="0">
                  <c:v>0</c:v>
                </c:pt>
                <c:pt idx="1">
                  <c:v>125</c:v>
                </c:pt>
                <c:pt idx="2">
                  <c:v>235.32558139535831</c:v>
                </c:pt>
                <c:pt idx="3">
                  <c:v>393.32558139534376</c:v>
                </c:pt>
                <c:pt idx="4">
                  <c:v>604</c:v>
                </c:pt>
                <c:pt idx="5">
                  <c:v>857.34883720931248</c:v>
                </c:pt>
                <c:pt idx="6">
                  <c:v>1155.8720930232666</c:v>
                </c:pt>
                <c:pt idx="7">
                  <c:v>1547</c:v>
                </c:pt>
                <c:pt idx="8">
                  <c:v>1948.3604651163041</c:v>
                </c:pt>
                <c:pt idx="9">
                  <c:v>2409.9069767441833</c:v>
                </c:pt>
                <c:pt idx="10">
                  <c:v>2901.6279069767334</c:v>
                </c:pt>
                <c:pt idx="11">
                  <c:v>3463.5232558139833</c:v>
                </c:pt>
                <c:pt idx="12">
                  <c:v>4038.1162790697999</c:v>
                </c:pt>
                <c:pt idx="13">
                  <c:v>4610.2093023256166</c:v>
                </c:pt>
                <c:pt idx="14">
                  <c:v>5209.8023255814333</c:v>
                </c:pt>
                <c:pt idx="15">
                  <c:v>5784.3953488372499</c:v>
                </c:pt>
                <c:pt idx="16">
                  <c:v>6383.9883720930666</c:v>
                </c:pt>
                <c:pt idx="17">
                  <c:v>6958.5813953488832</c:v>
                </c:pt>
                <c:pt idx="18">
                  <c:v>7530.6744186046999</c:v>
                </c:pt>
                <c:pt idx="19">
                  <c:v>8157.6395348837832</c:v>
                </c:pt>
                <c:pt idx="20">
                  <c:v>8734.7209302326082</c:v>
                </c:pt>
                <c:pt idx="21">
                  <c:v>9334.3139534884249</c:v>
                </c:pt>
                <c:pt idx="22">
                  <c:v>9908.9069767442415</c:v>
                </c:pt>
                <c:pt idx="23">
                  <c:v>10508.500000000058</c:v>
                </c:pt>
                <c:pt idx="24">
                  <c:v>11083.093023255875</c:v>
                </c:pt>
                <c:pt idx="25">
                  <c:v>11655.186046511633</c:v>
                </c:pt>
                <c:pt idx="26">
                  <c:v>12294.45348837215</c:v>
                </c:pt>
                <c:pt idx="27">
                  <c:v>12861.046511627937</c:v>
                </c:pt>
                <c:pt idx="28">
                  <c:v>13399.965116279112</c:v>
                </c:pt>
                <c:pt idx="29">
                  <c:v>13846.209302325646</c:v>
                </c:pt>
                <c:pt idx="30">
                  <c:v>14244.779069767479</c:v>
                </c:pt>
                <c:pt idx="31">
                  <c:v>14633.116279069814</c:v>
                </c:pt>
                <c:pt idx="32">
                  <c:v>14911.337209302379</c:v>
                </c:pt>
                <c:pt idx="33">
                  <c:v>15149.383720930273</c:v>
                </c:pt>
                <c:pt idx="34">
                  <c:v>15307.255813953532</c:v>
                </c:pt>
                <c:pt idx="35">
                  <c:v>15419.953488372139</c:v>
                </c:pt>
                <c:pt idx="36">
                  <c:v>15494.953488372139</c:v>
                </c:pt>
                <c:pt idx="37">
                  <c:v>15569.953488372139</c:v>
                </c:pt>
                <c:pt idx="38">
                  <c:v>15644.953488372139</c:v>
                </c:pt>
                <c:pt idx="39">
                  <c:v>15719.953488372139</c:v>
                </c:pt>
                <c:pt idx="40">
                  <c:v>15794.953488372139</c:v>
                </c:pt>
                <c:pt idx="41">
                  <c:v>15869.953488372139</c:v>
                </c:pt>
                <c:pt idx="42">
                  <c:v>15944.953488372139</c:v>
                </c:pt>
                <c:pt idx="43">
                  <c:v>16019.953488372139</c:v>
                </c:pt>
                <c:pt idx="44">
                  <c:v>16094.953488372139</c:v>
                </c:pt>
                <c:pt idx="45">
                  <c:v>16169.953488372139</c:v>
                </c:pt>
                <c:pt idx="46">
                  <c:v>16244.953488372139</c:v>
                </c:pt>
                <c:pt idx="47">
                  <c:v>16319.953488372139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26D8-4CA3-B0C7-B9B6A26732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80837765"/>
        <c:axId val="71697186"/>
      </c:lineChart>
      <c:dateAx>
        <c:axId val="80837765"/>
        <c:scaling>
          <c:orientation val="minMax"/>
        </c:scaling>
        <c:delete val="0"/>
        <c:axPos val="b"/>
        <c:numFmt formatCode="yyyy\-m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71697186"/>
        <c:crosses val="autoZero"/>
        <c:auto val="1"/>
        <c:lblOffset val="100"/>
        <c:baseTimeUnit val="months"/>
      </c:dateAx>
      <c:valAx>
        <c:axId val="7169718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港币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&quot;HK$&quot;#,##0.00;[Red]&quot;(HK$&quot;#,##0.00\);\-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80837765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57</xdr:row>
      <xdr:rowOff>0</xdr:rowOff>
    </xdr:from>
    <xdr:to>
      <xdr:col>2</xdr:col>
      <xdr:colOff>2650320</xdr:colOff>
      <xdr:row>72</xdr:row>
      <xdr:rowOff>21960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57</xdr:row>
      <xdr:rowOff>0</xdr:rowOff>
    </xdr:from>
    <xdr:to>
      <xdr:col>13</xdr:col>
      <xdr:colOff>324360</xdr:colOff>
      <xdr:row>72</xdr:row>
      <xdr:rowOff>21960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57</xdr:row>
      <xdr:rowOff>0</xdr:rowOff>
    </xdr:from>
    <xdr:to>
      <xdr:col>4</xdr:col>
      <xdr:colOff>473040</xdr:colOff>
      <xdr:row>72</xdr:row>
      <xdr:rowOff>21600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showGridLines="0" tabSelected="1" zoomScaleNormal="100" workbookViewId="0"/>
  </sheetViews>
  <sheetFormatPr defaultColWidth="8.7109375" defaultRowHeight="15"/>
  <cols>
    <col min="1" max="1" width="16" customWidth="1"/>
    <col min="2" max="2" width="112" customWidth="1"/>
  </cols>
  <sheetData>
    <row r="1" spans="1:8" ht="24.75" customHeight="1">
      <c r="A1" s="27" t="s">
        <v>0</v>
      </c>
      <c r="B1" s="27"/>
      <c r="C1" s="27"/>
      <c r="D1" s="27"/>
      <c r="E1" s="27"/>
      <c r="F1" s="27"/>
      <c r="G1" s="27"/>
      <c r="H1" s="27"/>
    </row>
    <row r="3" spans="1:8" ht="27.75" customHeight="1">
      <c r="A3" s="1" t="s">
        <v>1</v>
      </c>
      <c r="B3" s="2" t="s">
        <v>2</v>
      </c>
    </row>
    <row r="5" spans="1:8" ht="28.5" customHeight="1">
      <c r="A5" s="1" t="s">
        <v>3</v>
      </c>
      <c r="B5" s="2" t="s">
        <v>4</v>
      </c>
    </row>
    <row r="6" spans="1:8" ht="27.75" customHeight="1">
      <c r="A6" s="1" t="s">
        <v>5</v>
      </c>
      <c r="B6" s="2" t="s">
        <v>6</v>
      </c>
    </row>
    <row r="7" spans="1:8" ht="15" customHeight="1">
      <c r="A7" s="1" t="s">
        <v>7</v>
      </c>
      <c r="B7" s="2" t="s">
        <v>8</v>
      </c>
    </row>
    <row r="8" spans="1:8" ht="15" customHeight="1">
      <c r="A8" s="1" t="s">
        <v>9</v>
      </c>
      <c r="B8" s="2" t="s">
        <v>10</v>
      </c>
    </row>
    <row r="10" spans="1:8" ht="27.75" customHeight="1">
      <c r="A10" s="1" t="s">
        <v>11</v>
      </c>
      <c r="B10" s="2" t="s">
        <v>12</v>
      </c>
    </row>
    <row r="12" spans="1:8" ht="27.75" customHeight="1">
      <c r="A12" s="1" t="s">
        <v>13</v>
      </c>
      <c r="B12" s="3" t="s">
        <v>14</v>
      </c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3"/>
  <sheetViews>
    <sheetView showGridLines="0" zoomScaleNormal="100" workbookViewId="0"/>
  </sheetViews>
  <sheetFormatPr defaultColWidth="8.7109375" defaultRowHeight="15"/>
  <cols>
    <col min="1" max="1" width="33" customWidth="1"/>
    <col min="2" max="2" width="18" customWidth="1"/>
    <col min="3" max="3" width="66" customWidth="1"/>
  </cols>
  <sheetData>
    <row r="1" spans="1:5" ht="24.75" customHeight="1">
      <c r="A1" s="27" t="s">
        <v>15</v>
      </c>
      <c r="B1" s="27"/>
      <c r="C1" s="27"/>
      <c r="D1" s="27"/>
      <c r="E1" s="27"/>
    </row>
    <row r="3" spans="1:5" ht="15" customHeight="1">
      <c r="A3" s="28" t="s">
        <v>16</v>
      </c>
      <c r="B3" s="28"/>
      <c r="C3" s="28"/>
      <c r="D3" s="28"/>
      <c r="E3" s="28"/>
    </row>
    <row r="4" spans="1:5" ht="15" customHeight="1">
      <c r="A4" s="4" t="s">
        <v>17</v>
      </c>
      <c r="B4" s="5">
        <v>46244</v>
      </c>
      <c r="C4" s="6" t="s">
        <v>18</v>
      </c>
    </row>
    <row r="5" spans="1:5" ht="15" customHeight="1">
      <c r="A5" s="4" t="s">
        <v>19</v>
      </c>
      <c r="B5" s="7">
        <v>23400</v>
      </c>
      <c r="C5" s="6" t="s">
        <v>20</v>
      </c>
    </row>
    <row r="6" spans="1:5" ht="15" customHeight="1">
      <c r="A6" s="4" t="s">
        <v>21</v>
      </c>
      <c r="B6" s="8">
        <v>24</v>
      </c>
      <c r="C6" s="6" t="s">
        <v>22</v>
      </c>
    </row>
    <row r="7" spans="1:5" ht="15" customHeight="1">
      <c r="A7" s="4" t="s">
        <v>23</v>
      </c>
      <c r="B7" s="9">
        <v>0.86</v>
      </c>
      <c r="C7" s="10" t="s">
        <v>24</v>
      </c>
    </row>
    <row r="8" spans="1:5" ht="15" customHeight="1">
      <c r="A8" s="4" t="s">
        <v>25</v>
      </c>
      <c r="B8" s="8">
        <v>36</v>
      </c>
      <c r="C8" s="6" t="s">
        <v>26</v>
      </c>
    </row>
    <row r="9" spans="1:5" ht="15" customHeight="1">
      <c r="A9" s="4" t="s">
        <v>27</v>
      </c>
      <c r="B9" s="8">
        <v>12</v>
      </c>
      <c r="C9" s="6" t="s">
        <v>28</v>
      </c>
    </row>
    <row r="11" spans="1:5" ht="15" customHeight="1">
      <c r="A11" s="4" t="s">
        <v>29</v>
      </c>
      <c r="B11" s="11">
        <v>3.3000000000000002E-2</v>
      </c>
      <c r="C11" s="10" t="s">
        <v>30</v>
      </c>
    </row>
    <row r="12" spans="1:5" ht="15" customHeight="1">
      <c r="A12" s="4" t="s">
        <v>31</v>
      </c>
      <c r="B12" s="8">
        <v>360</v>
      </c>
      <c r="C12" s="10" t="s">
        <v>30</v>
      </c>
    </row>
    <row r="13" spans="1:5" ht="15" customHeight="1">
      <c r="A13" s="4" t="s">
        <v>32</v>
      </c>
      <c r="B13" s="8">
        <v>12</v>
      </c>
      <c r="C13" s="6" t="s">
        <v>33</v>
      </c>
    </row>
    <row r="14" spans="1:5" ht="15" customHeight="1">
      <c r="A14" s="4" t="s">
        <v>34</v>
      </c>
      <c r="B14" s="8">
        <v>5</v>
      </c>
      <c r="C14" s="6" t="s">
        <v>35</v>
      </c>
    </row>
    <row r="15" spans="1:5" ht="15" customHeight="1">
      <c r="A15" s="4" t="s">
        <v>36</v>
      </c>
      <c r="B15" s="8">
        <v>2</v>
      </c>
      <c r="C15" s="6" t="s">
        <v>37</v>
      </c>
    </row>
    <row r="17" spans="1:5" ht="15" customHeight="1">
      <c r="A17" s="28" t="s">
        <v>38</v>
      </c>
      <c r="B17" s="28"/>
      <c r="C17" s="28"/>
      <c r="D17" s="28"/>
      <c r="E17" s="28"/>
    </row>
    <row r="18" spans="1:5" ht="15" customHeight="1">
      <c r="A18" s="4" t="s">
        <v>39</v>
      </c>
      <c r="B18" s="12">
        <v>10</v>
      </c>
      <c r="C18" s="6" t="s">
        <v>40</v>
      </c>
    </row>
    <row r="19" spans="1:5" ht="15" customHeight="1">
      <c r="A19" s="4" t="s">
        <v>41</v>
      </c>
      <c r="B19" s="8">
        <v>500</v>
      </c>
      <c r="C19" s="6" t="s">
        <v>42</v>
      </c>
    </row>
    <row r="20" spans="1:5" ht="15" customHeight="1">
      <c r="A20" s="4" t="s">
        <v>43</v>
      </c>
      <c r="B20" s="12">
        <v>0.05</v>
      </c>
      <c r="C20" s="6" t="s">
        <v>44</v>
      </c>
    </row>
    <row r="21" spans="1:5" ht="15" customHeight="1">
      <c r="A21" s="4" t="s">
        <v>45</v>
      </c>
      <c r="B21" s="13">
        <f>B20*12/B18</f>
        <v>6.0000000000000012E-2</v>
      </c>
      <c r="C21" s="6" t="s">
        <v>46</v>
      </c>
    </row>
    <row r="22" spans="1:5" ht="15" customHeight="1">
      <c r="A22" s="4" t="s">
        <v>47</v>
      </c>
      <c r="B22" s="11">
        <v>0</v>
      </c>
      <c r="C22" s="6" t="s">
        <v>40</v>
      </c>
    </row>
    <row r="23" spans="1:5" ht="15" customHeight="1">
      <c r="A23" s="4" t="s">
        <v>48</v>
      </c>
      <c r="B23" s="11">
        <v>0</v>
      </c>
      <c r="C23" s="6" t="s">
        <v>40</v>
      </c>
    </row>
  </sheetData>
  <mergeCells count="3">
    <mergeCell ref="A1:E1"/>
    <mergeCell ref="A3:E3"/>
    <mergeCell ref="A17:E17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54"/>
  <sheetViews>
    <sheetView showGridLines="0" zoomScaleNormal="100" workbookViewId="0">
      <pane ySplit="6" topLeftCell="A7" activePane="bottomLeft" state="frozen"/>
      <selection pane="bottomLeft"/>
    </sheetView>
  </sheetViews>
  <sheetFormatPr defaultColWidth="8.7109375" defaultRowHeight="15"/>
  <cols>
    <col min="1" max="1" width="11" customWidth="1"/>
    <col min="2" max="2" width="28" customWidth="1"/>
    <col min="3" max="3" width="66" customWidth="1"/>
    <col min="4" max="4" width="14" customWidth="1"/>
    <col min="5" max="7" width="18" customWidth="1"/>
    <col min="8" max="8" width="14" customWidth="1"/>
    <col min="9" max="13" width="18" customWidth="1"/>
    <col min="14" max="14" width="20" customWidth="1"/>
    <col min="15" max="18" width="18" customWidth="1"/>
    <col min="19" max="19" width="20" customWidth="1"/>
    <col min="20" max="20" width="18" customWidth="1"/>
  </cols>
  <sheetData>
    <row r="1" spans="1:20" ht="24.75" customHeight="1">
      <c r="A1" s="27" t="s">
        <v>49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</row>
    <row r="6" spans="1:20" ht="42" customHeight="1">
      <c r="A6" s="14" t="s">
        <v>50</v>
      </c>
      <c r="B6" s="14" t="s">
        <v>51</v>
      </c>
      <c r="C6" s="14" t="s">
        <v>52</v>
      </c>
      <c r="D6" s="14" t="s">
        <v>53</v>
      </c>
      <c r="E6" s="14" t="s">
        <v>54</v>
      </c>
      <c r="F6" s="14" t="s">
        <v>55</v>
      </c>
      <c r="G6" s="14" t="s">
        <v>56</v>
      </c>
      <c r="H6" s="14" t="s">
        <v>57</v>
      </c>
      <c r="I6" s="14" t="s">
        <v>58</v>
      </c>
      <c r="J6" s="14" t="s">
        <v>59</v>
      </c>
      <c r="K6" s="14" t="s">
        <v>60</v>
      </c>
      <c r="L6" s="14" t="s">
        <v>61</v>
      </c>
      <c r="M6" s="14" t="s">
        <v>62</v>
      </c>
      <c r="N6" s="14" t="s">
        <v>63</v>
      </c>
      <c r="O6" s="14" t="s">
        <v>64</v>
      </c>
      <c r="P6" s="14" t="s">
        <v>65</v>
      </c>
      <c r="Q6" s="14" t="s">
        <v>66</v>
      </c>
      <c r="R6" s="14" t="s">
        <v>67</v>
      </c>
      <c r="S6" s="14" t="s">
        <v>68</v>
      </c>
      <c r="T6" s="14" t="s">
        <v>69</v>
      </c>
    </row>
    <row r="7" spans="1:20" ht="15" customHeight="1">
      <c r="A7" s="15">
        <f>月度资金流!A7</f>
        <v>46235</v>
      </c>
      <c r="B7" t="str">
        <f>月度资金流!B7</f>
        <v>策略一：消费贷款+买基金</v>
      </c>
      <c r="C7" s="16" t="str">
        <f>IF(D7&gt;0,"买入 "&amp;ROUND(D7,0)&amp;" 股，支付 HK$"&amp;ROUND(E7,0)&amp;"，找零 HK$"&amp;ROUND(F7,0)&amp;"；分红 HK$"&amp;ROUND(G7,0),IF(H7&gt;0,"卖出 "&amp;ROUND(H7,0)&amp;" 股，净收 HK$"&amp;ROUND(I7,0)&amp;"；内部池支付 HK$"&amp;ROUND(N7,0)&amp;"；分红 HK$"&amp;ROUND(G7,0),IF(M7&gt;0,"新贷款抵还 HK$"&amp;ROUND(M7,0)&amp;"；内部池支付 HK$"&amp;ROUND(N7,0)&amp;"；分红 HK$"&amp;ROUND(G7,0),IF(L7&gt;0,"应还 HK$"&amp;ROUND(L7,0)&amp;"；内部池支付 HK$"&amp;ROUND(N7,0)&amp;IF(O7&gt;0,"；外部池投入 HK$"&amp;ROUND(O7,0),"")&amp;"；分红 HK$"&amp;ROUND(G7,0),IF(G7&gt;0,"收到分红 HK$"&amp;ROUND(G7,0),"无需操作")))))</f>
        <v>买入 2500 股，支付 HK$25000，找零 HK$2209；分红 HK$0</v>
      </c>
      <c r="D7" s="17">
        <f>月度资金流!H7</f>
        <v>2500</v>
      </c>
      <c r="E7" s="18">
        <f>月度资金流!I7</f>
        <v>25000</v>
      </c>
      <c r="F7" s="18">
        <f>月度资金流!K7</f>
        <v>2209.3023255813969</v>
      </c>
      <c r="G7" s="19">
        <f>月度资金流!N7</f>
        <v>0</v>
      </c>
      <c r="H7" s="20">
        <f>月度资金流!W7</f>
        <v>0</v>
      </c>
      <c r="I7" s="18">
        <f>月度资金流!Z7</f>
        <v>0</v>
      </c>
      <c r="J7" s="21">
        <f>月度资金流!O7</f>
        <v>0</v>
      </c>
      <c r="K7" s="21">
        <f>月度资金流!P7</f>
        <v>0</v>
      </c>
      <c r="L7" s="18">
        <f>月度资金流!Q7</f>
        <v>0</v>
      </c>
      <c r="M7" s="18">
        <f>月度资金流!R7</f>
        <v>0</v>
      </c>
      <c r="N7" s="18">
        <f>月度资金流!U7</f>
        <v>0</v>
      </c>
      <c r="O7" s="22">
        <f>月度资金流!AA7</f>
        <v>0</v>
      </c>
      <c r="P7" s="18">
        <f>月度资金流!AC7</f>
        <v>2209.3023255813969</v>
      </c>
      <c r="Q7" s="23">
        <f>月度资金流!AD7</f>
        <v>2500</v>
      </c>
      <c r="R7" s="18">
        <f>月度资金流!AE7</f>
        <v>25000</v>
      </c>
      <c r="S7" s="21">
        <f>月度资金流!AF7</f>
        <v>23400</v>
      </c>
      <c r="T7" s="18">
        <f>月度资金流!AI7</f>
        <v>0</v>
      </c>
    </row>
    <row r="8" spans="1:20" ht="15" customHeight="1">
      <c r="A8" s="15">
        <f>月度资金流!A8</f>
        <v>46266</v>
      </c>
      <c r="B8" t="str">
        <f>月度资金流!B8</f>
        <v>策略一：消费贷款+买基金</v>
      </c>
      <c r="C8" s="16" t="str">
        <f>IF(D8&gt;0,"买入 "&amp;ROUND(D8,0)&amp;" 股，支付 HK$"&amp;ROUND(E8,0)&amp;"，找零 HK$"&amp;ROUND(F8,0)&amp;"；分红 HK$"&amp;ROUND(G8,0),IF(H8&gt;0,"卖出 "&amp;ROUND(H8,0)&amp;" 股，净收 HK$"&amp;ROUND(I8,0)&amp;"；内部池支付 HK$"&amp;ROUND(N8,0)&amp;"；分红 HK$"&amp;ROUND(G8,0),IF(M8&gt;0,"新贷款抵还 HK$"&amp;ROUND(M8,0)&amp;"；内部池支付 HK$"&amp;ROUND(N8,0)&amp;"；分红 HK$"&amp;ROUND(G8,0),IF(L8&gt;0,"应还 HK$"&amp;ROUND(L8,0)&amp;"；内部池支付 HK$"&amp;ROUND(N8,0)&amp;IF(O8&gt;0,"；外部池投入 HK$"&amp;ROUND(O8,0),"")&amp;"；分红 HK$"&amp;ROUND(G8,0),IF(G8&gt;0,"收到分红 HK$"&amp;ROUND(G8,0),"无需操作")))))</f>
        <v>买入 2500 股，支付 HK$25000，找零 HK$2209；分红 HK$125</v>
      </c>
      <c r="D8" s="17">
        <f>月度资金流!H8</f>
        <v>2500</v>
      </c>
      <c r="E8" s="18">
        <f>月度资金流!I8</f>
        <v>25000</v>
      </c>
      <c r="F8" s="18">
        <f>月度资金流!K8</f>
        <v>2209.3023255813969</v>
      </c>
      <c r="G8" s="19">
        <f>月度资金流!N8</f>
        <v>125</v>
      </c>
      <c r="H8" s="20">
        <f>月度资金流!W8</f>
        <v>0</v>
      </c>
      <c r="I8" s="18">
        <f>月度资金流!Z8</f>
        <v>0</v>
      </c>
      <c r="J8" s="21">
        <f>月度资金流!O8</f>
        <v>0</v>
      </c>
      <c r="K8" s="21">
        <f>月度资金流!P8</f>
        <v>0</v>
      </c>
      <c r="L8" s="18">
        <f>月度资金流!Q8</f>
        <v>0</v>
      </c>
      <c r="M8" s="18">
        <f>月度资金流!R8</f>
        <v>0</v>
      </c>
      <c r="N8" s="18">
        <f>月度资金流!U8</f>
        <v>0</v>
      </c>
      <c r="O8" s="22">
        <f>月度资金流!AA8</f>
        <v>0</v>
      </c>
      <c r="P8" s="18">
        <f>月度资金流!AC8</f>
        <v>4543.6046511627937</v>
      </c>
      <c r="Q8" s="23">
        <f>月度资金流!AD8</f>
        <v>5000</v>
      </c>
      <c r="R8" s="18">
        <f>月度资金流!AE8</f>
        <v>50000</v>
      </c>
      <c r="S8" s="21">
        <f>月度资金流!AF8</f>
        <v>46800</v>
      </c>
      <c r="T8" s="18">
        <f>月度资金流!AI8</f>
        <v>125</v>
      </c>
    </row>
    <row r="9" spans="1:20" ht="15" customHeight="1">
      <c r="A9" s="15">
        <f>月度资金流!A9</f>
        <v>46296</v>
      </c>
      <c r="B9" t="str">
        <f>月度资金流!B9</f>
        <v>策略一：消费贷款+买基金</v>
      </c>
      <c r="C9" s="16" t="str">
        <f>IF(D9&gt;0,"买入 "&amp;ROUND(D9,0)&amp;" 股，支付 HK$"&amp;ROUND(E9,0)&amp;"，找零 HK$"&amp;ROUND(F9,0)&amp;"；分红 HK$"&amp;ROUND(G9,0),IF(H9&gt;0,"卖出 "&amp;ROUND(H9,0)&amp;" 股，净收 HK$"&amp;ROUND(I9,0)&amp;"；内部池支付 HK$"&amp;ROUND(N9,0)&amp;"；分红 HK$"&amp;ROUND(G9,0),IF(M9&gt;0,"新贷款抵还 HK$"&amp;ROUND(M9,0)&amp;"；内部池支付 HK$"&amp;ROUND(N9,0)&amp;"；分红 HK$"&amp;ROUND(G9,0),IF(L9&gt;0,"应还 HK$"&amp;ROUND(L9,0)&amp;"；内部池支付 HK$"&amp;ROUND(N9,0)&amp;IF(O9&gt;0,"；外部池投入 HK$"&amp;ROUND(O9,0),"")&amp;"；分红 HK$"&amp;ROUND(G9,0),IF(G9&gt;0,"收到分红 HK$"&amp;ROUND(G9,0),"无需操作")))))</f>
        <v>买入 2500 股，支付 HK$25000，找零 HK$2209；分红 HK$250</v>
      </c>
      <c r="D9" s="17">
        <f>月度资金流!H9</f>
        <v>2500</v>
      </c>
      <c r="E9" s="18">
        <f>月度资金流!I9</f>
        <v>25000</v>
      </c>
      <c r="F9" s="18">
        <f>月度资金流!K9</f>
        <v>2209.3023255813969</v>
      </c>
      <c r="G9" s="19">
        <f>月度资金流!N9</f>
        <v>250</v>
      </c>
      <c r="H9" s="20">
        <f>月度资金流!W9</f>
        <v>0</v>
      </c>
      <c r="I9" s="18">
        <f>月度资金流!Z9</f>
        <v>0</v>
      </c>
      <c r="J9" s="21">
        <f>月度资金流!O9</f>
        <v>0</v>
      </c>
      <c r="K9" s="21">
        <f>月度资金流!P9</f>
        <v>120.12</v>
      </c>
      <c r="L9" s="18">
        <f>月度资金流!Q9</f>
        <v>139.67441860465118</v>
      </c>
      <c r="M9" s="18">
        <f>月度资金流!R9</f>
        <v>0</v>
      </c>
      <c r="N9" s="18">
        <f>月度资金流!U9</f>
        <v>139.67441860465118</v>
      </c>
      <c r="O9" s="22">
        <f>月度资金流!AA9</f>
        <v>0</v>
      </c>
      <c r="P9" s="18">
        <f>月度资金流!AC9</f>
        <v>6863.2325581395398</v>
      </c>
      <c r="Q9" s="23">
        <f>月度资金流!AD9</f>
        <v>7500</v>
      </c>
      <c r="R9" s="18">
        <f>月度资金流!AE9</f>
        <v>75000</v>
      </c>
      <c r="S9" s="21">
        <f>月度资金流!AF9</f>
        <v>70200</v>
      </c>
      <c r="T9" s="18">
        <f>月度资金流!AI9</f>
        <v>235.32558139535831</v>
      </c>
    </row>
    <row r="10" spans="1:20" ht="15" customHeight="1">
      <c r="A10" s="15">
        <f>月度资金流!A10</f>
        <v>46327</v>
      </c>
      <c r="B10" t="str">
        <f>月度资金流!B10</f>
        <v>策略一：消费贷款+买基金</v>
      </c>
      <c r="C10" s="16" t="str">
        <f>IF(D10&gt;0,"买入 "&amp;ROUND(D10,0)&amp;" 股，支付 HK$"&amp;ROUND(E10,0)&amp;"，找零 HK$"&amp;ROUND(F10,0)&amp;"；分红 HK$"&amp;ROUND(G10,0),IF(H10&gt;0,"卖出 "&amp;ROUND(H10,0)&amp;" 股，净收 HK$"&amp;ROUND(I10,0)&amp;"；内部池支付 HK$"&amp;ROUND(N10,0)&amp;"；分红 HK$"&amp;ROUND(G10,0),IF(M10&gt;0,"新贷款抵还 HK$"&amp;ROUND(M10,0)&amp;"；内部池支付 HK$"&amp;ROUND(N10,0)&amp;"；分红 HK$"&amp;ROUND(G10,0),IF(L10&gt;0,"应还 HK$"&amp;ROUND(L10,0)&amp;"；内部池支付 HK$"&amp;ROUND(N10,0)&amp;IF(O10&gt;0,"；外部池投入 HK$"&amp;ROUND(O10,0),"")&amp;"；分红 HK$"&amp;ROUND(G10,0),IF(G10&gt;0,"收到分红 HK$"&amp;ROUND(G10,0),"无需操作")))))</f>
        <v>买入 2500 股，支付 HK$25000，找零 HK$2209；分红 HK$375</v>
      </c>
      <c r="D10" s="17">
        <f>月度资金流!H10</f>
        <v>2500</v>
      </c>
      <c r="E10" s="18">
        <f>月度资金流!I10</f>
        <v>25000</v>
      </c>
      <c r="F10" s="18">
        <f>月度资金流!K10</f>
        <v>2209.3023255813969</v>
      </c>
      <c r="G10" s="19">
        <f>月度资金流!N10</f>
        <v>375</v>
      </c>
      <c r="H10" s="20">
        <f>月度资金流!W10</f>
        <v>0</v>
      </c>
      <c r="I10" s="18">
        <f>月度资金流!Z10</f>
        <v>0</v>
      </c>
      <c r="J10" s="21">
        <f>月度资金流!O10</f>
        <v>0</v>
      </c>
      <c r="K10" s="21">
        <f>月度资金流!P10</f>
        <v>186.62</v>
      </c>
      <c r="L10" s="18">
        <f>月度资金流!Q10</f>
        <v>217</v>
      </c>
      <c r="M10" s="18">
        <f>月度资金流!R10</f>
        <v>0</v>
      </c>
      <c r="N10" s="18">
        <f>月度资金流!U10</f>
        <v>217</v>
      </c>
      <c r="O10" s="22">
        <f>月度资金流!AA10</f>
        <v>0</v>
      </c>
      <c r="P10" s="18">
        <f>月度资金流!AC10</f>
        <v>9230.5348837209367</v>
      </c>
      <c r="Q10" s="23">
        <f>月度资金流!AD10</f>
        <v>10000</v>
      </c>
      <c r="R10" s="18">
        <f>月度资金流!AE10</f>
        <v>100000</v>
      </c>
      <c r="S10" s="21">
        <f>月度资金流!AF10</f>
        <v>93600</v>
      </c>
      <c r="T10" s="18">
        <f>月度资金流!AI10</f>
        <v>393.32558139534376</v>
      </c>
    </row>
    <row r="11" spans="1:20" ht="15" customHeight="1">
      <c r="A11" s="15">
        <f>月度资金流!A11</f>
        <v>46357</v>
      </c>
      <c r="B11" t="str">
        <f>月度资金流!B11</f>
        <v>策略一：消费贷款+买基金</v>
      </c>
      <c r="C11" s="16" t="str">
        <f>IF(D11&gt;0,"买入 "&amp;ROUND(D11,0)&amp;" 股，支付 HK$"&amp;ROUND(E11,0)&amp;"，找零 HK$"&amp;ROUND(F11,0)&amp;"；分红 HK$"&amp;ROUND(G11,0),IF(H11&gt;0,"卖出 "&amp;ROUND(H11,0)&amp;" 股，净收 HK$"&amp;ROUND(I11,0)&amp;"；内部池支付 HK$"&amp;ROUND(N11,0)&amp;"；分红 HK$"&amp;ROUND(G11,0),IF(M11&gt;0,"新贷款抵还 HK$"&amp;ROUND(M11,0)&amp;"；内部池支付 HK$"&amp;ROUND(N11,0)&amp;"；分红 HK$"&amp;ROUND(G11,0),IF(L11&gt;0,"应还 HK$"&amp;ROUND(L11,0)&amp;"；内部池支付 HK$"&amp;ROUND(N11,0)&amp;IF(O11&gt;0,"；外部池投入 HK$"&amp;ROUND(O11,0),"")&amp;"；分红 HK$"&amp;ROUND(G11,0),IF(G11&gt;0,"收到分红 HK$"&amp;ROUND(G11,0),"无需操作")))))</f>
        <v>买入 2500 股，支付 HK$25000，找零 HK$2209；分红 HK$500</v>
      </c>
      <c r="D11" s="17">
        <f>月度资金流!H11</f>
        <v>2500</v>
      </c>
      <c r="E11" s="18">
        <f>月度资金流!I11</f>
        <v>25000</v>
      </c>
      <c r="F11" s="18">
        <f>月度资金流!K11</f>
        <v>2209.3023255813969</v>
      </c>
      <c r="G11" s="19">
        <f>月度资金流!N11</f>
        <v>500</v>
      </c>
      <c r="H11" s="20">
        <f>月度资金流!W11</f>
        <v>0</v>
      </c>
      <c r="I11" s="18">
        <f>月度资金流!Z11</f>
        <v>0</v>
      </c>
      <c r="J11" s="21">
        <f>月度资金流!O11</f>
        <v>0</v>
      </c>
      <c r="K11" s="21">
        <f>月度资金流!P11</f>
        <v>248.82</v>
      </c>
      <c r="L11" s="18">
        <f>月度资金流!Q11</f>
        <v>289.32558139534882</v>
      </c>
      <c r="M11" s="18">
        <f>月度资金流!R11</f>
        <v>0</v>
      </c>
      <c r="N11" s="18">
        <f>月度资金流!U11</f>
        <v>289.32558139534882</v>
      </c>
      <c r="O11" s="22">
        <f>月度资金流!AA11</f>
        <v>0</v>
      </c>
      <c r="P11" s="18">
        <f>月度资金流!AC11</f>
        <v>11650.511627906984</v>
      </c>
      <c r="Q11" s="23">
        <f>月度资金流!AD11</f>
        <v>12500</v>
      </c>
      <c r="R11" s="18">
        <f>月度资金流!AE11</f>
        <v>125000</v>
      </c>
      <c r="S11" s="21">
        <f>月度资金流!AF11</f>
        <v>117000</v>
      </c>
      <c r="T11" s="18">
        <f>月度资金流!AI11</f>
        <v>604</v>
      </c>
    </row>
    <row r="12" spans="1:20" ht="15" customHeight="1">
      <c r="A12" s="15">
        <f>月度资金流!A12</f>
        <v>46388</v>
      </c>
      <c r="B12" t="str">
        <f>月度资金流!B12</f>
        <v>策略一：消费贷款+买基金</v>
      </c>
      <c r="C12" s="16" t="str">
        <f>IF(D12&gt;0,"买入 "&amp;ROUND(D12,0)&amp;" 股，支付 HK$"&amp;ROUND(E12,0)&amp;"，找零 HK$"&amp;ROUND(F12,0)&amp;"；分红 HK$"&amp;ROUND(G12,0),IF(H12&gt;0,"卖出 "&amp;ROUND(H12,0)&amp;" 股，净收 HK$"&amp;ROUND(I12,0)&amp;"；内部池支付 HK$"&amp;ROUND(N12,0)&amp;"；分红 HK$"&amp;ROUND(G12,0),IF(M12&gt;0,"新贷款抵还 HK$"&amp;ROUND(M12,0)&amp;"；内部池支付 HK$"&amp;ROUND(N12,0)&amp;"；分红 HK$"&amp;ROUND(G12,0),IF(L12&gt;0,"应还 HK$"&amp;ROUND(L12,0)&amp;"；内部池支付 HK$"&amp;ROUND(N12,0)&amp;IF(O12&gt;0,"；外部池投入 HK$"&amp;ROUND(O12,0),"")&amp;"；分红 HK$"&amp;ROUND(G12,0),IF(G12&gt;0,"收到分红 HK$"&amp;ROUND(G12,0),"无需操作")))))</f>
        <v>买入 2500 股，支付 HK$25000，找零 HK$2209；分红 HK$625</v>
      </c>
      <c r="D12" s="17">
        <f>月度资金流!H12</f>
        <v>2500</v>
      </c>
      <c r="E12" s="18">
        <f>月度资金流!I12</f>
        <v>25000</v>
      </c>
      <c r="F12" s="18">
        <f>月度资金流!K12</f>
        <v>2209.3023255813969</v>
      </c>
      <c r="G12" s="19">
        <f>月度资金流!N12</f>
        <v>625</v>
      </c>
      <c r="H12" s="20">
        <f>月度资金流!W12</f>
        <v>0</v>
      </c>
      <c r="I12" s="18">
        <f>月度资金流!Z12</f>
        <v>0</v>
      </c>
      <c r="J12" s="21">
        <f>月度资金流!O12</f>
        <v>0</v>
      </c>
      <c r="K12" s="21">
        <f>月度资金流!P12</f>
        <v>319.62</v>
      </c>
      <c r="L12" s="18">
        <f>月度资金流!Q12</f>
        <v>371.6511627906977</v>
      </c>
      <c r="M12" s="18">
        <f>月度资金流!R12</f>
        <v>0</v>
      </c>
      <c r="N12" s="18">
        <f>月度资金流!U12</f>
        <v>371.6511627906977</v>
      </c>
      <c r="O12" s="22">
        <f>月度资金流!AA12</f>
        <v>0</v>
      </c>
      <c r="P12" s="18">
        <f>月度资金流!AC12</f>
        <v>14113.162790697683</v>
      </c>
      <c r="Q12" s="23">
        <f>月度资金流!AD12</f>
        <v>15000</v>
      </c>
      <c r="R12" s="18">
        <f>月度资金流!AE12</f>
        <v>150000</v>
      </c>
      <c r="S12" s="21">
        <f>月度资金流!AF12</f>
        <v>140400</v>
      </c>
      <c r="T12" s="18">
        <f>月度资金流!AI12</f>
        <v>857.34883720931248</v>
      </c>
    </row>
    <row r="13" spans="1:20" ht="15" customHeight="1">
      <c r="A13" s="15">
        <f>月度资金流!A13</f>
        <v>46419</v>
      </c>
      <c r="B13" t="str">
        <f>月度资金流!B13</f>
        <v>策略一：消费贷款+买基金</v>
      </c>
      <c r="C13" s="16" t="str">
        <f>IF(D13&gt;0,"买入 "&amp;ROUND(D13,0)&amp;" 股，支付 HK$"&amp;ROUND(E13,0)&amp;"，找零 HK$"&amp;ROUND(F13,0)&amp;"；分红 HK$"&amp;ROUND(G13,0),IF(H13&gt;0,"卖出 "&amp;ROUND(H13,0)&amp;" 股，净收 HK$"&amp;ROUND(I13,0)&amp;"；内部池支付 HK$"&amp;ROUND(N13,0)&amp;"；分红 HK$"&amp;ROUND(G13,0),IF(M13&gt;0,"新贷款抵还 HK$"&amp;ROUND(M13,0)&amp;"；内部池支付 HK$"&amp;ROUND(N13,0)&amp;"；分红 HK$"&amp;ROUND(G13,0),IF(L13&gt;0,"应还 HK$"&amp;ROUND(L13,0)&amp;"；内部池支付 HK$"&amp;ROUND(N13,0)&amp;IF(O13&gt;0,"；外部池投入 HK$"&amp;ROUND(O13,0),"")&amp;"；分红 HK$"&amp;ROUND(G13,0),IF(G13&gt;0,"收到分红 HK$"&amp;ROUND(G13,0),"无需操作")))))</f>
        <v>买入 2500 股，支付 HK$25000，找零 HK$2209；分红 HK$750</v>
      </c>
      <c r="D13" s="17">
        <f>月度资金流!H13</f>
        <v>2500</v>
      </c>
      <c r="E13" s="18">
        <f>月度资金流!I13</f>
        <v>25000</v>
      </c>
      <c r="F13" s="18">
        <f>月度资金流!K13</f>
        <v>2209.3023255813969</v>
      </c>
      <c r="G13" s="19">
        <f>月度资金流!N13</f>
        <v>750</v>
      </c>
      <c r="H13" s="20">
        <f>月度资金流!W13</f>
        <v>0</v>
      </c>
      <c r="I13" s="18">
        <f>月度资金流!Z13</f>
        <v>0</v>
      </c>
      <c r="J13" s="21">
        <f>月度资金流!O13</f>
        <v>0</v>
      </c>
      <c r="K13" s="21">
        <f>月度资金流!P13</f>
        <v>388.27</v>
      </c>
      <c r="L13" s="18">
        <f>月度资金流!Q13</f>
        <v>451.47674418604652</v>
      </c>
      <c r="M13" s="18">
        <f>月度资金流!R13</f>
        <v>0</v>
      </c>
      <c r="N13" s="18">
        <f>月度资金流!U13</f>
        <v>451.47674418604652</v>
      </c>
      <c r="O13" s="22">
        <f>月度资金流!AA13</f>
        <v>0</v>
      </c>
      <c r="P13" s="18">
        <f>月度资金流!AC13</f>
        <v>16620.988372093034</v>
      </c>
      <c r="Q13" s="23">
        <f>月度资金流!AD13</f>
        <v>17500</v>
      </c>
      <c r="R13" s="18">
        <f>月度资金流!AE13</f>
        <v>175000</v>
      </c>
      <c r="S13" s="21">
        <f>月度资金流!AF13</f>
        <v>163800</v>
      </c>
      <c r="T13" s="18">
        <f>月度资金流!AI13</f>
        <v>1155.8720930232666</v>
      </c>
    </row>
    <row r="14" spans="1:20" ht="15" customHeight="1">
      <c r="A14" s="15">
        <f>月度资金流!A14</f>
        <v>46447</v>
      </c>
      <c r="B14" t="str">
        <f>月度资金流!B14</f>
        <v>策略一：消费贷款+买基金</v>
      </c>
      <c r="C14" s="16" t="str">
        <f>IF(D14&gt;0,"买入 "&amp;ROUND(D14,0)&amp;" 股，支付 HK$"&amp;ROUND(E14,0)&amp;"，找零 HK$"&amp;ROUND(F14,0)&amp;"；分红 HK$"&amp;ROUND(G14,0),IF(H14&gt;0,"卖出 "&amp;ROUND(H14,0)&amp;" 股，净收 HK$"&amp;ROUND(I14,0)&amp;"；内部池支付 HK$"&amp;ROUND(N14,0)&amp;"；分红 HK$"&amp;ROUND(G14,0),IF(M14&gt;0,"新贷款抵还 HK$"&amp;ROUND(M14,0)&amp;"；内部池支付 HK$"&amp;ROUND(N14,0)&amp;"；分红 HK$"&amp;ROUND(G14,0),IF(L14&gt;0,"应还 HK$"&amp;ROUND(L14,0)&amp;"；内部池支付 HK$"&amp;ROUND(N14,0)&amp;IF(O14&gt;0,"；外部池投入 HK$"&amp;ROUND(O14,0),"")&amp;"；分红 HK$"&amp;ROUND(G14,0),IF(G14&gt;0,"收到分红 HK$"&amp;ROUND(G14,0),"无需操作")))))</f>
        <v>买入 2500 股，支付 HK$25000，找零 HK$2209；分红 HK$875</v>
      </c>
      <c r="D14" s="17">
        <f>月度资金流!H14</f>
        <v>2500</v>
      </c>
      <c r="E14" s="18">
        <f>月度资金流!I14</f>
        <v>25000</v>
      </c>
      <c r="F14" s="18">
        <f>月度资金流!K14</f>
        <v>2209.3023255813969</v>
      </c>
      <c r="G14" s="19">
        <f>月度资金流!N14</f>
        <v>875</v>
      </c>
      <c r="H14" s="20">
        <f>月度资金流!W14</f>
        <v>0</v>
      </c>
      <c r="I14" s="18">
        <f>月度资金流!Z14</f>
        <v>0</v>
      </c>
      <c r="J14" s="21">
        <f>月度资金流!O14</f>
        <v>0</v>
      </c>
      <c r="K14" s="21">
        <f>月度资金流!P14</f>
        <v>416.13</v>
      </c>
      <c r="L14" s="18">
        <f>月度资金流!Q14</f>
        <v>483.87209302325584</v>
      </c>
      <c r="M14" s="18">
        <f>月度资金流!R14</f>
        <v>0</v>
      </c>
      <c r="N14" s="18">
        <f>月度资金流!U14</f>
        <v>483.87209302325584</v>
      </c>
      <c r="O14" s="22">
        <f>月度资金流!AA14</f>
        <v>0</v>
      </c>
      <c r="P14" s="18">
        <f>月度资金流!AC14</f>
        <v>19221.418604651175</v>
      </c>
      <c r="Q14" s="23">
        <f>月度资金流!AD14</f>
        <v>20000</v>
      </c>
      <c r="R14" s="18">
        <f>月度资金流!AE14</f>
        <v>200000</v>
      </c>
      <c r="S14" s="21">
        <f>月度资金流!AF14</f>
        <v>187200</v>
      </c>
      <c r="T14" s="18">
        <f>月度资金流!AI14</f>
        <v>1547</v>
      </c>
    </row>
    <row r="15" spans="1:20" ht="15" customHeight="1">
      <c r="A15" s="15">
        <f>月度资金流!A15</f>
        <v>46478</v>
      </c>
      <c r="B15" t="str">
        <f>月度资金流!B15</f>
        <v>策略一：消费贷款+买基金</v>
      </c>
      <c r="C15" s="16" t="str">
        <f>IF(D15&gt;0,"买入 "&amp;ROUND(D15,0)&amp;" 股，支付 HK$"&amp;ROUND(E15,0)&amp;"，找零 HK$"&amp;ROUND(F15,0)&amp;"；分红 HK$"&amp;ROUND(G15,0),IF(H15&gt;0,"卖出 "&amp;ROUND(H15,0)&amp;" 股，净收 HK$"&amp;ROUND(I15,0)&amp;"；内部池支付 HK$"&amp;ROUND(N15,0)&amp;"；分红 HK$"&amp;ROUND(G15,0),IF(M15&gt;0,"新贷款抵还 HK$"&amp;ROUND(M15,0)&amp;"；内部池支付 HK$"&amp;ROUND(N15,0)&amp;"；分红 HK$"&amp;ROUND(G15,0),IF(L15&gt;0,"应还 HK$"&amp;ROUND(L15,0)&amp;"；内部池支付 HK$"&amp;ROUND(N15,0)&amp;IF(O15&gt;0,"；外部池投入 HK$"&amp;ROUND(O15,0),"")&amp;"；分红 HK$"&amp;ROUND(G15,0),IF(G15&gt;0,"收到分红 HK$"&amp;ROUND(G15,0),"无需操作")))))</f>
        <v>买入 2500 股，支付 HK$25000，找零 HK$2209；分红 HK$1000</v>
      </c>
      <c r="D15" s="17">
        <f>月度资金流!H15</f>
        <v>2500</v>
      </c>
      <c r="E15" s="18">
        <f>月度资金流!I15</f>
        <v>25000</v>
      </c>
      <c r="F15" s="18">
        <f>月度资金流!K15</f>
        <v>2209.3023255813969</v>
      </c>
      <c r="G15" s="19">
        <f>月度资金流!N15</f>
        <v>1000</v>
      </c>
      <c r="H15" s="20">
        <f>月度资金流!W15</f>
        <v>0</v>
      </c>
      <c r="I15" s="18">
        <f>月度资金流!Z15</f>
        <v>0</v>
      </c>
      <c r="J15" s="21">
        <f>月度资金流!O15</f>
        <v>0</v>
      </c>
      <c r="K15" s="21">
        <f>月度资金流!P15</f>
        <v>514.83000000000004</v>
      </c>
      <c r="L15" s="18">
        <f>月度资金流!Q15</f>
        <v>598.63953488372101</v>
      </c>
      <c r="M15" s="18">
        <f>月度资金流!R15</f>
        <v>0</v>
      </c>
      <c r="N15" s="18">
        <f>月度资金流!U15</f>
        <v>598.63953488372101</v>
      </c>
      <c r="O15" s="22">
        <f>月度资金流!AA15</f>
        <v>0</v>
      </c>
      <c r="P15" s="18">
        <f>月度资金流!AC15</f>
        <v>21832.08139534885</v>
      </c>
      <c r="Q15" s="23">
        <f>月度资金流!AD15</f>
        <v>22500</v>
      </c>
      <c r="R15" s="18">
        <f>月度资金流!AE15</f>
        <v>225000</v>
      </c>
      <c r="S15" s="21">
        <f>月度资金流!AF15</f>
        <v>210600</v>
      </c>
      <c r="T15" s="18">
        <f>月度资金流!AI15</f>
        <v>1948.3604651163041</v>
      </c>
    </row>
    <row r="16" spans="1:20" ht="15" customHeight="1">
      <c r="A16" s="15">
        <f>月度资金流!A16</f>
        <v>46508</v>
      </c>
      <c r="B16" t="str">
        <f>月度资金流!B16</f>
        <v>策略一：消费贷款+买基金</v>
      </c>
      <c r="C16" s="16" t="str">
        <f>IF(D16&gt;0,"买入 "&amp;ROUND(D16,0)&amp;" 股，支付 HK$"&amp;ROUND(E16,0)&amp;"，找零 HK$"&amp;ROUND(F16,0)&amp;"；分红 HK$"&amp;ROUND(G16,0),IF(H16&gt;0,"卖出 "&amp;ROUND(H16,0)&amp;" 股，净收 HK$"&amp;ROUND(I16,0)&amp;"；内部池支付 HK$"&amp;ROUND(N16,0)&amp;"；分红 HK$"&amp;ROUND(G16,0),IF(M16&gt;0,"新贷款抵还 HK$"&amp;ROUND(M16,0)&amp;"；内部池支付 HK$"&amp;ROUND(N16,0)&amp;"；分红 HK$"&amp;ROUND(G16,0),IF(L16&gt;0,"应还 HK$"&amp;ROUND(L16,0)&amp;"；内部池支付 HK$"&amp;ROUND(N16,0)&amp;IF(O16&gt;0,"；外部池投入 HK$"&amp;ROUND(O16,0),"")&amp;"；分红 HK$"&amp;ROUND(G16,0),IF(G16&gt;0,"收到分红 HK$"&amp;ROUND(G16,0),"无需操作")))))</f>
        <v>买入 2500 股，支付 HK$25000，找零 HK$2209；分红 HK$1125</v>
      </c>
      <c r="D16" s="17">
        <f>月度资金流!H16</f>
        <v>2500</v>
      </c>
      <c r="E16" s="18">
        <f>月度资金流!I16</f>
        <v>25000</v>
      </c>
      <c r="F16" s="18">
        <f>月度资金流!K16</f>
        <v>2209.3023255813969</v>
      </c>
      <c r="G16" s="19">
        <f>月度资金流!N16</f>
        <v>1125</v>
      </c>
      <c r="H16" s="20">
        <f>月度资金流!W16</f>
        <v>0</v>
      </c>
      <c r="I16" s="18">
        <f>月度资金流!Z16</f>
        <v>0</v>
      </c>
      <c r="J16" s="21">
        <f>月度资金流!O16</f>
        <v>0</v>
      </c>
      <c r="K16" s="21">
        <f>月度资金流!P16</f>
        <v>570.57000000000005</v>
      </c>
      <c r="L16" s="18">
        <f>月度资金流!Q16</f>
        <v>663.45348837209315</v>
      </c>
      <c r="M16" s="18">
        <f>月度资金流!R16</f>
        <v>0</v>
      </c>
      <c r="N16" s="18">
        <f>月度资金流!U16</f>
        <v>663.45348837209315</v>
      </c>
      <c r="O16" s="22">
        <f>月度资金流!AA16</f>
        <v>0</v>
      </c>
      <c r="P16" s="18">
        <f>月度资金流!AC16</f>
        <v>24502.930232558156</v>
      </c>
      <c r="Q16" s="23">
        <f>月度资金流!AD16</f>
        <v>25000</v>
      </c>
      <c r="R16" s="18">
        <f>月度资金流!AE16</f>
        <v>250000</v>
      </c>
      <c r="S16" s="21">
        <f>月度资金流!AF16</f>
        <v>234000</v>
      </c>
      <c r="T16" s="18">
        <f>月度资金流!AI16</f>
        <v>2409.9069767441833</v>
      </c>
    </row>
    <row r="17" spans="1:20" ht="15" customHeight="1">
      <c r="A17" s="15">
        <f>月度资金流!A17</f>
        <v>46539</v>
      </c>
      <c r="B17" t="str">
        <f>月度资金流!B17</f>
        <v>策略一：消费贷款+买基金</v>
      </c>
      <c r="C17" s="16" t="str">
        <f>IF(D17&gt;0,"买入 "&amp;ROUND(D17,0)&amp;" 股，支付 HK$"&amp;ROUND(E17,0)&amp;"，找零 HK$"&amp;ROUND(F17,0)&amp;"；分红 HK$"&amp;ROUND(G17,0),IF(H17&gt;0,"卖出 "&amp;ROUND(H17,0)&amp;" 股，净收 HK$"&amp;ROUND(I17,0)&amp;"；内部池支付 HK$"&amp;ROUND(N17,0)&amp;"；分红 HK$"&amp;ROUND(G17,0),IF(M17&gt;0,"新贷款抵还 HK$"&amp;ROUND(M17,0)&amp;"；内部池支付 HK$"&amp;ROUND(N17,0)&amp;"；分红 HK$"&amp;ROUND(G17,0),IF(L17&gt;0,"应还 HK$"&amp;ROUND(L17,0)&amp;"；内部池支付 HK$"&amp;ROUND(N17,0)&amp;IF(O17&gt;0,"；外部池投入 HK$"&amp;ROUND(O17,0),"")&amp;"；分红 HK$"&amp;ROUND(G17,0),IF(G17&gt;0,"收到分红 HK$"&amp;ROUND(G17,0),"无需操作")))))</f>
        <v>买入 2500 股，支付 HK$25000，找零 HK$2209；分红 HK$1250</v>
      </c>
      <c r="D17" s="17">
        <f>月度资金流!H17</f>
        <v>2500</v>
      </c>
      <c r="E17" s="18">
        <f>月度资金流!I17</f>
        <v>25000</v>
      </c>
      <c r="F17" s="18">
        <f>月度资金流!K17</f>
        <v>2209.3023255813969</v>
      </c>
      <c r="G17" s="19">
        <f>月度资金流!N17</f>
        <v>1250</v>
      </c>
      <c r="H17" s="20">
        <f>月度资金流!W17</f>
        <v>0</v>
      </c>
      <c r="I17" s="18">
        <f>月度资金流!Z17</f>
        <v>0</v>
      </c>
      <c r="J17" s="21">
        <f>月度资金流!O17</f>
        <v>0</v>
      </c>
      <c r="K17" s="21">
        <f>月度资金流!P17</f>
        <v>652.12</v>
      </c>
      <c r="L17" s="18">
        <f>月度资金流!Q17</f>
        <v>758.27906976744191</v>
      </c>
      <c r="M17" s="18">
        <f>月度资金流!R17</f>
        <v>0</v>
      </c>
      <c r="N17" s="18">
        <f>月度资金流!U17</f>
        <v>758.27906976744191</v>
      </c>
      <c r="O17" s="22">
        <f>月度资金流!AA17</f>
        <v>0</v>
      </c>
      <c r="P17" s="18">
        <f>月度资金流!AC17</f>
        <v>27203.95348837211</v>
      </c>
      <c r="Q17" s="23">
        <f>月度资金流!AD17</f>
        <v>27500</v>
      </c>
      <c r="R17" s="18">
        <f>月度资金流!AE17</f>
        <v>275000</v>
      </c>
      <c r="S17" s="21">
        <f>月度资金流!AF17</f>
        <v>257400</v>
      </c>
      <c r="T17" s="18">
        <f>月度资金流!AI17</f>
        <v>2901.6279069767334</v>
      </c>
    </row>
    <row r="18" spans="1:20" ht="15" customHeight="1">
      <c r="A18" s="15">
        <f>月度资金流!A18</f>
        <v>46569</v>
      </c>
      <c r="B18" t="str">
        <f>月度资金流!B18</f>
        <v>策略一：消费贷款+买基金</v>
      </c>
      <c r="C18" s="16" t="str">
        <f>IF(D18&gt;0,"买入 "&amp;ROUND(D18,0)&amp;" 股，支付 HK$"&amp;ROUND(E18,0)&amp;"，找零 HK$"&amp;ROUND(F18,0)&amp;"；分红 HK$"&amp;ROUND(G18,0),IF(H18&gt;0,"卖出 "&amp;ROUND(H18,0)&amp;" 股，净收 HK$"&amp;ROUND(I18,0)&amp;"；内部池支付 HK$"&amp;ROUND(N18,0)&amp;"；分红 HK$"&amp;ROUND(G18,0),IF(M18&gt;0,"新贷款抵还 HK$"&amp;ROUND(M18,0)&amp;"；内部池支付 HK$"&amp;ROUND(N18,0)&amp;"；分红 HK$"&amp;ROUND(G18,0),IF(L18&gt;0,"应还 HK$"&amp;ROUND(L18,0)&amp;"；内部池支付 HK$"&amp;ROUND(N18,0)&amp;IF(O18&gt;0,"；外部池投入 HK$"&amp;ROUND(O18,0),"")&amp;"；分红 HK$"&amp;ROUND(G18,0),IF(G18&gt;0,"收到分红 HK$"&amp;ROUND(G18,0),"无需操作")))))</f>
        <v>买入 2500 股，支付 HK$25000，找零 HK$2209；分红 HK$1375</v>
      </c>
      <c r="D18" s="17">
        <f>月度资金流!H18</f>
        <v>2500</v>
      </c>
      <c r="E18" s="18">
        <f>月度资金流!I18</f>
        <v>25000</v>
      </c>
      <c r="F18" s="18">
        <f>月度资金流!K18</f>
        <v>2209.3023255813969</v>
      </c>
      <c r="G18" s="19">
        <f>月度资金流!N18</f>
        <v>1375</v>
      </c>
      <c r="H18" s="20">
        <f>月度资金流!W18</f>
        <v>0</v>
      </c>
      <c r="I18" s="18">
        <f>月度资金流!Z18</f>
        <v>0</v>
      </c>
      <c r="J18" s="21">
        <f>月度资金流!O18</f>
        <v>0</v>
      </c>
      <c r="K18" s="21">
        <f>月度资金流!P18</f>
        <v>699.2700000000001</v>
      </c>
      <c r="L18" s="18">
        <f>月度资金流!Q18</f>
        <v>813.10465116279079</v>
      </c>
      <c r="M18" s="18">
        <f>月度资金流!R18</f>
        <v>0</v>
      </c>
      <c r="N18" s="18">
        <f>月度资金流!U18</f>
        <v>813.10465116279079</v>
      </c>
      <c r="O18" s="22">
        <f>月度资金流!AA18</f>
        <v>0</v>
      </c>
      <c r="P18" s="18">
        <f>月度资金流!AC18</f>
        <v>29975.151162790717</v>
      </c>
      <c r="Q18" s="23">
        <f>月度资金流!AD18</f>
        <v>30000</v>
      </c>
      <c r="R18" s="18">
        <f>月度资金流!AE18</f>
        <v>300000</v>
      </c>
      <c r="S18" s="21">
        <f>月度资金流!AF18</f>
        <v>280800</v>
      </c>
      <c r="T18" s="18">
        <f>月度资金流!AI18</f>
        <v>3463.5232558139833</v>
      </c>
    </row>
    <row r="19" spans="1:20" ht="15" customHeight="1">
      <c r="A19" s="15">
        <f>月度资金流!A19</f>
        <v>46600</v>
      </c>
      <c r="B19" t="str">
        <f>月度资金流!B19</f>
        <v>策略二：新贷偿还旧贷</v>
      </c>
      <c r="C19" s="16" t="str">
        <f>IF(D19&gt;0,"买入 "&amp;ROUND(D19,0)&amp;" 股，支付 HK$"&amp;ROUND(E19,0)&amp;"，找零 HK$"&amp;ROUND(F19,0)&amp;"；分红 HK$"&amp;ROUND(G19,0),IF(H19&gt;0,"卖出 "&amp;ROUND(H19,0)&amp;" 股，净收 HK$"&amp;ROUND(I19,0)&amp;"；内部池支付 HK$"&amp;ROUND(N19,0)&amp;"；分红 HK$"&amp;ROUND(G19,0),IF(M19&gt;0,"新贷款抵还 HK$"&amp;ROUND(M19,0)&amp;"；内部池支付 HK$"&amp;ROUND(N19,0)&amp;"；分红 HK$"&amp;ROUND(G19,0),IF(L19&gt;0,"应还 HK$"&amp;ROUND(L19,0)&amp;"；内部池支付 HK$"&amp;ROUND(N19,0)&amp;IF(O19&gt;0,"；外部池投入 HK$"&amp;ROUND(O19,0),"")&amp;"；分红 HK$"&amp;ROUND(G19,0),IF(G19&gt;0,"收到分红 HK$"&amp;ROUND(G19,0),"无需操作")))))</f>
        <v>新贷款抵还 HK$27209；内部池支付 HK$925；分红 HK$1500</v>
      </c>
      <c r="D19" s="17">
        <f>月度资金流!H19</f>
        <v>0</v>
      </c>
      <c r="E19" s="18">
        <f>月度资金流!I19</f>
        <v>0</v>
      </c>
      <c r="F19" s="18">
        <f>月度资金流!K19</f>
        <v>0</v>
      </c>
      <c r="G19" s="19">
        <f>月度资金流!N19</f>
        <v>1500</v>
      </c>
      <c r="H19" s="20">
        <f>月度资金流!W19</f>
        <v>0</v>
      </c>
      <c r="I19" s="18">
        <f>月度资金流!Z19</f>
        <v>0</v>
      </c>
      <c r="J19" s="21">
        <f>月度资金流!O19</f>
        <v>23400</v>
      </c>
      <c r="K19" s="21">
        <f>月度资金流!P19</f>
        <v>795.85</v>
      </c>
      <c r="L19" s="18">
        <f>月度资金流!Q19</f>
        <v>28134.70930232558</v>
      </c>
      <c r="M19" s="18">
        <f>月度资金流!R19</f>
        <v>27209.302325581397</v>
      </c>
      <c r="N19" s="18">
        <f>月度资金流!U19</f>
        <v>925.40697674418334</v>
      </c>
      <c r="O19" s="22">
        <f>月度资金流!AA19</f>
        <v>0</v>
      </c>
      <c r="P19" s="18">
        <f>月度资金流!AC19</f>
        <v>30549.744186046533</v>
      </c>
      <c r="Q19" s="23">
        <f>月度资金流!AD19</f>
        <v>30000</v>
      </c>
      <c r="R19" s="18">
        <f>月度资金流!AE19</f>
        <v>300000</v>
      </c>
      <c r="S19" s="21">
        <f>月度资金流!AF19</f>
        <v>280800</v>
      </c>
      <c r="T19" s="18">
        <f>月度资金流!AI19</f>
        <v>4038.1162790697999</v>
      </c>
    </row>
    <row r="20" spans="1:20" ht="15" customHeight="1">
      <c r="A20" s="15">
        <f>月度资金流!A20</f>
        <v>46631</v>
      </c>
      <c r="B20" t="str">
        <f>月度资金流!B20</f>
        <v>策略二：新贷偿还旧贷</v>
      </c>
      <c r="C20" s="16" t="str">
        <f>IF(D20&gt;0,"买入 "&amp;ROUND(D20,0)&amp;" 股，支付 HK$"&amp;ROUND(E20,0)&amp;"，找零 HK$"&amp;ROUND(F20,0)&amp;"；分红 HK$"&amp;ROUND(G20,0),IF(H20&gt;0,"卖出 "&amp;ROUND(H20,0)&amp;" 股，净收 HK$"&amp;ROUND(I20,0)&amp;"；内部池支付 HK$"&amp;ROUND(N20,0)&amp;"；分红 HK$"&amp;ROUND(G20,0),IF(M20&gt;0,"新贷款抵还 HK$"&amp;ROUND(M20,0)&amp;"；内部池支付 HK$"&amp;ROUND(N20,0)&amp;"；分红 HK$"&amp;ROUND(G20,0),IF(L20&gt;0,"应还 HK$"&amp;ROUND(L20,0)&amp;"；内部池支付 HK$"&amp;ROUND(N20,0)&amp;IF(O20&gt;0,"；外部池投入 HK$"&amp;ROUND(O20,0),"")&amp;"；分红 HK$"&amp;ROUND(G20,0),IF(G20&gt;0,"收到分红 HK$"&amp;ROUND(G20,0),"无需操作")))))</f>
        <v>新贷款抵还 HK$27209；内部池支付 HK$928；分红 HK$1500</v>
      </c>
      <c r="D20" s="17">
        <f>月度资金流!H20</f>
        <v>0</v>
      </c>
      <c r="E20" s="18">
        <f>月度资金流!I20</f>
        <v>0</v>
      </c>
      <c r="F20" s="18">
        <f>月度资金流!K20</f>
        <v>0</v>
      </c>
      <c r="G20" s="19">
        <f>月度资金流!N20</f>
        <v>1500</v>
      </c>
      <c r="H20" s="20">
        <f>月度资金流!W20</f>
        <v>0</v>
      </c>
      <c r="I20" s="18">
        <f>月度资金流!Z20</f>
        <v>0</v>
      </c>
      <c r="J20" s="21">
        <f>月度资金流!O20</f>
        <v>23400</v>
      </c>
      <c r="K20" s="21">
        <f>月度资金流!P20</f>
        <v>798</v>
      </c>
      <c r="L20" s="18">
        <f>月度资金流!Q20</f>
        <v>28137.20930232558</v>
      </c>
      <c r="M20" s="18">
        <f>月度资金流!R20</f>
        <v>27209.302325581397</v>
      </c>
      <c r="N20" s="18">
        <f>月度资金流!U20</f>
        <v>927.90697674418334</v>
      </c>
      <c r="O20" s="22">
        <f>月度资金流!AA20</f>
        <v>0</v>
      </c>
      <c r="P20" s="18">
        <f>月度资金流!AC20</f>
        <v>31121.83720930235</v>
      </c>
      <c r="Q20" s="23">
        <f>月度资金流!AD20</f>
        <v>30000</v>
      </c>
      <c r="R20" s="18">
        <f>月度资金流!AE20</f>
        <v>300000</v>
      </c>
      <c r="S20" s="21">
        <f>月度资金流!AF20</f>
        <v>280800</v>
      </c>
      <c r="T20" s="18">
        <f>月度资金流!AI20</f>
        <v>4610.2093023256166</v>
      </c>
    </row>
    <row r="21" spans="1:20" ht="15" customHeight="1">
      <c r="A21" s="15">
        <f>月度资金流!A21</f>
        <v>46661</v>
      </c>
      <c r="B21" t="str">
        <f>月度资金流!B21</f>
        <v>策略二：新贷偿还旧贷</v>
      </c>
      <c r="C21" s="16" t="str">
        <f>IF(D21&gt;0,"买入 "&amp;ROUND(D21,0)&amp;" 股，支付 HK$"&amp;ROUND(E21,0)&amp;"，找零 HK$"&amp;ROUND(F21,0)&amp;"；分红 HK$"&amp;ROUND(G21,0),IF(H21&gt;0,"卖出 "&amp;ROUND(H21,0)&amp;" 股，净收 HK$"&amp;ROUND(I21,0)&amp;"；内部池支付 HK$"&amp;ROUND(N21,0)&amp;"；分红 HK$"&amp;ROUND(G21,0),IF(M21&gt;0,"新贷款抵还 HK$"&amp;ROUND(M21,0)&amp;"；内部池支付 HK$"&amp;ROUND(N21,0)&amp;"；分红 HK$"&amp;ROUND(G21,0),IF(L21&gt;0,"应还 HK$"&amp;ROUND(L21,0)&amp;"；内部池支付 HK$"&amp;ROUND(N21,0)&amp;IF(O21&gt;0,"；外部池投入 HK$"&amp;ROUND(O21,0),"")&amp;"；分红 HK$"&amp;ROUND(G21,0),IF(G21&gt;0,"收到分红 HK$"&amp;ROUND(G21,0),"无需操作")))))</f>
        <v>新贷款抵还 HK$27209；内部池支付 HK$900；分红 HK$1500</v>
      </c>
      <c r="D21" s="17">
        <f>月度资金流!H21</f>
        <v>0</v>
      </c>
      <c r="E21" s="18">
        <f>月度资金流!I21</f>
        <v>0</v>
      </c>
      <c r="F21" s="18">
        <f>月度资金流!K21</f>
        <v>0</v>
      </c>
      <c r="G21" s="19">
        <f>月度资金流!N21</f>
        <v>1500</v>
      </c>
      <c r="H21" s="20">
        <f>月度资金流!W21</f>
        <v>0</v>
      </c>
      <c r="I21" s="18">
        <f>月度资金流!Z21</f>
        <v>0</v>
      </c>
      <c r="J21" s="21">
        <f>月度资金流!O21</f>
        <v>23400</v>
      </c>
      <c r="K21" s="21">
        <f>月度资金流!P21</f>
        <v>774.35000000000014</v>
      </c>
      <c r="L21" s="18">
        <f>月度资金流!Q21</f>
        <v>28109.70930232558</v>
      </c>
      <c r="M21" s="18">
        <f>月度资金流!R21</f>
        <v>27209.302325581397</v>
      </c>
      <c r="N21" s="18">
        <f>月度资金流!U21</f>
        <v>900.40697674418334</v>
      </c>
      <c r="O21" s="22">
        <f>月度资金流!AA21</f>
        <v>0</v>
      </c>
      <c r="P21" s="18">
        <f>月度资金流!AC21</f>
        <v>31721.430232558167</v>
      </c>
      <c r="Q21" s="23">
        <f>月度资金流!AD21</f>
        <v>30000</v>
      </c>
      <c r="R21" s="18">
        <f>月度资金流!AE21</f>
        <v>300000</v>
      </c>
      <c r="S21" s="21">
        <f>月度资金流!AF21</f>
        <v>280800</v>
      </c>
      <c r="T21" s="18">
        <f>月度资金流!AI21</f>
        <v>5209.8023255814333</v>
      </c>
    </row>
    <row r="22" spans="1:20" ht="15" customHeight="1">
      <c r="A22" s="15">
        <f>月度资金流!A22</f>
        <v>46692</v>
      </c>
      <c r="B22" t="str">
        <f>月度资金流!B22</f>
        <v>策略二：新贷偿还旧贷</v>
      </c>
      <c r="C22" s="16" t="str">
        <f>IF(D22&gt;0,"买入 "&amp;ROUND(D22,0)&amp;" 股，支付 HK$"&amp;ROUND(E22,0)&amp;"，找零 HK$"&amp;ROUND(F22,0)&amp;"；分红 HK$"&amp;ROUND(G22,0),IF(H22&gt;0,"卖出 "&amp;ROUND(H22,0)&amp;" 股，净收 HK$"&amp;ROUND(I22,0)&amp;"；内部池支付 HK$"&amp;ROUND(N22,0)&amp;"；分红 HK$"&amp;ROUND(G22,0),IF(M22&gt;0,"新贷款抵还 HK$"&amp;ROUND(M22,0)&amp;"；内部池支付 HK$"&amp;ROUND(N22,0)&amp;"；分红 HK$"&amp;ROUND(G22,0),IF(L22&gt;0,"应还 HK$"&amp;ROUND(L22,0)&amp;"；内部池支付 HK$"&amp;ROUND(N22,0)&amp;IF(O22&gt;0,"；外部池投入 HK$"&amp;ROUND(O22,0),"")&amp;"；分红 HK$"&amp;ROUND(G22,0),IF(G22&gt;0,"收到分红 HK$"&amp;ROUND(G22,0),"无需操作")))))</f>
        <v>新贷款抵还 HK$27209；内部池支付 HK$925；分红 HK$1500</v>
      </c>
      <c r="D22" s="17">
        <f>月度资金流!H22</f>
        <v>0</v>
      </c>
      <c r="E22" s="18">
        <f>月度资金流!I22</f>
        <v>0</v>
      </c>
      <c r="F22" s="18">
        <f>月度资金流!K22</f>
        <v>0</v>
      </c>
      <c r="G22" s="19">
        <f>月度资金流!N22</f>
        <v>1500</v>
      </c>
      <c r="H22" s="20">
        <f>月度资金流!W22</f>
        <v>0</v>
      </c>
      <c r="I22" s="18">
        <f>月度资金流!Z22</f>
        <v>0</v>
      </c>
      <c r="J22" s="21">
        <f>月度资金流!O22</f>
        <v>23400</v>
      </c>
      <c r="K22" s="21">
        <f>月度资金流!P22</f>
        <v>795.85</v>
      </c>
      <c r="L22" s="18">
        <f>月度资金流!Q22</f>
        <v>28134.70930232558</v>
      </c>
      <c r="M22" s="18">
        <f>月度资金流!R22</f>
        <v>27209.302325581397</v>
      </c>
      <c r="N22" s="18">
        <f>月度资金流!U22</f>
        <v>925.40697674418334</v>
      </c>
      <c r="O22" s="22">
        <f>月度资金流!AA22</f>
        <v>0</v>
      </c>
      <c r="P22" s="18">
        <f>月度资金流!AC22</f>
        <v>32296.023255813983</v>
      </c>
      <c r="Q22" s="23">
        <f>月度资金流!AD22</f>
        <v>30000</v>
      </c>
      <c r="R22" s="18">
        <f>月度资金流!AE22</f>
        <v>300000</v>
      </c>
      <c r="S22" s="21">
        <f>月度资金流!AF22</f>
        <v>280800</v>
      </c>
      <c r="T22" s="18">
        <f>月度资金流!AI22</f>
        <v>5784.3953488372499</v>
      </c>
    </row>
    <row r="23" spans="1:20" ht="15" customHeight="1">
      <c r="A23" s="15">
        <f>月度资金流!A23</f>
        <v>46722</v>
      </c>
      <c r="B23" t="str">
        <f>月度资金流!B23</f>
        <v>策略二：新贷偿还旧贷</v>
      </c>
      <c r="C23" s="16" t="str">
        <f>IF(D23&gt;0,"买入 "&amp;ROUND(D23,0)&amp;" 股，支付 HK$"&amp;ROUND(E23,0)&amp;"，找零 HK$"&amp;ROUND(F23,0)&amp;"；分红 HK$"&amp;ROUND(G23,0),IF(H23&gt;0,"卖出 "&amp;ROUND(H23,0)&amp;" 股，净收 HK$"&amp;ROUND(I23,0)&amp;"；内部池支付 HK$"&amp;ROUND(N23,0)&amp;"；分红 HK$"&amp;ROUND(G23,0),IF(M23&gt;0,"新贷款抵还 HK$"&amp;ROUND(M23,0)&amp;"；内部池支付 HK$"&amp;ROUND(N23,0)&amp;"；分红 HK$"&amp;ROUND(G23,0),IF(L23&gt;0,"应还 HK$"&amp;ROUND(L23,0)&amp;"；内部池支付 HK$"&amp;ROUND(N23,0)&amp;IF(O23&gt;0,"；外部池投入 HK$"&amp;ROUND(O23,0),"")&amp;"；分红 HK$"&amp;ROUND(G23,0),IF(G23&gt;0,"收到分红 HK$"&amp;ROUND(G23,0),"无需操作")))))</f>
        <v>新贷款抵还 HK$27209；内部池支付 HK$900；分红 HK$1500</v>
      </c>
      <c r="D23" s="17">
        <f>月度资金流!H23</f>
        <v>0</v>
      </c>
      <c r="E23" s="18">
        <f>月度资金流!I23</f>
        <v>0</v>
      </c>
      <c r="F23" s="18">
        <f>月度资金流!K23</f>
        <v>0</v>
      </c>
      <c r="G23" s="19">
        <f>月度资金流!N23</f>
        <v>1500</v>
      </c>
      <c r="H23" s="20">
        <f>月度资金流!W23</f>
        <v>0</v>
      </c>
      <c r="I23" s="18">
        <f>月度资金流!Z23</f>
        <v>0</v>
      </c>
      <c r="J23" s="21">
        <f>月度资金流!O23</f>
        <v>23400</v>
      </c>
      <c r="K23" s="21">
        <f>月度资金流!P23</f>
        <v>774.35000000000014</v>
      </c>
      <c r="L23" s="18">
        <f>月度资金流!Q23</f>
        <v>28109.70930232558</v>
      </c>
      <c r="M23" s="18">
        <f>月度资金流!R23</f>
        <v>27209.302325581397</v>
      </c>
      <c r="N23" s="18">
        <f>月度资金流!U23</f>
        <v>900.40697674418334</v>
      </c>
      <c r="O23" s="22">
        <f>月度资金流!AA23</f>
        <v>0</v>
      </c>
      <c r="P23" s="18">
        <f>月度资金流!AC23</f>
        <v>32895.6162790698</v>
      </c>
      <c r="Q23" s="23">
        <f>月度资金流!AD23</f>
        <v>30000</v>
      </c>
      <c r="R23" s="18">
        <f>月度资金流!AE23</f>
        <v>300000</v>
      </c>
      <c r="S23" s="21">
        <f>月度资金流!AF23</f>
        <v>280800</v>
      </c>
      <c r="T23" s="18">
        <f>月度资金流!AI23</f>
        <v>6383.9883720930666</v>
      </c>
    </row>
    <row r="24" spans="1:20" ht="15" customHeight="1">
      <c r="A24" s="15">
        <f>月度资金流!A24</f>
        <v>46753</v>
      </c>
      <c r="B24" t="str">
        <f>月度资金流!B24</f>
        <v>策略二：新贷偿还旧贷</v>
      </c>
      <c r="C24" s="16" t="str">
        <f>IF(D24&gt;0,"买入 "&amp;ROUND(D24,0)&amp;" 股，支付 HK$"&amp;ROUND(E24,0)&amp;"，找零 HK$"&amp;ROUND(F24,0)&amp;"；分红 HK$"&amp;ROUND(G24,0),IF(H24&gt;0,"卖出 "&amp;ROUND(H24,0)&amp;" 股，净收 HK$"&amp;ROUND(I24,0)&amp;"；内部池支付 HK$"&amp;ROUND(N24,0)&amp;"；分红 HK$"&amp;ROUND(G24,0),IF(M24&gt;0,"新贷款抵还 HK$"&amp;ROUND(M24,0)&amp;"；内部池支付 HK$"&amp;ROUND(N24,0)&amp;"；分红 HK$"&amp;ROUND(G24,0),IF(L24&gt;0,"应还 HK$"&amp;ROUND(L24,0)&amp;"；内部池支付 HK$"&amp;ROUND(N24,0)&amp;IF(O24&gt;0,"；外部池投入 HK$"&amp;ROUND(O24,0),"")&amp;"；分红 HK$"&amp;ROUND(G24,0),IF(G24&gt;0,"收到分红 HK$"&amp;ROUND(G24,0),"无需操作")))))</f>
        <v>新贷款抵还 HK$27209；内部池支付 HK$925；分红 HK$1500</v>
      </c>
      <c r="D24" s="17">
        <f>月度资金流!H24</f>
        <v>0</v>
      </c>
      <c r="E24" s="18">
        <f>月度资金流!I24</f>
        <v>0</v>
      </c>
      <c r="F24" s="18">
        <f>月度资金流!K24</f>
        <v>0</v>
      </c>
      <c r="G24" s="19">
        <f>月度资金流!N24</f>
        <v>1500</v>
      </c>
      <c r="H24" s="20">
        <f>月度资金流!W24</f>
        <v>0</v>
      </c>
      <c r="I24" s="18">
        <f>月度资金流!Z24</f>
        <v>0</v>
      </c>
      <c r="J24" s="21">
        <f>月度资金流!O24</f>
        <v>23400</v>
      </c>
      <c r="K24" s="21">
        <f>月度资金流!P24</f>
        <v>795.85</v>
      </c>
      <c r="L24" s="18">
        <f>月度资金流!Q24</f>
        <v>28134.70930232558</v>
      </c>
      <c r="M24" s="18">
        <f>月度资金流!R24</f>
        <v>27209.302325581397</v>
      </c>
      <c r="N24" s="18">
        <f>月度资金流!U24</f>
        <v>925.40697674418334</v>
      </c>
      <c r="O24" s="22">
        <f>月度资金流!AA24</f>
        <v>0</v>
      </c>
      <c r="P24" s="18">
        <f>月度资金流!AC24</f>
        <v>33470.209302325617</v>
      </c>
      <c r="Q24" s="23">
        <f>月度资金流!AD24</f>
        <v>30000</v>
      </c>
      <c r="R24" s="18">
        <f>月度资金流!AE24</f>
        <v>300000</v>
      </c>
      <c r="S24" s="21">
        <f>月度资金流!AF24</f>
        <v>280800</v>
      </c>
      <c r="T24" s="18">
        <f>月度资金流!AI24</f>
        <v>6958.5813953488832</v>
      </c>
    </row>
    <row r="25" spans="1:20" ht="15" customHeight="1">
      <c r="A25" s="15">
        <f>月度资金流!A25</f>
        <v>46784</v>
      </c>
      <c r="B25" t="str">
        <f>月度资金流!B25</f>
        <v>策略二：新贷偿还旧贷</v>
      </c>
      <c r="C25" s="16" t="str">
        <f>IF(D25&gt;0,"买入 "&amp;ROUND(D25,0)&amp;" 股，支付 HK$"&amp;ROUND(E25,0)&amp;"，找零 HK$"&amp;ROUND(F25,0)&amp;"；分红 HK$"&amp;ROUND(G25,0),IF(H25&gt;0,"卖出 "&amp;ROUND(H25,0)&amp;" 股，净收 HK$"&amp;ROUND(I25,0)&amp;"；内部池支付 HK$"&amp;ROUND(N25,0)&amp;"；分红 HK$"&amp;ROUND(G25,0),IF(M25&gt;0,"新贷款抵还 HK$"&amp;ROUND(M25,0)&amp;"；内部池支付 HK$"&amp;ROUND(N25,0)&amp;"；分红 HK$"&amp;ROUND(G25,0),IF(L25&gt;0,"应还 HK$"&amp;ROUND(L25,0)&amp;"；内部池支付 HK$"&amp;ROUND(N25,0)&amp;IF(O25&gt;0,"；外部池投入 HK$"&amp;ROUND(O25,0),"")&amp;"；分红 HK$"&amp;ROUND(G25,0),IF(G25&gt;0,"收到分红 HK$"&amp;ROUND(G25,0),"无需操作")))))</f>
        <v>新贷款抵还 HK$27209；内部池支付 HK$928；分红 HK$1500</v>
      </c>
      <c r="D25" s="17">
        <f>月度资金流!H25</f>
        <v>0</v>
      </c>
      <c r="E25" s="18">
        <f>月度资金流!I25</f>
        <v>0</v>
      </c>
      <c r="F25" s="18">
        <f>月度资金流!K25</f>
        <v>0</v>
      </c>
      <c r="G25" s="19">
        <f>月度资金流!N25</f>
        <v>1500</v>
      </c>
      <c r="H25" s="20">
        <f>月度资金流!W25</f>
        <v>0</v>
      </c>
      <c r="I25" s="18">
        <f>月度资金流!Z25</f>
        <v>0</v>
      </c>
      <c r="J25" s="21">
        <f>月度资金流!O25</f>
        <v>23400</v>
      </c>
      <c r="K25" s="21">
        <f>月度资金流!P25</f>
        <v>798</v>
      </c>
      <c r="L25" s="18">
        <f>月度资金流!Q25</f>
        <v>28137.20930232558</v>
      </c>
      <c r="M25" s="18">
        <f>月度资金流!R25</f>
        <v>27209.302325581397</v>
      </c>
      <c r="N25" s="18">
        <f>月度资金流!U25</f>
        <v>927.90697674418334</v>
      </c>
      <c r="O25" s="22">
        <f>月度资金流!AA25</f>
        <v>0</v>
      </c>
      <c r="P25" s="18">
        <f>月度资金流!AC25</f>
        <v>34042.302325581433</v>
      </c>
      <c r="Q25" s="23">
        <f>月度资金流!AD25</f>
        <v>30000</v>
      </c>
      <c r="R25" s="18">
        <f>月度资金流!AE25</f>
        <v>300000</v>
      </c>
      <c r="S25" s="21">
        <f>月度资金流!AF25</f>
        <v>280800</v>
      </c>
      <c r="T25" s="18">
        <f>月度资金流!AI25</f>
        <v>7530.6744186046999</v>
      </c>
    </row>
    <row r="26" spans="1:20" ht="15" customHeight="1">
      <c r="A26" s="15">
        <f>月度资金流!A26</f>
        <v>46813</v>
      </c>
      <c r="B26" t="str">
        <f>月度资金流!B26</f>
        <v>策略二：新贷偿还旧贷</v>
      </c>
      <c r="C26" s="16" t="str">
        <f>IF(D26&gt;0,"买入 "&amp;ROUND(D26,0)&amp;" 股，支付 HK$"&amp;ROUND(E26,0)&amp;"，找零 HK$"&amp;ROUND(F26,0)&amp;"；分红 HK$"&amp;ROUND(G26,0),IF(H26&gt;0,"卖出 "&amp;ROUND(H26,0)&amp;" 股，净收 HK$"&amp;ROUND(I26,0)&amp;"；内部池支付 HK$"&amp;ROUND(N26,0)&amp;"；分红 HK$"&amp;ROUND(G26,0),IF(M26&gt;0,"新贷款抵还 HK$"&amp;ROUND(M26,0)&amp;"；内部池支付 HK$"&amp;ROUND(N26,0)&amp;"；分红 HK$"&amp;ROUND(G26,0),IF(L26&gt;0,"应还 HK$"&amp;ROUND(L26,0)&amp;"；内部池支付 HK$"&amp;ROUND(N26,0)&amp;IF(O26&gt;0,"；外部池投入 HK$"&amp;ROUND(O26,0),"")&amp;"；分红 HK$"&amp;ROUND(G26,0),IF(G26&gt;0,"收到分红 HK$"&amp;ROUND(G26,0),"无需操作")))))</f>
        <v>新贷款抵还 HK$27209；内部池支付 HK$873；分红 HK$1500</v>
      </c>
      <c r="D26" s="17">
        <f>月度资金流!H26</f>
        <v>0</v>
      </c>
      <c r="E26" s="18">
        <f>月度资金流!I26</f>
        <v>0</v>
      </c>
      <c r="F26" s="18">
        <f>月度资金流!K26</f>
        <v>0</v>
      </c>
      <c r="G26" s="19">
        <f>月度资金流!N26</f>
        <v>1500</v>
      </c>
      <c r="H26" s="20">
        <f>月度资金流!W26</f>
        <v>0</v>
      </c>
      <c r="I26" s="18">
        <f>月度资金流!Z26</f>
        <v>0</v>
      </c>
      <c r="J26" s="21">
        <f>月度资金流!O26</f>
        <v>23400</v>
      </c>
      <c r="K26" s="21">
        <f>月度资金流!P26</f>
        <v>750.81</v>
      </c>
      <c r="L26" s="18">
        <f>月度资金流!Q26</f>
        <v>28082.337209302328</v>
      </c>
      <c r="M26" s="18">
        <f>月度资金流!R26</f>
        <v>27209.302325581397</v>
      </c>
      <c r="N26" s="18">
        <f>月度资金流!U26</f>
        <v>873.03488372093125</v>
      </c>
      <c r="O26" s="22">
        <f>月度资金流!AA26</f>
        <v>0</v>
      </c>
      <c r="P26" s="18">
        <f>月度资金流!AC26</f>
        <v>34669.267441860502</v>
      </c>
      <c r="Q26" s="23">
        <f>月度资金流!AD26</f>
        <v>30000</v>
      </c>
      <c r="R26" s="18">
        <f>月度资金流!AE26</f>
        <v>300000</v>
      </c>
      <c r="S26" s="21">
        <f>月度资金流!AF26</f>
        <v>280800</v>
      </c>
      <c r="T26" s="18">
        <f>月度资金流!AI26</f>
        <v>8157.6395348837832</v>
      </c>
    </row>
    <row r="27" spans="1:20" ht="15" customHeight="1">
      <c r="A27" s="15">
        <f>月度资金流!A27</f>
        <v>46844</v>
      </c>
      <c r="B27" t="str">
        <f>月度资金流!B27</f>
        <v>策略二：新贷偿还旧贷</v>
      </c>
      <c r="C27" s="16" t="str">
        <f>IF(D27&gt;0,"买入 "&amp;ROUND(D27,0)&amp;" 股，支付 HK$"&amp;ROUND(E27,0)&amp;"，找零 HK$"&amp;ROUND(F27,0)&amp;"；分红 HK$"&amp;ROUND(G27,0),IF(H27&gt;0,"卖出 "&amp;ROUND(H27,0)&amp;" 股，净收 HK$"&amp;ROUND(I27,0)&amp;"；内部池支付 HK$"&amp;ROUND(N27,0)&amp;"；分红 HK$"&amp;ROUND(G27,0),IF(M27&gt;0,"新贷款抵还 HK$"&amp;ROUND(M27,0)&amp;"；内部池支付 HK$"&amp;ROUND(N27,0)&amp;"；分红 HK$"&amp;ROUND(G27,0),IF(L27&gt;0,"应还 HK$"&amp;ROUND(L27,0)&amp;"；内部池支付 HK$"&amp;ROUND(N27,0)&amp;IF(O27&gt;0,"；外部池投入 HK$"&amp;ROUND(O27,0),"")&amp;"；分红 HK$"&amp;ROUND(G27,0),IF(G27&gt;0,"收到分红 HK$"&amp;ROUND(G27,0),"无需操作")))))</f>
        <v>新贷款抵还 HK$27209；内部池支付 HK$923；分红 HK$1500</v>
      </c>
      <c r="D27" s="17">
        <f>月度资金流!H27</f>
        <v>0</v>
      </c>
      <c r="E27" s="18">
        <f>月度资金流!I27</f>
        <v>0</v>
      </c>
      <c r="F27" s="18">
        <f>月度资金流!K27</f>
        <v>0</v>
      </c>
      <c r="G27" s="19">
        <f>月度资金流!N27</f>
        <v>1500</v>
      </c>
      <c r="H27" s="20">
        <f>月度资金流!W27</f>
        <v>0</v>
      </c>
      <c r="I27" s="18">
        <f>月度资金流!Z27</f>
        <v>0</v>
      </c>
      <c r="J27" s="21">
        <f>月度资金流!O27</f>
        <v>23400</v>
      </c>
      <c r="K27" s="21">
        <f>月度资金流!P27</f>
        <v>793.71</v>
      </c>
      <c r="L27" s="18">
        <f>月度资金流!Q27</f>
        <v>28132.220930232557</v>
      </c>
      <c r="M27" s="18">
        <f>月度资金流!R27</f>
        <v>27209.302325581397</v>
      </c>
      <c r="N27" s="18">
        <f>月度资金流!U27</f>
        <v>922.91860465116042</v>
      </c>
      <c r="O27" s="22">
        <f>月度资金流!AA27</f>
        <v>0</v>
      </c>
      <c r="P27" s="18">
        <f>月度资金流!AC27</f>
        <v>35246.348837209342</v>
      </c>
      <c r="Q27" s="23">
        <f>月度资金流!AD27</f>
        <v>30000</v>
      </c>
      <c r="R27" s="18">
        <f>月度资金流!AE27</f>
        <v>300000</v>
      </c>
      <c r="S27" s="21">
        <f>月度资金流!AF27</f>
        <v>280800</v>
      </c>
      <c r="T27" s="18">
        <f>月度资金流!AI27</f>
        <v>8734.7209302326082</v>
      </c>
    </row>
    <row r="28" spans="1:20" ht="15" customHeight="1">
      <c r="A28" s="15">
        <f>月度资金流!A28</f>
        <v>46874</v>
      </c>
      <c r="B28" t="str">
        <f>月度资金流!B28</f>
        <v>策略二：新贷偿还旧贷</v>
      </c>
      <c r="C28" s="16" t="str">
        <f>IF(D28&gt;0,"买入 "&amp;ROUND(D28,0)&amp;" 股，支付 HK$"&amp;ROUND(E28,0)&amp;"，找零 HK$"&amp;ROUND(F28,0)&amp;"；分红 HK$"&amp;ROUND(G28,0),IF(H28&gt;0,"卖出 "&amp;ROUND(H28,0)&amp;" 股，净收 HK$"&amp;ROUND(I28,0)&amp;"；内部池支付 HK$"&amp;ROUND(N28,0)&amp;"；分红 HK$"&amp;ROUND(G28,0),IF(M28&gt;0,"新贷款抵还 HK$"&amp;ROUND(M28,0)&amp;"；内部池支付 HK$"&amp;ROUND(N28,0)&amp;"；分红 HK$"&amp;ROUND(G28,0),IF(L28&gt;0,"应还 HK$"&amp;ROUND(L28,0)&amp;"；内部池支付 HK$"&amp;ROUND(N28,0)&amp;IF(O28&gt;0,"；外部池投入 HK$"&amp;ROUND(O28,0),"")&amp;"；分红 HK$"&amp;ROUND(G28,0),IF(G28&gt;0,"收到分红 HK$"&amp;ROUND(G28,0),"无需操作")))))</f>
        <v>新贷款抵还 HK$27209；内部池支付 HK$900；分红 HK$1500</v>
      </c>
      <c r="D28" s="17">
        <f>月度资金流!H28</f>
        <v>0</v>
      </c>
      <c r="E28" s="18">
        <f>月度资金流!I28</f>
        <v>0</v>
      </c>
      <c r="F28" s="18">
        <f>月度资金流!K28</f>
        <v>0</v>
      </c>
      <c r="G28" s="19">
        <f>月度资金流!N28</f>
        <v>1500</v>
      </c>
      <c r="H28" s="20">
        <f>月度资金流!W28</f>
        <v>0</v>
      </c>
      <c r="I28" s="18">
        <f>月度资金流!Z28</f>
        <v>0</v>
      </c>
      <c r="J28" s="21">
        <f>月度资金流!O28</f>
        <v>23400</v>
      </c>
      <c r="K28" s="21">
        <f>月度资金流!P28</f>
        <v>774.35000000000014</v>
      </c>
      <c r="L28" s="18">
        <f>月度资金流!Q28</f>
        <v>28109.70930232558</v>
      </c>
      <c r="M28" s="18">
        <f>月度资金流!R28</f>
        <v>27209.302325581397</v>
      </c>
      <c r="N28" s="18">
        <f>月度资金流!U28</f>
        <v>900.40697674418334</v>
      </c>
      <c r="O28" s="22">
        <f>月度资金流!AA28</f>
        <v>0</v>
      </c>
      <c r="P28" s="18">
        <f>月度资金流!AC28</f>
        <v>35845.941860465158</v>
      </c>
      <c r="Q28" s="23">
        <f>月度资金流!AD28</f>
        <v>30000</v>
      </c>
      <c r="R28" s="18">
        <f>月度资金流!AE28</f>
        <v>300000</v>
      </c>
      <c r="S28" s="21">
        <f>月度资金流!AF28</f>
        <v>280800</v>
      </c>
      <c r="T28" s="18">
        <f>月度资金流!AI28</f>
        <v>9334.3139534884249</v>
      </c>
    </row>
    <row r="29" spans="1:20" ht="15" customHeight="1">
      <c r="A29" s="15">
        <f>月度资金流!A29</f>
        <v>46905</v>
      </c>
      <c r="B29" t="str">
        <f>月度资金流!B29</f>
        <v>策略二：新贷偿还旧贷</v>
      </c>
      <c r="C29" s="16" t="str">
        <f>IF(D29&gt;0,"买入 "&amp;ROUND(D29,0)&amp;" 股，支付 HK$"&amp;ROUND(E29,0)&amp;"，找零 HK$"&amp;ROUND(F29,0)&amp;"；分红 HK$"&amp;ROUND(G29,0),IF(H29&gt;0,"卖出 "&amp;ROUND(H29,0)&amp;" 股，净收 HK$"&amp;ROUND(I29,0)&amp;"；内部池支付 HK$"&amp;ROUND(N29,0)&amp;"；分红 HK$"&amp;ROUND(G29,0),IF(M29&gt;0,"新贷款抵还 HK$"&amp;ROUND(M29,0)&amp;"；内部池支付 HK$"&amp;ROUND(N29,0)&amp;"；分红 HK$"&amp;ROUND(G29,0),IF(L29&gt;0,"应还 HK$"&amp;ROUND(L29,0)&amp;"；内部池支付 HK$"&amp;ROUND(N29,0)&amp;IF(O29&gt;0,"；外部池投入 HK$"&amp;ROUND(O29,0),"")&amp;"；分红 HK$"&amp;ROUND(G29,0),IF(G29&gt;0,"收到分红 HK$"&amp;ROUND(G29,0),"无需操作")))))</f>
        <v>新贷款抵还 HK$27209；内部池支付 HK$925；分红 HK$1500</v>
      </c>
      <c r="D29" s="17">
        <f>月度资金流!H29</f>
        <v>0</v>
      </c>
      <c r="E29" s="18">
        <f>月度资金流!I29</f>
        <v>0</v>
      </c>
      <c r="F29" s="18">
        <f>月度资金流!K29</f>
        <v>0</v>
      </c>
      <c r="G29" s="19">
        <f>月度资金流!N29</f>
        <v>1500</v>
      </c>
      <c r="H29" s="20">
        <f>月度资金流!W29</f>
        <v>0</v>
      </c>
      <c r="I29" s="18">
        <f>月度资金流!Z29</f>
        <v>0</v>
      </c>
      <c r="J29" s="21">
        <f>月度资金流!O29</f>
        <v>23400</v>
      </c>
      <c r="K29" s="21">
        <f>月度资金流!P29</f>
        <v>795.85</v>
      </c>
      <c r="L29" s="18">
        <f>月度资金流!Q29</f>
        <v>28134.70930232558</v>
      </c>
      <c r="M29" s="18">
        <f>月度资金流!R29</f>
        <v>27209.302325581397</v>
      </c>
      <c r="N29" s="18">
        <f>月度资金流!U29</f>
        <v>925.40697674418334</v>
      </c>
      <c r="O29" s="22">
        <f>月度资金流!AA29</f>
        <v>0</v>
      </c>
      <c r="P29" s="18">
        <f>月度资金流!AC29</f>
        <v>36420.534883720975</v>
      </c>
      <c r="Q29" s="23">
        <f>月度资金流!AD29</f>
        <v>30000</v>
      </c>
      <c r="R29" s="18">
        <f>月度资金流!AE29</f>
        <v>300000</v>
      </c>
      <c r="S29" s="21">
        <f>月度资金流!AF29</f>
        <v>280800</v>
      </c>
      <c r="T29" s="18">
        <f>月度资金流!AI29</f>
        <v>9908.9069767442415</v>
      </c>
    </row>
    <row r="30" spans="1:20" ht="15" customHeight="1">
      <c r="A30" s="15">
        <f>月度资金流!A30</f>
        <v>46935</v>
      </c>
      <c r="B30" t="str">
        <f>月度资金流!B30</f>
        <v>策略二：新贷偿还旧贷</v>
      </c>
      <c r="C30" s="16" t="str">
        <f>IF(D30&gt;0,"买入 "&amp;ROUND(D30,0)&amp;" 股，支付 HK$"&amp;ROUND(E30,0)&amp;"，找零 HK$"&amp;ROUND(F30,0)&amp;"；分红 HK$"&amp;ROUND(G30,0),IF(H30&gt;0,"卖出 "&amp;ROUND(H30,0)&amp;" 股，净收 HK$"&amp;ROUND(I30,0)&amp;"；内部池支付 HK$"&amp;ROUND(N30,0)&amp;"；分红 HK$"&amp;ROUND(G30,0),IF(M30&gt;0,"新贷款抵还 HK$"&amp;ROUND(M30,0)&amp;"；内部池支付 HK$"&amp;ROUND(N30,0)&amp;"；分红 HK$"&amp;ROUND(G30,0),IF(L30&gt;0,"应还 HK$"&amp;ROUND(L30,0)&amp;"；内部池支付 HK$"&amp;ROUND(N30,0)&amp;IF(O30&gt;0,"；外部池投入 HK$"&amp;ROUND(O30,0),"")&amp;"；分红 HK$"&amp;ROUND(G30,0),IF(G30&gt;0,"收到分红 HK$"&amp;ROUND(G30,0),"无需操作")))))</f>
        <v>新贷款抵还 HK$27209；内部池支付 HK$900；分红 HK$1500</v>
      </c>
      <c r="D30" s="17">
        <f>月度资金流!H30</f>
        <v>0</v>
      </c>
      <c r="E30" s="18">
        <f>月度资金流!I30</f>
        <v>0</v>
      </c>
      <c r="F30" s="18">
        <f>月度资金流!K30</f>
        <v>0</v>
      </c>
      <c r="G30" s="19">
        <f>月度资金流!N30</f>
        <v>1500</v>
      </c>
      <c r="H30" s="20">
        <f>月度资金流!W30</f>
        <v>0</v>
      </c>
      <c r="I30" s="18">
        <f>月度资金流!Z30</f>
        <v>0</v>
      </c>
      <c r="J30" s="21">
        <f>月度资金流!O30</f>
        <v>23400</v>
      </c>
      <c r="K30" s="21">
        <f>月度资金流!P30</f>
        <v>774.35000000000014</v>
      </c>
      <c r="L30" s="18">
        <f>月度资金流!Q30</f>
        <v>28109.70930232558</v>
      </c>
      <c r="M30" s="18">
        <f>月度资金流!R30</f>
        <v>27209.302325581397</v>
      </c>
      <c r="N30" s="18">
        <f>月度资金流!U30</f>
        <v>900.40697674418334</v>
      </c>
      <c r="O30" s="22">
        <f>月度资金流!AA30</f>
        <v>0</v>
      </c>
      <c r="P30" s="18">
        <f>月度资金流!AC30</f>
        <v>37020.127906976792</v>
      </c>
      <c r="Q30" s="23">
        <f>月度资金流!AD30</f>
        <v>30000</v>
      </c>
      <c r="R30" s="18">
        <f>月度资金流!AE30</f>
        <v>300000</v>
      </c>
      <c r="S30" s="21">
        <f>月度资金流!AF30</f>
        <v>280800</v>
      </c>
      <c r="T30" s="18">
        <f>月度资金流!AI30</f>
        <v>10508.500000000058</v>
      </c>
    </row>
    <row r="31" spans="1:20" ht="15" customHeight="1">
      <c r="A31" s="15">
        <f>月度资金流!A31</f>
        <v>46966</v>
      </c>
      <c r="B31" t="str">
        <f>月度资金流!B31</f>
        <v>策略三：卖基金偿还</v>
      </c>
      <c r="C31" s="16" t="str">
        <f>IF(D31&gt;0,"买入 "&amp;ROUND(D31,0)&amp;" 股，支付 HK$"&amp;ROUND(E31,0)&amp;"，找零 HK$"&amp;ROUND(F31,0)&amp;"；分红 HK$"&amp;ROUND(G31,0),IF(H31&gt;0,"卖出 "&amp;ROUND(H31,0)&amp;" 股，净收 HK$"&amp;ROUND(I31,0)&amp;"；内部池支付 HK$"&amp;ROUND(N31,0)&amp;"；分红 HK$"&amp;ROUND(G31,0),IF(M31&gt;0,"新贷款抵还 HK$"&amp;ROUND(M31,0)&amp;"；内部池支付 HK$"&amp;ROUND(N31,0)&amp;"；分红 HK$"&amp;ROUND(G31,0),IF(L31&gt;0,"应还 HK$"&amp;ROUND(L31,0)&amp;"；内部池支付 HK$"&amp;ROUND(N31,0)&amp;IF(O31&gt;0,"；外部池投入 HK$"&amp;ROUND(O31,0),"")&amp;"；分红 HK$"&amp;ROUND(G31,0),IF(G31&gt;0,"收到分红 HK$"&amp;ROUND(G31,0),"无需操作")))))</f>
        <v>应还 HK$28135；内部池支付 HK$28135；分红 HK$1500</v>
      </c>
      <c r="D31" s="17">
        <f>月度资金流!H31</f>
        <v>0</v>
      </c>
      <c r="E31" s="18">
        <f>月度资金流!I31</f>
        <v>0</v>
      </c>
      <c r="F31" s="18">
        <f>月度资金流!K31</f>
        <v>0</v>
      </c>
      <c r="G31" s="19">
        <f>月度资金流!N31</f>
        <v>1500</v>
      </c>
      <c r="H31" s="20">
        <f>月度资金流!W31</f>
        <v>0</v>
      </c>
      <c r="I31" s="18">
        <f>月度资金流!Z31</f>
        <v>0</v>
      </c>
      <c r="J31" s="21">
        <f>月度资金流!O31</f>
        <v>23400</v>
      </c>
      <c r="K31" s="21">
        <f>月度资金流!P31</f>
        <v>795.85</v>
      </c>
      <c r="L31" s="18">
        <f>月度资金流!Q31</f>
        <v>28134.70930232558</v>
      </c>
      <c r="M31" s="18">
        <f>月度资金流!R31</f>
        <v>0</v>
      </c>
      <c r="N31" s="18">
        <f>月度资金流!U31</f>
        <v>28134.70930232558</v>
      </c>
      <c r="O31" s="22">
        <f>月度资金流!AA31</f>
        <v>0</v>
      </c>
      <c r="P31" s="18">
        <f>月度资金流!AC31</f>
        <v>10385.418604651211</v>
      </c>
      <c r="Q31" s="23">
        <f>月度资金流!AD31</f>
        <v>30000</v>
      </c>
      <c r="R31" s="18">
        <f>月度资金流!AE31</f>
        <v>300000</v>
      </c>
      <c r="S31" s="21">
        <f>月度资金流!AF31</f>
        <v>257400</v>
      </c>
      <c r="T31" s="18">
        <f>月度资金流!AI31</f>
        <v>11083.093023255875</v>
      </c>
    </row>
    <row r="32" spans="1:20" ht="15" customHeight="1">
      <c r="A32" s="15">
        <f>月度资金流!A32</f>
        <v>46997</v>
      </c>
      <c r="B32" t="str">
        <f>月度资金流!B32</f>
        <v>策略三：卖基金偿还</v>
      </c>
      <c r="C32" s="16" t="str">
        <f>IF(D32&gt;0,"买入 "&amp;ROUND(D32,0)&amp;" 股，支付 HK$"&amp;ROUND(E32,0)&amp;"，找零 HK$"&amp;ROUND(F32,0)&amp;"；分红 HK$"&amp;ROUND(G32,0),IF(H32&gt;0,"卖出 "&amp;ROUND(H32,0)&amp;" 股，净收 HK$"&amp;ROUND(I32,0)&amp;"；内部池支付 HK$"&amp;ROUND(N32,0)&amp;"；分红 HK$"&amp;ROUND(G32,0),IF(M32&gt;0,"新贷款抵还 HK$"&amp;ROUND(M32,0)&amp;"；内部池支付 HK$"&amp;ROUND(N32,0)&amp;"；分红 HK$"&amp;ROUND(G32,0),IF(L32&gt;0,"应还 HK$"&amp;ROUND(L32,0)&amp;"；内部池支付 HK$"&amp;ROUND(N32,0)&amp;IF(O32&gt;0,"；外部池投入 HK$"&amp;ROUND(O32,0),"")&amp;"；分红 HK$"&amp;ROUND(G32,0),IF(G32&gt;0,"收到分红 HK$"&amp;ROUND(G32,0),"无需操作")))))</f>
        <v>卖出 2000 股，净收 HK$20000；内部池支付 HK$11885；分红 HK$1500</v>
      </c>
      <c r="D32" s="17">
        <f>月度资金流!H32</f>
        <v>0</v>
      </c>
      <c r="E32" s="18">
        <f>月度资金流!I32</f>
        <v>0</v>
      </c>
      <c r="F32" s="18">
        <f>月度资金流!K32</f>
        <v>0</v>
      </c>
      <c r="G32" s="19">
        <f>月度资金流!N32</f>
        <v>1500</v>
      </c>
      <c r="H32" s="20">
        <f>月度资金流!W32</f>
        <v>2000</v>
      </c>
      <c r="I32" s="18">
        <f>月度资金流!Z32</f>
        <v>20000</v>
      </c>
      <c r="J32" s="21">
        <f>月度资金流!O32</f>
        <v>23400</v>
      </c>
      <c r="K32" s="21">
        <f>月度资金流!P32</f>
        <v>798</v>
      </c>
      <c r="L32" s="18">
        <f>月度资金流!Q32</f>
        <v>28137.20930232558</v>
      </c>
      <c r="M32" s="18">
        <f>月度资金流!R32</f>
        <v>0</v>
      </c>
      <c r="N32" s="18">
        <f>月度资金流!U32</f>
        <v>11885.418604651211</v>
      </c>
      <c r="O32" s="22">
        <f>月度资金流!AA32</f>
        <v>0</v>
      </c>
      <c r="P32" s="18">
        <f>月度资金流!AC32</f>
        <v>3748.2093023256311</v>
      </c>
      <c r="Q32" s="23">
        <f>月度资金流!AD32</f>
        <v>28000</v>
      </c>
      <c r="R32" s="18">
        <f>月度资金流!AE32</f>
        <v>280000</v>
      </c>
      <c r="S32" s="21">
        <f>月度资金流!AF32</f>
        <v>234000</v>
      </c>
      <c r="T32" s="18">
        <f>月度资金流!AI32</f>
        <v>11655.186046511633</v>
      </c>
    </row>
    <row r="33" spans="1:20" ht="15" customHeight="1">
      <c r="A33" s="15">
        <f>月度资金流!A33</f>
        <v>47027</v>
      </c>
      <c r="B33" t="str">
        <f>月度资金流!B33</f>
        <v>策略三：卖基金偿还</v>
      </c>
      <c r="C33" s="16" t="str">
        <f>IF(D33&gt;0,"买入 "&amp;ROUND(D33,0)&amp;" 股，支付 HK$"&amp;ROUND(E33,0)&amp;"，找零 HK$"&amp;ROUND(F33,0)&amp;"；分红 HK$"&amp;ROUND(G33,0),IF(H33&gt;0,"卖出 "&amp;ROUND(H33,0)&amp;" 股，净收 HK$"&amp;ROUND(I33,0)&amp;"；内部池支付 HK$"&amp;ROUND(N33,0)&amp;"；分红 HK$"&amp;ROUND(G33,0),IF(M33&gt;0,"新贷款抵还 HK$"&amp;ROUND(M33,0)&amp;"；内部池支付 HK$"&amp;ROUND(N33,0)&amp;"；分红 HK$"&amp;ROUND(G33,0),IF(L33&gt;0,"应还 HK$"&amp;ROUND(L33,0)&amp;"；内部池支付 HK$"&amp;ROUND(N33,0)&amp;IF(O33&gt;0,"；外部池投入 HK$"&amp;ROUND(O33,0),"")&amp;"；分红 HK$"&amp;ROUND(G33,0),IF(G33&gt;0,"收到分红 HK$"&amp;ROUND(G33,0),"无需操作")))))</f>
        <v>卖出 2500 股，净收 HK$25000；内部池支付 HK$5248；分红 HK$1500</v>
      </c>
      <c r="D33" s="17">
        <f>月度资金流!H33</f>
        <v>0</v>
      </c>
      <c r="E33" s="18">
        <f>月度资金流!I33</f>
        <v>0</v>
      </c>
      <c r="F33" s="18">
        <f>月度资金流!K33</f>
        <v>0</v>
      </c>
      <c r="G33" s="19">
        <f>月度资金流!N33</f>
        <v>1500</v>
      </c>
      <c r="H33" s="20">
        <f>月度资金流!W33</f>
        <v>2500</v>
      </c>
      <c r="I33" s="18">
        <f>月度资金流!Z33</f>
        <v>25000</v>
      </c>
      <c r="J33" s="21">
        <f>月度资金流!O33</f>
        <v>23400</v>
      </c>
      <c r="K33" s="21">
        <f>月度资金流!P33</f>
        <v>654.23000000000013</v>
      </c>
      <c r="L33" s="18">
        <f>月度资金流!Q33</f>
        <v>27970.034883720931</v>
      </c>
      <c r="M33" s="18">
        <f>月度资金流!R33</f>
        <v>0</v>
      </c>
      <c r="N33" s="18">
        <f>月度资金流!U33</f>
        <v>5248.2093023256311</v>
      </c>
      <c r="O33" s="22">
        <f>月度资金流!AA33</f>
        <v>0</v>
      </c>
      <c r="P33" s="18">
        <f>月度资金流!AC33</f>
        <v>2278.1744186046999</v>
      </c>
      <c r="Q33" s="23">
        <f>月度资金流!AD33</f>
        <v>25500</v>
      </c>
      <c r="R33" s="18">
        <f>月度资金流!AE33</f>
        <v>255000</v>
      </c>
      <c r="S33" s="21">
        <f>月度资金流!AF33</f>
        <v>210600</v>
      </c>
      <c r="T33" s="18">
        <f>月度资金流!AI33</f>
        <v>12394.45348837215</v>
      </c>
    </row>
    <row r="34" spans="1:20" ht="15" customHeight="1">
      <c r="A34" s="15">
        <f>月度资金流!A34</f>
        <v>47058</v>
      </c>
      <c r="B34" t="str">
        <f>月度资金流!B34</f>
        <v>策略三：卖基金偿还</v>
      </c>
      <c r="C34" s="16" t="str">
        <f>IF(D34&gt;0,"买入 "&amp;ROUND(D34,0)&amp;" 股，支付 HK$"&amp;ROUND(E34,0)&amp;"，找零 HK$"&amp;ROUND(F34,0)&amp;"；分红 HK$"&amp;ROUND(G34,0),IF(H34&gt;0,"卖出 "&amp;ROUND(H34,0)&amp;" 股，净收 HK$"&amp;ROUND(I34,0)&amp;"；内部池支付 HK$"&amp;ROUND(N34,0)&amp;"；分红 HK$"&amp;ROUND(G34,0),IF(M34&gt;0,"新贷款抵还 HK$"&amp;ROUND(M34,0)&amp;"；内部池支付 HK$"&amp;ROUND(N34,0)&amp;"；分红 HK$"&amp;ROUND(G34,0),IF(L34&gt;0,"应还 HK$"&amp;ROUND(L34,0)&amp;"；内部池支付 HK$"&amp;ROUND(N34,0)&amp;IF(O34&gt;0,"；外部池投入 HK$"&amp;ROUND(O34,0),"")&amp;"；分红 HK$"&amp;ROUND(G34,0),IF(G34&gt;0,"收到分红 HK$"&amp;ROUND(G34,0),"无需操作")))))</f>
        <v>卖出 2500 股，净收 HK$25000；内部池支付 HK$3678；分红 HK$1400</v>
      </c>
      <c r="D34" s="17">
        <f>月度资金流!H34</f>
        <v>0</v>
      </c>
      <c r="E34" s="18">
        <f>月度资金流!I34</f>
        <v>0</v>
      </c>
      <c r="F34" s="18">
        <f>月度资金流!K34</f>
        <v>0</v>
      </c>
      <c r="G34" s="19">
        <f>月度资金流!N34</f>
        <v>1400</v>
      </c>
      <c r="H34" s="20">
        <f>月度资金流!W34</f>
        <v>2500</v>
      </c>
      <c r="I34" s="18">
        <f>月度资金流!Z34</f>
        <v>25000</v>
      </c>
      <c r="J34" s="21">
        <f>月度资金流!O34</f>
        <v>23400</v>
      </c>
      <c r="K34" s="21">
        <f>月度资金流!P34</f>
        <v>609.23</v>
      </c>
      <c r="L34" s="18">
        <f>月度资金流!Q34</f>
        <v>27917.70930232558</v>
      </c>
      <c r="M34" s="18">
        <f>月度资金流!R34</f>
        <v>0</v>
      </c>
      <c r="N34" s="18">
        <f>月度资金流!U34</f>
        <v>3678.1744186046999</v>
      </c>
      <c r="O34" s="22">
        <f>月度资金流!AA34</f>
        <v>0</v>
      </c>
      <c r="P34" s="18">
        <f>月度资金流!AC34</f>
        <v>760.46511627911968</v>
      </c>
      <c r="Q34" s="23">
        <f>月度资金流!AD34</f>
        <v>23000</v>
      </c>
      <c r="R34" s="18">
        <f>月度资金流!AE34</f>
        <v>230000</v>
      </c>
      <c r="S34" s="21">
        <f>月度资金流!AF34</f>
        <v>187200</v>
      </c>
      <c r="T34" s="18">
        <f>月度资金流!AI34</f>
        <v>13086.046511627937</v>
      </c>
    </row>
    <row r="35" spans="1:20" ht="15" customHeight="1">
      <c r="A35" s="15">
        <f>月度资金流!A35</f>
        <v>47088</v>
      </c>
      <c r="B35" t="str">
        <f>月度资金流!B35</f>
        <v>策略三：卖基金偿还</v>
      </c>
      <c r="C35" s="16" t="str">
        <f>IF(D35&gt;0,"买入 "&amp;ROUND(D35,0)&amp;" 股，支付 HK$"&amp;ROUND(E35,0)&amp;"，找零 HK$"&amp;ROUND(F35,0)&amp;"；分红 HK$"&amp;ROUND(G35,0),IF(H35&gt;0,"卖出 "&amp;ROUND(H35,0)&amp;" 股，净收 HK$"&amp;ROUND(I35,0)&amp;"；内部池支付 HK$"&amp;ROUND(N35,0)&amp;"；分红 HK$"&amp;ROUND(G35,0),IF(M35&gt;0,"新贷款抵还 HK$"&amp;ROUND(M35,0)&amp;"；内部池支付 HK$"&amp;ROUND(N35,0)&amp;"；分红 HK$"&amp;ROUND(G35,0),IF(L35&gt;0,"应还 HK$"&amp;ROUND(L35,0)&amp;"；内部池支付 HK$"&amp;ROUND(N35,0)&amp;IF(O35&gt;0,"；外部池投入 HK$"&amp;ROUND(O35,0),"")&amp;"；分红 HK$"&amp;ROUND(G35,0),IF(G35&gt;0,"收到分红 HK$"&amp;ROUND(G35,0),"无需操作")))))</f>
        <v>卖出 3000 股，净收 HK$30000；内部池支付 HK$2035；分红 HK$1275</v>
      </c>
      <c r="D35" s="17">
        <f>月度资金流!H35</f>
        <v>0</v>
      </c>
      <c r="E35" s="18">
        <f>月度资金流!I35</f>
        <v>0</v>
      </c>
      <c r="F35" s="18">
        <f>月度资金流!K35</f>
        <v>0</v>
      </c>
      <c r="G35" s="19">
        <f>月度资金流!N35</f>
        <v>1275</v>
      </c>
      <c r="H35" s="20">
        <f>月度资金流!W35</f>
        <v>3000</v>
      </c>
      <c r="I35" s="18">
        <f>月度资金流!Z35</f>
        <v>30000</v>
      </c>
      <c r="J35" s="21">
        <f>月度资金流!O35</f>
        <v>23400</v>
      </c>
      <c r="K35" s="21">
        <f>月度资金流!P35</f>
        <v>525.53000000000009</v>
      </c>
      <c r="L35" s="18">
        <f>月度资金流!Q35</f>
        <v>27820.383720930233</v>
      </c>
      <c r="M35" s="18">
        <f>月度资金流!R35</f>
        <v>0</v>
      </c>
      <c r="N35" s="18">
        <f>月度资金流!U35</f>
        <v>2035.4651162791197</v>
      </c>
      <c r="O35" s="22">
        <f>月度资金流!AA35</f>
        <v>0</v>
      </c>
      <c r="P35" s="18">
        <f>月度资金流!AC35</f>
        <v>4215.0813953488869</v>
      </c>
      <c r="Q35" s="23">
        <f>月度资金流!AD35</f>
        <v>20000</v>
      </c>
      <c r="R35" s="18">
        <f>月度资金流!AE35</f>
        <v>200000</v>
      </c>
      <c r="S35" s="21">
        <f>月度资金流!AF35</f>
        <v>163800</v>
      </c>
      <c r="T35" s="18">
        <f>月度资金流!AI35</f>
        <v>13749.965116279112</v>
      </c>
    </row>
    <row r="36" spans="1:20" ht="15" customHeight="1">
      <c r="A36" s="15">
        <f>月度资金流!A36</f>
        <v>47119</v>
      </c>
      <c r="B36" t="str">
        <f>月度资金流!B36</f>
        <v>策略三：卖基金偿还</v>
      </c>
      <c r="C36" s="16" t="str">
        <f>IF(D36&gt;0,"买入 "&amp;ROUND(D36,0)&amp;" 股，支付 HK$"&amp;ROUND(E36,0)&amp;"，找零 HK$"&amp;ROUND(F36,0)&amp;"；分红 HK$"&amp;ROUND(G36,0),IF(H36&gt;0,"卖出 "&amp;ROUND(H36,0)&amp;" 股，净收 HK$"&amp;ROUND(I36,0)&amp;"；内部池支付 HK$"&amp;ROUND(N36,0)&amp;"；分红 HK$"&amp;ROUND(G36,0),IF(M36&gt;0,"新贷款抵还 HK$"&amp;ROUND(M36,0)&amp;"；内部池支付 HK$"&amp;ROUND(N36,0)&amp;"；分红 HK$"&amp;ROUND(G36,0),IF(L36&gt;0,"应还 HK$"&amp;ROUND(L36,0)&amp;"；内部池支付 HK$"&amp;ROUND(N36,0)&amp;IF(O36&gt;0,"；外部池投入 HK$"&amp;ROUND(O36,0),"")&amp;"；分红 HK$"&amp;ROUND(G36,0),IF(G36&gt;0,"收到分红 HK$"&amp;ROUND(G36,0),"无需操作")))))</f>
        <v>卖出 2500 股，净收 HK$25000；内部池支付 HK$5365；分红 HK$1150</v>
      </c>
      <c r="D36" s="17">
        <f>月度资金流!H36</f>
        <v>0</v>
      </c>
      <c r="E36" s="18">
        <f>月度资金流!I36</f>
        <v>0</v>
      </c>
      <c r="F36" s="18">
        <f>月度资金流!K36</f>
        <v>0</v>
      </c>
      <c r="G36" s="19">
        <f>月度资金流!N36</f>
        <v>1150</v>
      </c>
      <c r="H36" s="20">
        <f>月度资金流!W36</f>
        <v>2500</v>
      </c>
      <c r="I36" s="18">
        <f>月度资金流!Z36</f>
        <v>25000</v>
      </c>
      <c r="J36" s="21">
        <f>月度资金流!O36</f>
        <v>23400</v>
      </c>
      <c r="K36" s="21">
        <f>月度资金流!P36</f>
        <v>476.23</v>
      </c>
      <c r="L36" s="18">
        <f>月度资金流!Q36</f>
        <v>27763.058139534885</v>
      </c>
      <c r="M36" s="18">
        <f>月度资金流!R36</f>
        <v>0</v>
      </c>
      <c r="N36" s="18">
        <f>月度资金流!U36</f>
        <v>5365.0813953488869</v>
      </c>
      <c r="O36" s="22">
        <f>月度资金流!AA36</f>
        <v>0</v>
      </c>
      <c r="P36" s="18">
        <f>月度资金流!AC36</f>
        <v>2602.0232558140015</v>
      </c>
      <c r="Q36" s="23">
        <f>月度资金流!AD36</f>
        <v>17500</v>
      </c>
      <c r="R36" s="18">
        <f>月度资金流!AE36</f>
        <v>175000</v>
      </c>
      <c r="S36" s="21">
        <f>月度资金流!AF36</f>
        <v>140400</v>
      </c>
      <c r="T36" s="18">
        <f>月度资金流!AI36</f>
        <v>14346.209302325646</v>
      </c>
    </row>
    <row r="37" spans="1:20" ht="15" customHeight="1">
      <c r="A37" s="15">
        <f>月度资金流!A37</f>
        <v>47150</v>
      </c>
      <c r="B37" t="str">
        <f>月度资金流!B37</f>
        <v>策略三：卖基金偿还</v>
      </c>
      <c r="C37" s="16" t="str">
        <f>IF(D37&gt;0,"买入 "&amp;ROUND(D37,0)&amp;" 股，支付 HK$"&amp;ROUND(E37,0)&amp;"，找零 HK$"&amp;ROUND(F37,0)&amp;"；分红 HK$"&amp;ROUND(G37,0),IF(H37&gt;0,"卖出 "&amp;ROUND(H37,0)&amp;" 股，净收 HK$"&amp;ROUND(I37,0)&amp;"；内部池支付 HK$"&amp;ROUND(N37,0)&amp;"；分红 HK$"&amp;ROUND(G37,0),IF(M37&gt;0,"新贷款抵还 HK$"&amp;ROUND(M37,0)&amp;"；内部池支付 HK$"&amp;ROUND(N37,0)&amp;"；分红 HK$"&amp;ROUND(G37,0),IF(L37&gt;0,"应还 HK$"&amp;ROUND(L37,0)&amp;"；内部池支付 HK$"&amp;ROUND(N37,0)&amp;IF(O37&gt;0,"；外部池投入 HK$"&amp;ROUND(O37,0),"")&amp;"；分红 HK$"&amp;ROUND(G37,0),IF(G37&gt;0,"收到分红 HK$"&amp;ROUND(G37,0),"无需操作")))))</f>
        <v>卖出 2500 股，净收 HK$25000；内部池支付 HK$3602；分红 HK$1000</v>
      </c>
      <c r="D37" s="17">
        <f>月度资金流!H37</f>
        <v>0</v>
      </c>
      <c r="E37" s="18">
        <f>月度资金流!I37</f>
        <v>0</v>
      </c>
      <c r="F37" s="18">
        <f>月度资金流!K37</f>
        <v>0</v>
      </c>
      <c r="G37" s="19">
        <f>月度资金流!N37</f>
        <v>1000</v>
      </c>
      <c r="H37" s="20">
        <f>月度资金流!W37</f>
        <v>2500</v>
      </c>
      <c r="I37" s="18">
        <f>月度资金流!Z37</f>
        <v>25000</v>
      </c>
      <c r="J37" s="21">
        <f>月度资金流!O37</f>
        <v>23400</v>
      </c>
      <c r="K37" s="21">
        <f>月度资金流!P37</f>
        <v>409.73</v>
      </c>
      <c r="L37" s="18">
        <f>月度资金流!Q37</f>
        <v>27685.732558139534</v>
      </c>
      <c r="M37" s="18">
        <f>月度资金流!R37</f>
        <v>0</v>
      </c>
      <c r="N37" s="18">
        <f>月度资金流!U37</f>
        <v>3602.0232558140015</v>
      </c>
      <c r="O37" s="22">
        <f>月度资金流!AA37</f>
        <v>0</v>
      </c>
      <c r="P37" s="18">
        <f>月度资金流!AC37</f>
        <v>916.29069767446708</v>
      </c>
      <c r="Q37" s="23">
        <f>月度资金流!AD37</f>
        <v>15000</v>
      </c>
      <c r="R37" s="18">
        <f>月度资金流!AE37</f>
        <v>150000</v>
      </c>
      <c r="S37" s="21">
        <f>月度资金流!AF37</f>
        <v>117000</v>
      </c>
      <c r="T37" s="18">
        <f>月度资金流!AI37</f>
        <v>14869.779069767479</v>
      </c>
    </row>
    <row r="38" spans="1:20" ht="15" customHeight="1">
      <c r="A38" s="15">
        <f>月度资金流!A38</f>
        <v>47178</v>
      </c>
      <c r="B38" t="str">
        <f>月度资金流!B38</f>
        <v>策略三：卖基金偿还</v>
      </c>
      <c r="C38" s="16" t="str">
        <f>IF(D38&gt;0,"买入 "&amp;ROUND(D38,0)&amp;" 股，支付 HK$"&amp;ROUND(E38,0)&amp;"，找零 HK$"&amp;ROUND(F38,0)&amp;"；分红 HK$"&amp;ROUND(G38,0),IF(H38&gt;0,"卖出 "&amp;ROUND(H38,0)&amp;" 股，净收 HK$"&amp;ROUND(I38,0)&amp;"；内部池支付 HK$"&amp;ROUND(N38,0)&amp;"；分红 HK$"&amp;ROUND(G38,0),IF(M38&gt;0,"新贷款抵还 HK$"&amp;ROUND(M38,0)&amp;"；内部池支付 HK$"&amp;ROUND(N38,0)&amp;"；分红 HK$"&amp;ROUND(G38,0),IF(L38&gt;0,"应还 HK$"&amp;ROUND(L38,0)&amp;"；内部池支付 HK$"&amp;ROUND(N38,0)&amp;IF(O38&gt;0,"；外部池投入 HK$"&amp;ROUND(O38,0),"")&amp;"；分红 HK$"&amp;ROUND(G38,0),IF(G38&gt;0,"收到分红 HK$"&amp;ROUND(G38,0),"无需操作")))))</f>
        <v>卖出 3000 股，净收 HK$30000；内部池支付 HK$1791；分红 HK$875</v>
      </c>
      <c r="D38" s="17">
        <f>月度资金流!H38</f>
        <v>0</v>
      </c>
      <c r="E38" s="18">
        <f>月度资金流!I38</f>
        <v>0</v>
      </c>
      <c r="F38" s="18">
        <f>月度资金流!K38</f>
        <v>0</v>
      </c>
      <c r="G38" s="19">
        <f>月度资金流!N38</f>
        <v>875</v>
      </c>
      <c r="H38" s="20">
        <f>月度资金流!W38</f>
        <v>3000</v>
      </c>
      <c r="I38" s="18">
        <f>月度资金流!Z38</f>
        <v>30000</v>
      </c>
      <c r="J38" s="21">
        <f>月度资金流!O38</f>
        <v>23400</v>
      </c>
      <c r="K38" s="21">
        <f>月度资金流!P38</f>
        <v>311.03000000000003</v>
      </c>
      <c r="L38" s="18">
        <f>月度资金流!Q38</f>
        <v>27570.965116279069</v>
      </c>
      <c r="M38" s="18">
        <f>月度资金流!R38</f>
        <v>0</v>
      </c>
      <c r="N38" s="18">
        <f>月度资金流!U38</f>
        <v>1791.2906976744671</v>
      </c>
      <c r="O38" s="22">
        <f>月度资金流!AA38</f>
        <v>0</v>
      </c>
      <c r="P38" s="18">
        <f>月度资金流!AC38</f>
        <v>4220.3255813953983</v>
      </c>
      <c r="Q38" s="23">
        <f>月度资金流!AD38</f>
        <v>12000</v>
      </c>
      <c r="R38" s="18">
        <f>月度资金流!AE38</f>
        <v>120000</v>
      </c>
      <c r="S38" s="21">
        <f>月度资金流!AF38</f>
        <v>93600</v>
      </c>
      <c r="T38" s="18">
        <f>月度资金流!AI38</f>
        <v>15383.116279069814</v>
      </c>
    </row>
    <row r="39" spans="1:20" ht="15" customHeight="1">
      <c r="A39" s="15">
        <f>月度资金流!A39</f>
        <v>47209</v>
      </c>
      <c r="B39" t="str">
        <f>月度资金流!B39</f>
        <v>策略三：卖基金偿还</v>
      </c>
      <c r="C39" s="16" t="str">
        <f>IF(D39&gt;0,"买入 "&amp;ROUND(D39,0)&amp;" 股，支付 HK$"&amp;ROUND(E39,0)&amp;"，找零 HK$"&amp;ROUND(F39,0)&amp;"；分红 HK$"&amp;ROUND(G39,0),IF(H39&gt;0,"卖出 "&amp;ROUND(H39,0)&amp;" 股，净收 HK$"&amp;ROUND(I39,0)&amp;"；内部池支付 HK$"&amp;ROUND(N39,0)&amp;"；分红 HK$"&amp;ROUND(G39,0),IF(M39&gt;0,"新贷款抵还 HK$"&amp;ROUND(M39,0)&amp;"；内部池支付 HK$"&amp;ROUND(N39,0)&amp;"；分红 HK$"&amp;ROUND(G39,0),IF(L39&gt;0,"应还 HK$"&amp;ROUND(L39,0)&amp;"；内部池支付 HK$"&amp;ROUND(N39,0)&amp;IF(O39&gt;0,"；外部池投入 HK$"&amp;ROUND(O39,0),"")&amp;"；分红 HK$"&amp;ROUND(G39,0),IF(G39&gt;0,"收到分红 HK$"&amp;ROUND(G39,0),"无需操作")))))</f>
        <v>卖出 2500 股，净收 HK$25000；内部池支付 HK$4970；分红 HK$750</v>
      </c>
      <c r="D39" s="17">
        <f>月度资金流!H39</f>
        <v>0</v>
      </c>
      <c r="E39" s="18">
        <f>月度资金流!I39</f>
        <v>0</v>
      </c>
      <c r="F39" s="18">
        <f>月度资金流!K39</f>
        <v>0</v>
      </c>
      <c r="G39" s="19">
        <f>月度资金流!N39</f>
        <v>750</v>
      </c>
      <c r="H39" s="20">
        <f>月度资金流!W39</f>
        <v>2500</v>
      </c>
      <c r="I39" s="18">
        <f>月度资金流!Z39</f>
        <v>25000</v>
      </c>
      <c r="J39" s="21">
        <f>月度资金流!O39</f>
        <v>23400</v>
      </c>
      <c r="K39" s="21">
        <f>月度资金流!P39</f>
        <v>276.73</v>
      </c>
      <c r="L39" s="18">
        <f>月度资金流!Q39</f>
        <v>27531.081395348836</v>
      </c>
      <c r="M39" s="18">
        <f>月度资金流!R39</f>
        <v>0</v>
      </c>
      <c r="N39" s="18">
        <f>月度资金流!U39</f>
        <v>4970.3255813953983</v>
      </c>
      <c r="O39" s="22">
        <f>月度资金流!AA39</f>
        <v>0</v>
      </c>
      <c r="P39" s="18">
        <f>月度资金流!AC39</f>
        <v>2439.2441860465624</v>
      </c>
      <c r="Q39" s="23">
        <f>月度资金流!AD39</f>
        <v>9500</v>
      </c>
      <c r="R39" s="18">
        <f>月度资金流!AE39</f>
        <v>95000</v>
      </c>
      <c r="S39" s="21">
        <f>月度资金流!AF39</f>
        <v>70200</v>
      </c>
      <c r="T39" s="18">
        <f>月度资金流!AI39</f>
        <v>15811.337209302379</v>
      </c>
    </row>
    <row r="40" spans="1:20" ht="15" customHeight="1">
      <c r="A40" s="15">
        <f>月度资金流!A40</f>
        <v>47239</v>
      </c>
      <c r="B40" t="str">
        <f>月度资金流!B40</f>
        <v>策略三：卖基金偿还</v>
      </c>
      <c r="C40" s="16" t="str">
        <f>IF(D40&gt;0,"买入 "&amp;ROUND(D40,0)&amp;" 股，支付 HK$"&amp;ROUND(E40,0)&amp;"，找零 HK$"&amp;ROUND(F40,0)&amp;"；分红 HK$"&amp;ROUND(G40,0),IF(H40&gt;0,"卖出 "&amp;ROUND(H40,0)&amp;" 股，净收 HK$"&amp;ROUND(I40,0)&amp;"；内部池支付 HK$"&amp;ROUND(N40,0)&amp;"；分红 HK$"&amp;ROUND(G40,0),IF(M40&gt;0,"新贷款抵还 HK$"&amp;ROUND(M40,0)&amp;"；内部池支付 HK$"&amp;ROUND(N40,0)&amp;"；分红 HK$"&amp;ROUND(G40,0),IF(L40&gt;0,"应还 HK$"&amp;ROUND(L40,0)&amp;"；内部池支付 HK$"&amp;ROUND(N40,0)&amp;IF(O40&gt;0,"；外部池投入 HK$"&amp;ROUND(O40,0),"")&amp;"；分红 HK$"&amp;ROUND(G40,0),IF(G40&gt;0,"收到分红 HK$"&amp;ROUND(G40,0),"无需操作")))))</f>
        <v>卖出 2500 股，净收 HK$25000；内部池支付 HK$3039；分红 HK$600</v>
      </c>
      <c r="D40" s="17">
        <f>月度资金流!H40</f>
        <v>0</v>
      </c>
      <c r="E40" s="18">
        <f>月度资金流!I40</f>
        <v>0</v>
      </c>
      <c r="F40" s="18">
        <f>月度资金流!K40</f>
        <v>0</v>
      </c>
      <c r="G40" s="19">
        <f>月度资金流!N40</f>
        <v>600</v>
      </c>
      <c r="H40" s="20">
        <f>月度资金流!W40</f>
        <v>2500</v>
      </c>
      <c r="I40" s="18">
        <f>月度资金流!Z40</f>
        <v>25000</v>
      </c>
      <c r="J40" s="21">
        <f>月度资金流!O40</f>
        <v>23400</v>
      </c>
      <c r="K40" s="21">
        <f>月度资金流!P40</f>
        <v>203.78</v>
      </c>
      <c r="L40" s="18">
        <f>月度资金流!Q40</f>
        <v>27446.255813953489</v>
      </c>
      <c r="M40" s="18">
        <f>月度资金流!R40</f>
        <v>0</v>
      </c>
      <c r="N40" s="18">
        <f>月度资金流!U40</f>
        <v>3039.2441860465624</v>
      </c>
      <c r="O40" s="22">
        <f>月度资金流!AA40</f>
        <v>0</v>
      </c>
      <c r="P40" s="18">
        <f>月度资金流!AC40</f>
        <v>592.98837209307385</v>
      </c>
      <c r="Q40" s="23">
        <f>月度资金流!AD40</f>
        <v>7000</v>
      </c>
      <c r="R40" s="18">
        <f>月度资金流!AE40</f>
        <v>70000</v>
      </c>
      <c r="S40" s="21">
        <f>月度资金流!AF40</f>
        <v>46800</v>
      </c>
      <c r="T40" s="18">
        <f>月度资金流!AI40</f>
        <v>16174.383720930273</v>
      </c>
    </row>
    <row r="41" spans="1:20" ht="15" customHeight="1">
      <c r="A41" s="15">
        <f>月度资金流!A41</f>
        <v>47270</v>
      </c>
      <c r="B41" t="str">
        <f>月度资金流!B41</f>
        <v>策略三：卖基金偿还</v>
      </c>
      <c r="C41" s="16" t="str">
        <f>IF(D41&gt;0,"买入 "&amp;ROUND(D41,0)&amp;" 股，支付 HK$"&amp;ROUND(E41,0)&amp;"，找零 HK$"&amp;ROUND(F41,0)&amp;"；分红 HK$"&amp;ROUND(G41,0),IF(H41&gt;0,"卖出 "&amp;ROUND(H41,0)&amp;" 股，净收 HK$"&amp;ROUND(I41,0)&amp;"；内部池支付 HK$"&amp;ROUND(N41,0)&amp;"；分红 HK$"&amp;ROUND(G41,0),IF(M41&gt;0,"新贷款抵还 HK$"&amp;ROUND(M41,0)&amp;"；内部池支付 HK$"&amp;ROUND(N41,0)&amp;"；分红 HK$"&amp;ROUND(G41,0),IF(L41&gt;0,"应还 HK$"&amp;ROUND(L41,0)&amp;"；内部池支付 HK$"&amp;ROUND(N41,0)&amp;IF(O41&gt;0,"；外部池投入 HK$"&amp;ROUND(O41,0),"")&amp;"；分红 HK$"&amp;ROUND(G41,0),IF(G41&gt;0,"收到分红 HK$"&amp;ROUND(G41,0),"无需操作")))))</f>
        <v>卖出 3000 股，净收 HK$30000；内部池支付 HK$1068；分红 HK$475</v>
      </c>
      <c r="D41" s="17">
        <f>月度资金流!H41</f>
        <v>0</v>
      </c>
      <c r="E41" s="18">
        <f>月度资金流!I41</f>
        <v>0</v>
      </c>
      <c r="F41" s="18">
        <f>月度资金流!K41</f>
        <v>0</v>
      </c>
      <c r="G41" s="19">
        <f>月度资金流!N41</f>
        <v>475</v>
      </c>
      <c r="H41" s="20">
        <f>月度资金流!W41</f>
        <v>3000</v>
      </c>
      <c r="I41" s="18">
        <f>月度资金流!Z41</f>
        <v>30000</v>
      </c>
      <c r="J41" s="21">
        <f>月度资金流!O41</f>
        <v>23400</v>
      </c>
      <c r="K41" s="21">
        <f>月度资金流!P41</f>
        <v>143.73000000000002</v>
      </c>
      <c r="L41" s="18">
        <f>月度资金流!Q41</f>
        <v>27376.430232558141</v>
      </c>
      <c r="M41" s="18">
        <f>月度资金流!R41</f>
        <v>0</v>
      </c>
      <c r="N41" s="18">
        <f>月度资金流!U41</f>
        <v>1067.9883720930738</v>
      </c>
      <c r="O41" s="22">
        <f>月度资金流!AA41</f>
        <v>0</v>
      </c>
      <c r="P41" s="18">
        <f>月度资金流!AC41</f>
        <v>3691.5581395349327</v>
      </c>
      <c r="Q41" s="23">
        <f>月度资金流!AD41</f>
        <v>4000</v>
      </c>
      <c r="R41" s="18">
        <f>月度资金流!AE41</f>
        <v>40000</v>
      </c>
      <c r="S41" s="21">
        <f>月度资金流!AF41</f>
        <v>23400</v>
      </c>
      <c r="T41" s="18">
        <f>月度资金流!AI41</f>
        <v>16482.255813953532</v>
      </c>
    </row>
    <row r="42" spans="1:20" ht="15" customHeight="1">
      <c r="A42" s="15">
        <f>月度资金流!A42</f>
        <v>47300</v>
      </c>
      <c r="B42" t="str">
        <f>月度资金流!B42</f>
        <v>策略三：卖基金偿还</v>
      </c>
      <c r="C42" s="16" t="str">
        <f>IF(D42&gt;0,"买入 "&amp;ROUND(D42,0)&amp;" 股，支付 HK$"&amp;ROUND(E42,0)&amp;"，找零 HK$"&amp;ROUND(F42,0)&amp;"；分红 HK$"&amp;ROUND(G42,0),IF(H42&gt;0,"卖出 "&amp;ROUND(H42,0)&amp;" 股，净收 HK$"&amp;ROUND(I42,0)&amp;"；内部池支付 HK$"&amp;ROUND(N42,0)&amp;"；分红 HK$"&amp;ROUND(G42,0),IF(M42&gt;0,"新贷款抵还 HK$"&amp;ROUND(M42,0)&amp;"；内部池支付 HK$"&amp;ROUND(N42,0)&amp;"；分红 HK$"&amp;ROUND(G42,0),IF(L42&gt;0,"应还 HK$"&amp;ROUND(L42,0)&amp;"；内部池支付 HK$"&amp;ROUND(N42,0)&amp;IF(O42&gt;0,"；外部池投入 HK$"&amp;ROUND(O42,0),"")&amp;"；分红 HK$"&amp;ROUND(G42,0),IF(G42&gt;0,"收到分红 HK$"&amp;ROUND(G42,0),"无需操作")))))</f>
        <v>卖出 2500 股，净收 HK$25000；内部池支付 HK$4042；分红 HK$350</v>
      </c>
      <c r="D42" s="17">
        <f>月度资金流!H42</f>
        <v>0</v>
      </c>
      <c r="E42" s="18">
        <f>月度资金流!I42</f>
        <v>0</v>
      </c>
      <c r="F42" s="18">
        <f>月度资金流!K42</f>
        <v>0</v>
      </c>
      <c r="G42" s="19">
        <f>月度资金流!N42</f>
        <v>350</v>
      </c>
      <c r="H42" s="20">
        <f>月度资金流!W42</f>
        <v>2500</v>
      </c>
      <c r="I42" s="18">
        <f>月度资金流!Z42</f>
        <v>25000</v>
      </c>
      <c r="J42" s="21">
        <f>月度资金流!O42</f>
        <v>23400</v>
      </c>
      <c r="K42" s="21">
        <f>月度资金流!P42</f>
        <v>75.08</v>
      </c>
      <c r="L42" s="18">
        <f>月度资金流!Q42</f>
        <v>27296.604651162794</v>
      </c>
      <c r="M42" s="18">
        <f>月度资金流!R42</f>
        <v>0</v>
      </c>
      <c r="N42" s="18">
        <f>月度资金流!U42</f>
        <v>4041.5581395349327</v>
      </c>
      <c r="O42" s="22">
        <f>月度资金流!AA42</f>
        <v>0</v>
      </c>
      <c r="P42" s="18">
        <f>月度资金流!AC42</f>
        <v>1744.953488372139</v>
      </c>
      <c r="Q42" s="23">
        <f>月度资金流!AD42</f>
        <v>1500</v>
      </c>
      <c r="R42" s="18">
        <f>月度资金流!AE42</f>
        <v>15000</v>
      </c>
      <c r="S42" s="21">
        <f>月度资金流!AF42</f>
        <v>0</v>
      </c>
      <c r="T42" s="18">
        <f>月度资金流!AI42</f>
        <v>16744.953488372139</v>
      </c>
    </row>
    <row r="43" spans="1:20" ht="15" customHeight="1">
      <c r="A43" s="15">
        <f>月度资金流!A43</f>
        <v>47331</v>
      </c>
      <c r="B43" t="str">
        <f>月度资金流!B43</f>
        <v>期后：内部池优先+外部池</v>
      </c>
      <c r="C43" s="16" t="str">
        <f>IF(D43&gt;0,"买入 "&amp;ROUND(D43,0)&amp;" 股，支付 HK$"&amp;ROUND(E43,0)&amp;"，找零 HK$"&amp;ROUND(F43,0)&amp;"；分红 HK$"&amp;ROUND(G43,0),IF(H43&gt;0,"卖出 "&amp;ROUND(H43,0)&amp;" 股，净收 HK$"&amp;ROUND(I43,0)&amp;"；内部池支付 HK$"&amp;ROUND(N43,0)&amp;"；分红 HK$"&amp;ROUND(G43,0),IF(M43&gt;0,"新贷款抵还 HK$"&amp;ROUND(M43,0)&amp;"；内部池支付 HK$"&amp;ROUND(N43,0)&amp;"；分红 HK$"&amp;ROUND(G43,0),IF(L43&gt;0,"应还 HK$"&amp;ROUND(L43,0)&amp;"；内部池支付 HK$"&amp;ROUND(N43,0)&amp;IF(O43&gt;0,"；外部池投入 HK$"&amp;ROUND(O43,0),"")&amp;"；分红 HK$"&amp;ROUND(G43,0),IF(G43&gt;0,"收到分红 HK$"&amp;ROUND(G43,0),"无需操作")))))</f>
        <v>收到分红 HK$200</v>
      </c>
      <c r="D43" s="17">
        <f>月度资金流!H43</f>
        <v>0</v>
      </c>
      <c r="E43" s="18">
        <f>月度资金流!I43</f>
        <v>0</v>
      </c>
      <c r="F43" s="18">
        <f>月度资金流!K43</f>
        <v>0</v>
      </c>
      <c r="G43" s="19">
        <f>月度资金流!N43</f>
        <v>200</v>
      </c>
      <c r="H43" s="20">
        <f>月度资金流!W43</f>
        <v>0</v>
      </c>
      <c r="I43" s="18">
        <f>月度资金流!Z43</f>
        <v>0</v>
      </c>
      <c r="J43" s="21">
        <f>月度资金流!O43</f>
        <v>0</v>
      </c>
      <c r="K43" s="21">
        <f>月度资金流!P43</f>
        <v>0</v>
      </c>
      <c r="L43" s="18">
        <f>月度资金流!Q43</f>
        <v>0</v>
      </c>
      <c r="M43" s="18">
        <f>月度资金流!R43</f>
        <v>0</v>
      </c>
      <c r="N43" s="18">
        <f>月度资金流!U43</f>
        <v>0</v>
      </c>
      <c r="O43" s="22">
        <f>月度资金流!AA43</f>
        <v>0</v>
      </c>
      <c r="P43" s="18">
        <f>月度资金流!AC43</f>
        <v>1944.953488372139</v>
      </c>
      <c r="Q43" s="23">
        <f>月度资金流!AD43</f>
        <v>1500</v>
      </c>
      <c r="R43" s="18">
        <f>月度资金流!AE43</f>
        <v>15000</v>
      </c>
      <c r="S43" s="21">
        <f>月度资金流!AF43</f>
        <v>0</v>
      </c>
      <c r="T43" s="18">
        <f>月度资金流!AI43</f>
        <v>16944.953488372139</v>
      </c>
    </row>
    <row r="44" spans="1:20" ht="15" customHeight="1">
      <c r="A44" s="15">
        <f>月度资金流!A44</f>
        <v>47362</v>
      </c>
      <c r="B44" t="str">
        <f>月度资金流!B44</f>
        <v>期后：内部池优先+外部池</v>
      </c>
      <c r="C44" s="16" t="str">
        <f>IF(D44&gt;0,"买入 "&amp;ROUND(D44,0)&amp;" 股，支付 HK$"&amp;ROUND(E44,0)&amp;"，找零 HK$"&amp;ROUND(F44,0)&amp;"；分红 HK$"&amp;ROUND(G44,0),IF(H44&gt;0,"卖出 "&amp;ROUND(H44,0)&amp;" 股，净收 HK$"&amp;ROUND(I44,0)&amp;"；内部池支付 HK$"&amp;ROUND(N44,0)&amp;"；分红 HK$"&amp;ROUND(G44,0),IF(M44&gt;0,"新贷款抵还 HK$"&amp;ROUND(M44,0)&amp;"；内部池支付 HK$"&amp;ROUND(N44,0)&amp;"；分红 HK$"&amp;ROUND(G44,0),IF(L44&gt;0,"应还 HK$"&amp;ROUND(L44,0)&amp;"；内部池支付 HK$"&amp;ROUND(N44,0)&amp;IF(O44&gt;0,"；外部池投入 HK$"&amp;ROUND(O44,0),"")&amp;"；分红 HK$"&amp;ROUND(G44,0),IF(G44&gt;0,"收到分红 HK$"&amp;ROUND(G44,0),"无需操作")))))</f>
        <v>收到分红 HK$75</v>
      </c>
      <c r="D44" s="17">
        <f>月度资金流!H44</f>
        <v>0</v>
      </c>
      <c r="E44" s="18">
        <f>月度资金流!I44</f>
        <v>0</v>
      </c>
      <c r="F44" s="18">
        <f>月度资金流!K44</f>
        <v>0</v>
      </c>
      <c r="G44" s="19">
        <f>月度资金流!N44</f>
        <v>75</v>
      </c>
      <c r="H44" s="20">
        <f>月度资金流!W44</f>
        <v>0</v>
      </c>
      <c r="I44" s="18">
        <f>月度资金流!Z44</f>
        <v>0</v>
      </c>
      <c r="J44" s="21">
        <f>月度资金流!O44</f>
        <v>0</v>
      </c>
      <c r="K44" s="21">
        <f>月度资金流!P44</f>
        <v>0</v>
      </c>
      <c r="L44" s="18">
        <f>月度资金流!Q44</f>
        <v>0</v>
      </c>
      <c r="M44" s="18">
        <f>月度资金流!R44</f>
        <v>0</v>
      </c>
      <c r="N44" s="18">
        <f>月度资金流!U44</f>
        <v>0</v>
      </c>
      <c r="O44" s="22">
        <f>月度资金流!AA44</f>
        <v>0</v>
      </c>
      <c r="P44" s="18">
        <f>月度资金流!AC44</f>
        <v>2019.953488372139</v>
      </c>
      <c r="Q44" s="23">
        <f>月度资金流!AD44</f>
        <v>1500</v>
      </c>
      <c r="R44" s="18">
        <f>月度资金流!AE44</f>
        <v>15000</v>
      </c>
      <c r="S44" s="21">
        <f>月度资金流!AF44</f>
        <v>0</v>
      </c>
      <c r="T44" s="18">
        <f>月度资金流!AI44</f>
        <v>17019.953488372139</v>
      </c>
    </row>
    <row r="45" spans="1:20" ht="15" customHeight="1">
      <c r="A45" s="15">
        <f>月度资金流!A45</f>
        <v>47392</v>
      </c>
      <c r="B45" t="str">
        <f>月度资金流!B45</f>
        <v>期后：内部池优先+外部池</v>
      </c>
      <c r="C45" s="16" t="str">
        <f>IF(D45&gt;0,"买入 "&amp;ROUND(D45,0)&amp;" 股，支付 HK$"&amp;ROUND(E45,0)&amp;"，找零 HK$"&amp;ROUND(F45,0)&amp;"；分红 HK$"&amp;ROUND(G45,0),IF(H45&gt;0,"卖出 "&amp;ROUND(H45,0)&amp;" 股，净收 HK$"&amp;ROUND(I45,0)&amp;"；内部池支付 HK$"&amp;ROUND(N45,0)&amp;"；分红 HK$"&amp;ROUND(G45,0),IF(M45&gt;0,"新贷款抵还 HK$"&amp;ROUND(M45,0)&amp;"；内部池支付 HK$"&amp;ROUND(N45,0)&amp;"；分红 HK$"&amp;ROUND(G45,0),IF(L45&gt;0,"应还 HK$"&amp;ROUND(L45,0)&amp;"；内部池支付 HK$"&amp;ROUND(N45,0)&amp;IF(O45&gt;0,"；外部池投入 HK$"&amp;ROUND(O45,0),"")&amp;"；分红 HK$"&amp;ROUND(G45,0),IF(G45&gt;0,"收到分红 HK$"&amp;ROUND(G45,0),"无需操作")))))</f>
        <v>收到分红 HK$75</v>
      </c>
      <c r="D45" s="17">
        <f>月度资金流!H45</f>
        <v>0</v>
      </c>
      <c r="E45" s="18">
        <f>月度资金流!I45</f>
        <v>0</v>
      </c>
      <c r="F45" s="18">
        <f>月度资金流!K45</f>
        <v>0</v>
      </c>
      <c r="G45" s="19">
        <f>月度资金流!N45</f>
        <v>75</v>
      </c>
      <c r="H45" s="20">
        <f>月度资金流!W45</f>
        <v>0</v>
      </c>
      <c r="I45" s="18">
        <f>月度资金流!Z45</f>
        <v>0</v>
      </c>
      <c r="J45" s="21">
        <f>月度资金流!O45</f>
        <v>0</v>
      </c>
      <c r="K45" s="21">
        <f>月度资金流!P45</f>
        <v>0</v>
      </c>
      <c r="L45" s="18">
        <f>月度资金流!Q45</f>
        <v>0</v>
      </c>
      <c r="M45" s="18">
        <f>月度资金流!R45</f>
        <v>0</v>
      </c>
      <c r="N45" s="18">
        <f>月度资金流!U45</f>
        <v>0</v>
      </c>
      <c r="O45" s="22">
        <f>月度资金流!AA45</f>
        <v>0</v>
      </c>
      <c r="P45" s="18">
        <f>月度资金流!AC45</f>
        <v>2094.953488372139</v>
      </c>
      <c r="Q45" s="23">
        <f>月度资金流!AD45</f>
        <v>1500</v>
      </c>
      <c r="R45" s="18">
        <f>月度资金流!AE45</f>
        <v>15000</v>
      </c>
      <c r="S45" s="21">
        <f>月度资金流!AF45</f>
        <v>0</v>
      </c>
      <c r="T45" s="18">
        <f>月度资金流!AI45</f>
        <v>17094.953488372139</v>
      </c>
    </row>
    <row r="46" spans="1:20" ht="15" customHeight="1">
      <c r="A46" s="15">
        <f>月度资金流!A46</f>
        <v>47423</v>
      </c>
      <c r="B46" t="str">
        <f>月度资金流!B46</f>
        <v>期后：内部池优先+外部池</v>
      </c>
      <c r="C46" s="16" t="str">
        <f>IF(D46&gt;0,"买入 "&amp;ROUND(D46,0)&amp;" 股，支付 HK$"&amp;ROUND(E46,0)&amp;"，找零 HK$"&amp;ROUND(F46,0)&amp;"；分红 HK$"&amp;ROUND(G46,0),IF(H46&gt;0,"卖出 "&amp;ROUND(H46,0)&amp;" 股，净收 HK$"&amp;ROUND(I46,0)&amp;"；内部池支付 HK$"&amp;ROUND(N46,0)&amp;"；分红 HK$"&amp;ROUND(G46,0),IF(M46&gt;0,"新贷款抵还 HK$"&amp;ROUND(M46,0)&amp;"；内部池支付 HK$"&amp;ROUND(N46,0)&amp;"；分红 HK$"&amp;ROUND(G46,0),IF(L46&gt;0,"应还 HK$"&amp;ROUND(L46,0)&amp;"；内部池支付 HK$"&amp;ROUND(N46,0)&amp;IF(O46&gt;0,"；外部池投入 HK$"&amp;ROUND(O46,0),"")&amp;"；分红 HK$"&amp;ROUND(G46,0),IF(G46&gt;0,"收到分红 HK$"&amp;ROUND(G46,0),"无需操作")))))</f>
        <v>收到分红 HK$75</v>
      </c>
      <c r="D46" s="17">
        <f>月度资金流!H46</f>
        <v>0</v>
      </c>
      <c r="E46" s="18">
        <f>月度资金流!I46</f>
        <v>0</v>
      </c>
      <c r="F46" s="18">
        <f>月度资金流!K46</f>
        <v>0</v>
      </c>
      <c r="G46" s="19">
        <f>月度资金流!N46</f>
        <v>75</v>
      </c>
      <c r="H46" s="20">
        <f>月度资金流!W46</f>
        <v>0</v>
      </c>
      <c r="I46" s="18">
        <f>月度资金流!Z46</f>
        <v>0</v>
      </c>
      <c r="J46" s="21">
        <f>月度资金流!O46</f>
        <v>0</v>
      </c>
      <c r="K46" s="21">
        <f>月度资金流!P46</f>
        <v>0</v>
      </c>
      <c r="L46" s="18">
        <f>月度资金流!Q46</f>
        <v>0</v>
      </c>
      <c r="M46" s="18">
        <f>月度资金流!R46</f>
        <v>0</v>
      </c>
      <c r="N46" s="18">
        <f>月度资金流!U46</f>
        <v>0</v>
      </c>
      <c r="O46" s="22">
        <f>月度资金流!AA46</f>
        <v>0</v>
      </c>
      <c r="P46" s="18">
        <f>月度资金流!AC46</f>
        <v>2169.953488372139</v>
      </c>
      <c r="Q46" s="23">
        <f>月度资金流!AD46</f>
        <v>1500</v>
      </c>
      <c r="R46" s="18">
        <f>月度资金流!AE46</f>
        <v>15000</v>
      </c>
      <c r="S46" s="21">
        <f>月度资金流!AF46</f>
        <v>0</v>
      </c>
      <c r="T46" s="18">
        <f>月度资金流!AI46</f>
        <v>17169.953488372139</v>
      </c>
    </row>
    <row r="47" spans="1:20" ht="15" customHeight="1">
      <c r="A47" s="15">
        <f>月度资金流!A47</f>
        <v>47453</v>
      </c>
      <c r="B47" t="str">
        <f>月度资金流!B47</f>
        <v>期后：内部池优先+外部池</v>
      </c>
      <c r="C47" s="16" t="str">
        <f>IF(D47&gt;0,"买入 "&amp;ROUND(D47,0)&amp;" 股，支付 HK$"&amp;ROUND(E47,0)&amp;"，找零 HK$"&amp;ROUND(F47,0)&amp;"；分红 HK$"&amp;ROUND(G47,0),IF(H47&gt;0,"卖出 "&amp;ROUND(H47,0)&amp;" 股，净收 HK$"&amp;ROUND(I47,0)&amp;"；内部池支付 HK$"&amp;ROUND(N47,0)&amp;"；分红 HK$"&amp;ROUND(G47,0),IF(M47&gt;0,"新贷款抵还 HK$"&amp;ROUND(M47,0)&amp;"；内部池支付 HK$"&amp;ROUND(N47,0)&amp;"；分红 HK$"&amp;ROUND(G47,0),IF(L47&gt;0,"应还 HK$"&amp;ROUND(L47,0)&amp;"；内部池支付 HK$"&amp;ROUND(N47,0)&amp;IF(O47&gt;0,"；外部池投入 HK$"&amp;ROUND(O47,0),"")&amp;"；分红 HK$"&amp;ROUND(G47,0),IF(G47&gt;0,"收到分红 HK$"&amp;ROUND(G47,0),"无需操作")))))</f>
        <v>收到分红 HK$75</v>
      </c>
      <c r="D47" s="17">
        <f>月度资金流!H47</f>
        <v>0</v>
      </c>
      <c r="E47" s="18">
        <f>月度资金流!I47</f>
        <v>0</v>
      </c>
      <c r="F47" s="18">
        <f>月度资金流!K47</f>
        <v>0</v>
      </c>
      <c r="G47" s="19">
        <f>月度资金流!N47</f>
        <v>75</v>
      </c>
      <c r="H47" s="20">
        <f>月度资金流!W47</f>
        <v>0</v>
      </c>
      <c r="I47" s="18">
        <f>月度资金流!Z47</f>
        <v>0</v>
      </c>
      <c r="J47" s="21">
        <f>月度资金流!O47</f>
        <v>0</v>
      </c>
      <c r="K47" s="21">
        <f>月度资金流!P47</f>
        <v>0</v>
      </c>
      <c r="L47" s="18">
        <f>月度资金流!Q47</f>
        <v>0</v>
      </c>
      <c r="M47" s="18">
        <f>月度资金流!R47</f>
        <v>0</v>
      </c>
      <c r="N47" s="18">
        <f>月度资金流!U47</f>
        <v>0</v>
      </c>
      <c r="O47" s="22">
        <f>月度资金流!AA47</f>
        <v>0</v>
      </c>
      <c r="P47" s="18">
        <f>月度资金流!AC47</f>
        <v>2244.953488372139</v>
      </c>
      <c r="Q47" s="23">
        <f>月度资金流!AD47</f>
        <v>1500</v>
      </c>
      <c r="R47" s="18">
        <f>月度资金流!AE47</f>
        <v>15000</v>
      </c>
      <c r="S47" s="21">
        <f>月度资金流!AF47</f>
        <v>0</v>
      </c>
      <c r="T47" s="18">
        <f>月度资金流!AI47</f>
        <v>17244.953488372139</v>
      </c>
    </row>
    <row r="48" spans="1:20" ht="15" customHeight="1">
      <c r="A48" s="15">
        <f>月度资金流!A48</f>
        <v>47484</v>
      </c>
      <c r="B48" t="str">
        <f>月度资金流!B48</f>
        <v>期后：内部池优先+外部池</v>
      </c>
      <c r="C48" s="16" t="str">
        <f>IF(D48&gt;0,"买入 "&amp;ROUND(D48,0)&amp;" 股，支付 HK$"&amp;ROUND(E48,0)&amp;"，找零 HK$"&amp;ROUND(F48,0)&amp;"；分红 HK$"&amp;ROUND(G48,0),IF(H48&gt;0,"卖出 "&amp;ROUND(H48,0)&amp;" 股，净收 HK$"&amp;ROUND(I48,0)&amp;"；内部池支付 HK$"&amp;ROUND(N48,0)&amp;"；分红 HK$"&amp;ROUND(G48,0),IF(M48&gt;0,"新贷款抵还 HK$"&amp;ROUND(M48,0)&amp;"；内部池支付 HK$"&amp;ROUND(N48,0)&amp;"；分红 HK$"&amp;ROUND(G48,0),IF(L48&gt;0,"应还 HK$"&amp;ROUND(L48,0)&amp;"；内部池支付 HK$"&amp;ROUND(N48,0)&amp;IF(O48&gt;0,"；外部池投入 HK$"&amp;ROUND(O48,0),"")&amp;"；分红 HK$"&amp;ROUND(G48,0),IF(G48&gt;0,"收到分红 HK$"&amp;ROUND(G48,0),"无需操作")))))</f>
        <v>收到分红 HK$75</v>
      </c>
      <c r="D48" s="17">
        <f>月度资金流!H48</f>
        <v>0</v>
      </c>
      <c r="E48" s="18">
        <f>月度资金流!I48</f>
        <v>0</v>
      </c>
      <c r="F48" s="18">
        <f>月度资金流!K48</f>
        <v>0</v>
      </c>
      <c r="G48" s="19">
        <f>月度资金流!N48</f>
        <v>75</v>
      </c>
      <c r="H48" s="20">
        <f>月度资金流!W48</f>
        <v>0</v>
      </c>
      <c r="I48" s="18">
        <f>月度资金流!Z48</f>
        <v>0</v>
      </c>
      <c r="J48" s="21">
        <f>月度资金流!O48</f>
        <v>0</v>
      </c>
      <c r="K48" s="21">
        <f>月度资金流!P48</f>
        <v>0</v>
      </c>
      <c r="L48" s="18">
        <f>月度资金流!Q48</f>
        <v>0</v>
      </c>
      <c r="M48" s="18">
        <f>月度资金流!R48</f>
        <v>0</v>
      </c>
      <c r="N48" s="18">
        <f>月度资金流!U48</f>
        <v>0</v>
      </c>
      <c r="O48" s="22">
        <f>月度资金流!AA48</f>
        <v>0</v>
      </c>
      <c r="P48" s="18">
        <f>月度资金流!AC48</f>
        <v>2319.953488372139</v>
      </c>
      <c r="Q48" s="23">
        <f>月度资金流!AD48</f>
        <v>1500</v>
      </c>
      <c r="R48" s="18">
        <f>月度资金流!AE48</f>
        <v>15000</v>
      </c>
      <c r="S48" s="21">
        <f>月度资金流!AF48</f>
        <v>0</v>
      </c>
      <c r="T48" s="18">
        <f>月度资金流!AI48</f>
        <v>17319.953488372139</v>
      </c>
    </row>
    <row r="49" spans="1:20" ht="15" customHeight="1">
      <c r="A49" s="15">
        <f>月度资金流!A49</f>
        <v>47515</v>
      </c>
      <c r="B49" t="str">
        <f>月度资金流!B49</f>
        <v>期后：内部池优先+外部池</v>
      </c>
      <c r="C49" s="16" t="str">
        <f>IF(D49&gt;0,"买入 "&amp;ROUND(D49,0)&amp;" 股，支付 HK$"&amp;ROUND(E49,0)&amp;"，找零 HK$"&amp;ROUND(F49,0)&amp;"；分红 HK$"&amp;ROUND(G49,0),IF(H49&gt;0,"卖出 "&amp;ROUND(H49,0)&amp;" 股，净收 HK$"&amp;ROUND(I49,0)&amp;"；内部池支付 HK$"&amp;ROUND(N49,0)&amp;"；分红 HK$"&amp;ROUND(G49,0),IF(M49&gt;0,"新贷款抵还 HK$"&amp;ROUND(M49,0)&amp;"；内部池支付 HK$"&amp;ROUND(N49,0)&amp;"；分红 HK$"&amp;ROUND(G49,0),IF(L49&gt;0,"应还 HK$"&amp;ROUND(L49,0)&amp;"；内部池支付 HK$"&amp;ROUND(N49,0)&amp;IF(O49&gt;0,"；外部池投入 HK$"&amp;ROUND(O49,0),"")&amp;"；分红 HK$"&amp;ROUND(G49,0),IF(G49&gt;0,"收到分红 HK$"&amp;ROUND(G49,0),"无需操作")))))</f>
        <v>收到分红 HK$75</v>
      </c>
      <c r="D49" s="17">
        <f>月度资金流!H49</f>
        <v>0</v>
      </c>
      <c r="E49" s="18">
        <f>月度资金流!I49</f>
        <v>0</v>
      </c>
      <c r="F49" s="18">
        <f>月度资金流!K49</f>
        <v>0</v>
      </c>
      <c r="G49" s="19">
        <f>月度资金流!N49</f>
        <v>75</v>
      </c>
      <c r="H49" s="20">
        <f>月度资金流!W49</f>
        <v>0</v>
      </c>
      <c r="I49" s="18">
        <f>月度资金流!Z49</f>
        <v>0</v>
      </c>
      <c r="J49" s="21">
        <f>月度资金流!O49</f>
        <v>0</v>
      </c>
      <c r="K49" s="21">
        <f>月度资金流!P49</f>
        <v>0</v>
      </c>
      <c r="L49" s="18">
        <f>月度资金流!Q49</f>
        <v>0</v>
      </c>
      <c r="M49" s="18">
        <f>月度资金流!R49</f>
        <v>0</v>
      </c>
      <c r="N49" s="18">
        <f>月度资金流!U49</f>
        <v>0</v>
      </c>
      <c r="O49" s="22">
        <f>月度资金流!AA49</f>
        <v>0</v>
      </c>
      <c r="P49" s="18">
        <f>月度资金流!AC49</f>
        <v>2394.953488372139</v>
      </c>
      <c r="Q49" s="23">
        <f>月度资金流!AD49</f>
        <v>1500</v>
      </c>
      <c r="R49" s="18">
        <f>月度资金流!AE49</f>
        <v>15000</v>
      </c>
      <c r="S49" s="21">
        <f>月度资金流!AF49</f>
        <v>0</v>
      </c>
      <c r="T49" s="18">
        <f>月度资金流!AI49</f>
        <v>17394.953488372139</v>
      </c>
    </row>
    <row r="50" spans="1:20" ht="15" customHeight="1">
      <c r="A50" s="15">
        <f>月度资金流!A50</f>
        <v>47543</v>
      </c>
      <c r="B50" t="str">
        <f>月度资金流!B50</f>
        <v>期后：内部池优先+外部池</v>
      </c>
      <c r="C50" s="16" t="str">
        <f>IF(D50&gt;0,"买入 "&amp;ROUND(D50,0)&amp;" 股，支付 HK$"&amp;ROUND(E50,0)&amp;"，找零 HK$"&amp;ROUND(F50,0)&amp;"；分红 HK$"&amp;ROUND(G50,0),IF(H50&gt;0,"卖出 "&amp;ROUND(H50,0)&amp;" 股，净收 HK$"&amp;ROUND(I50,0)&amp;"；内部池支付 HK$"&amp;ROUND(N50,0)&amp;"；分红 HK$"&amp;ROUND(G50,0),IF(M50&gt;0,"新贷款抵还 HK$"&amp;ROUND(M50,0)&amp;"；内部池支付 HK$"&amp;ROUND(N50,0)&amp;"；分红 HK$"&amp;ROUND(G50,0),IF(L50&gt;0,"应还 HK$"&amp;ROUND(L50,0)&amp;"；内部池支付 HK$"&amp;ROUND(N50,0)&amp;IF(O50&gt;0,"；外部池投入 HK$"&amp;ROUND(O50,0),"")&amp;"；分红 HK$"&amp;ROUND(G50,0),IF(G50&gt;0,"收到分红 HK$"&amp;ROUND(G50,0),"无需操作")))))</f>
        <v>收到分红 HK$75</v>
      </c>
      <c r="D50" s="17">
        <f>月度资金流!H50</f>
        <v>0</v>
      </c>
      <c r="E50" s="18">
        <f>月度资金流!I50</f>
        <v>0</v>
      </c>
      <c r="F50" s="18">
        <f>月度资金流!K50</f>
        <v>0</v>
      </c>
      <c r="G50" s="19">
        <f>月度资金流!N50</f>
        <v>75</v>
      </c>
      <c r="H50" s="20">
        <f>月度资金流!W50</f>
        <v>0</v>
      </c>
      <c r="I50" s="18">
        <f>月度资金流!Z50</f>
        <v>0</v>
      </c>
      <c r="J50" s="21">
        <f>月度资金流!O50</f>
        <v>0</v>
      </c>
      <c r="K50" s="21">
        <f>月度资金流!P50</f>
        <v>0</v>
      </c>
      <c r="L50" s="18">
        <f>月度资金流!Q50</f>
        <v>0</v>
      </c>
      <c r="M50" s="18">
        <f>月度资金流!R50</f>
        <v>0</v>
      </c>
      <c r="N50" s="18">
        <f>月度资金流!U50</f>
        <v>0</v>
      </c>
      <c r="O50" s="22">
        <f>月度资金流!AA50</f>
        <v>0</v>
      </c>
      <c r="P50" s="18">
        <f>月度资金流!AC50</f>
        <v>2469.953488372139</v>
      </c>
      <c r="Q50" s="23">
        <f>月度资金流!AD50</f>
        <v>1500</v>
      </c>
      <c r="R50" s="18">
        <f>月度资金流!AE50</f>
        <v>15000</v>
      </c>
      <c r="S50" s="21">
        <f>月度资金流!AF50</f>
        <v>0</v>
      </c>
      <c r="T50" s="18">
        <f>月度资金流!AI50</f>
        <v>17469.953488372139</v>
      </c>
    </row>
    <row r="51" spans="1:20" ht="15" customHeight="1">
      <c r="A51" s="15">
        <f>月度资金流!A51</f>
        <v>47574</v>
      </c>
      <c r="B51" t="str">
        <f>月度资金流!B51</f>
        <v>期后：内部池优先+外部池</v>
      </c>
      <c r="C51" s="16" t="str">
        <f>IF(D51&gt;0,"买入 "&amp;ROUND(D51,0)&amp;" 股，支付 HK$"&amp;ROUND(E51,0)&amp;"，找零 HK$"&amp;ROUND(F51,0)&amp;"；分红 HK$"&amp;ROUND(G51,0),IF(H51&gt;0,"卖出 "&amp;ROUND(H51,0)&amp;" 股，净收 HK$"&amp;ROUND(I51,0)&amp;"；内部池支付 HK$"&amp;ROUND(N51,0)&amp;"；分红 HK$"&amp;ROUND(G51,0),IF(M51&gt;0,"新贷款抵还 HK$"&amp;ROUND(M51,0)&amp;"；内部池支付 HK$"&amp;ROUND(N51,0)&amp;"；分红 HK$"&amp;ROUND(G51,0),IF(L51&gt;0,"应还 HK$"&amp;ROUND(L51,0)&amp;"；内部池支付 HK$"&amp;ROUND(N51,0)&amp;IF(O51&gt;0,"；外部池投入 HK$"&amp;ROUND(O51,0),"")&amp;"；分红 HK$"&amp;ROUND(G51,0),IF(G51&gt;0,"收到分红 HK$"&amp;ROUND(G51,0),"无需操作")))))</f>
        <v>收到分红 HK$75</v>
      </c>
      <c r="D51" s="17">
        <f>月度资金流!H51</f>
        <v>0</v>
      </c>
      <c r="E51" s="18">
        <f>月度资金流!I51</f>
        <v>0</v>
      </c>
      <c r="F51" s="18">
        <f>月度资金流!K51</f>
        <v>0</v>
      </c>
      <c r="G51" s="19">
        <f>月度资金流!N51</f>
        <v>75</v>
      </c>
      <c r="H51" s="20">
        <f>月度资金流!W51</f>
        <v>0</v>
      </c>
      <c r="I51" s="18">
        <f>月度资金流!Z51</f>
        <v>0</v>
      </c>
      <c r="J51" s="21">
        <f>月度资金流!O51</f>
        <v>0</v>
      </c>
      <c r="K51" s="21">
        <f>月度资金流!P51</f>
        <v>0</v>
      </c>
      <c r="L51" s="18">
        <f>月度资金流!Q51</f>
        <v>0</v>
      </c>
      <c r="M51" s="18">
        <f>月度资金流!R51</f>
        <v>0</v>
      </c>
      <c r="N51" s="18">
        <f>月度资金流!U51</f>
        <v>0</v>
      </c>
      <c r="O51" s="22">
        <f>月度资金流!AA51</f>
        <v>0</v>
      </c>
      <c r="P51" s="18">
        <f>月度资金流!AC51</f>
        <v>2544.953488372139</v>
      </c>
      <c r="Q51" s="23">
        <f>月度资金流!AD51</f>
        <v>1500</v>
      </c>
      <c r="R51" s="18">
        <f>月度资金流!AE51</f>
        <v>15000</v>
      </c>
      <c r="S51" s="21">
        <f>月度资金流!AF51</f>
        <v>0</v>
      </c>
      <c r="T51" s="18">
        <f>月度资金流!AI51</f>
        <v>17544.953488372139</v>
      </c>
    </row>
    <row r="52" spans="1:20" ht="15" customHeight="1">
      <c r="A52" s="15">
        <f>月度资金流!A52</f>
        <v>47604</v>
      </c>
      <c r="B52" t="str">
        <f>月度资金流!B52</f>
        <v>期后：内部池优先+外部池</v>
      </c>
      <c r="C52" s="16" t="str">
        <f>IF(D52&gt;0,"买入 "&amp;ROUND(D52,0)&amp;" 股，支付 HK$"&amp;ROUND(E52,0)&amp;"，找零 HK$"&amp;ROUND(F52,0)&amp;"；分红 HK$"&amp;ROUND(G52,0),IF(H52&gt;0,"卖出 "&amp;ROUND(H52,0)&amp;" 股，净收 HK$"&amp;ROUND(I52,0)&amp;"；内部池支付 HK$"&amp;ROUND(N52,0)&amp;"；分红 HK$"&amp;ROUND(G52,0),IF(M52&gt;0,"新贷款抵还 HK$"&amp;ROUND(M52,0)&amp;"；内部池支付 HK$"&amp;ROUND(N52,0)&amp;"；分红 HK$"&amp;ROUND(G52,0),IF(L52&gt;0,"应还 HK$"&amp;ROUND(L52,0)&amp;"；内部池支付 HK$"&amp;ROUND(N52,0)&amp;IF(O52&gt;0,"；外部池投入 HK$"&amp;ROUND(O52,0),"")&amp;"；分红 HK$"&amp;ROUND(G52,0),IF(G52&gt;0,"收到分红 HK$"&amp;ROUND(G52,0),"无需操作")))))</f>
        <v>收到分红 HK$75</v>
      </c>
      <c r="D52" s="17">
        <f>月度资金流!H52</f>
        <v>0</v>
      </c>
      <c r="E52" s="18">
        <f>月度资金流!I52</f>
        <v>0</v>
      </c>
      <c r="F52" s="18">
        <f>月度资金流!K52</f>
        <v>0</v>
      </c>
      <c r="G52" s="19">
        <f>月度资金流!N52</f>
        <v>75</v>
      </c>
      <c r="H52" s="20">
        <f>月度资金流!W52</f>
        <v>0</v>
      </c>
      <c r="I52" s="18">
        <f>月度资金流!Z52</f>
        <v>0</v>
      </c>
      <c r="J52" s="21">
        <f>月度资金流!O52</f>
        <v>0</v>
      </c>
      <c r="K52" s="21">
        <f>月度资金流!P52</f>
        <v>0</v>
      </c>
      <c r="L52" s="18">
        <f>月度资金流!Q52</f>
        <v>0</v>
      </c>
      <c r="M52" s="18">
        <f>月度资金流!R52</f>
        <v>0</v>
      </c>
      <c r="N52" s="18">
        <f>月度资金流!U52</f>
        <v>0</v>
      </c>
      <c r="O52" s="22">
        <f>月度资金流!AA52</f>
        <v>0</v>
      </c>
      <c r="P52" s="18">
        <f>月度资金流!AC52</f>
        <v>2619.953488372139</v>
      </c>
      <c r="Q52" s="23">
        <f>月度资金流!AD52</f>
        <v>1500</v>
      </c>
      <c r="R52" s="18">
        <f>月度资金流!AE52</f>
        <v>15000</v>
      </c>
      <c r="S52" s="21">
        <f>月度资金流!AF52</f>
        <v>0</v>
      </c>
      <c r="T52" s="18">
        <f>月度资金流!AI52</f>
        <v>17619.953488372139</v>
      </c>
    </row>
    <row r="53" spans="1:20" ht="15" customHeight="1">
      <c r="A53" s="15">
        <f>月度资金流!A53</f>
        <v>47635</v>
      </c>
      <c r="B53" t="str">
        <f>月度资金流!B53</f>
        <v>期后：内部池优先+外部池</v>
      </c>
      <c r="C53" s="16" t="str">
        <f>IF(D53&gt;0,"买入 "&amp;ROUND(D53,0)&amp;" 股，支付 HK$"&amp;ROUND(E53,0)&amp;"，找零 HK$"&amp;ROUND(F53,0)&amp;"；分红 HK$"&amp;ROUND(G53,0),IF(H53&gt;0,"卖出 "&amp;ROUND(H53,0)&amp;" 股，净收 HK$"&amp;ROUND(I53,0)&amp;"；内部池支付 HK$"&amp;ROUND(N53,0)&amp;"；分红 HK$"&amp;ROUND(G53,0),IF(M53&gt;0,"新贷款抵还 HK$"&amp;ROUND(M53,0)&amp;"；内部池支付 HK$"&amp;ROUND(N53,0)&amp;"；分红 HK$"&amp;ROUND(G53,0),IF(L53&gt;0,"应还 HK$"&amp;ROUND(L53,0)&amp;"；内部池支付 HK$"&amp;ROUND(N53,0)&amp;IF(O53&gt;0,"；外部池投入 HK$"&amp;ROUND(O53,0),"")&amp;"；分红 HK$"&amp;ROUND(G53,0),IF(G53&gt;0,"收到分红 HK$"&amp;ROUND(G53,0),"无需操作")))))</f>
        <v>收到分红 HK$75</v>
      </c>
      <c r="D53" s="17">
        <f>月度资金流!H53</f>
        <v>0</v>
      </c>
      <c r="E53" s="18">
        <f>月度资金流!I53</f>
        <v>0</v>
      </c>
      <c r="F53" s="18">
        <f>月度资金流!K53</f>
        <v>0</v>
      </c>
      <c r="G53" s="19">
        <f>月度资金流!N53</f>
        <v>75</v>
      </c>
      <c r="H53" s="20">
        <f>月度资金流!W53</f>
        <v>0</v>
      </c>
      <c r="I53" s="18">
        <f>月度资金流!Z53</f>
        <v>0</v>
      </c>
      <c r="J53" s="21">
        <f>月度资金流!O53</f>
        <v>0</v>
      </c>
      <c r="K53" s="21">
        <f>月度资金流!P53</f>
        <v>0</v>
      </c>
      <c r="L53" s="18">
        <f>月度资金流!Q53</f>
        <v>0</v>
      </c>
      <c r="M53" s="18">
        <f>月度资金流!R53</f>
        <v>0</v>
      </c>
      <c r="N53" s="18">
        <f>月度资金流!U53</f>
        <v>0</v>
      </c>
      <c r="O53" s="22">
        <f>月度资金流!AA53</f>
        <v>0</v>
      </c>
      <c r="P53" s="18">
        <f>月度资金流!AC53</f>
        <v>2694.953488372139</v>
      </c>
      <c r="Q53" s="23">
        <f>月度资金流!AD53</f>
        <v>1500</v>
      </c>
      <c r="R53" s="18">
        <f>月度资金流!AE53</f>
        <v>15000</v>
      </c>
      <c r="S53" s="21">
        <f>月度资金流!AF53</f>
        <v>0</v>
      </c>
      <c r="T53" s="18">
        <f>月度资金流!AI53</f>
        <v>17694.953488372139</v>
      </c>
    </row>
    <row r="54" spans="1:20" ht="15" customHeight="1">
      <c r="A54" s="15">
        <f>月度资金流!A54</f>
        <v>47665</v>
      </c>
      <c r="B54" t="str">
        <f>月度资金流!B54</f>
        <v>期后：内部池优先+外部池</v>
      </c>
      <c r="C54" s="16" t="str">
        <f>IF(D54&gt;0,"买入 "&amp;ROUND(D54,0)&amp;" 股，支付 HK$"&amp;ROUND(E54,0)&amp;"，找零 HK$"&amp;ROUND(F54,0)&amp;"；分红 HK$"&amp;ROUND(G54,0),IF(H54&gt;0,"卖出 "&amp;ROUND(H54,0)&amp;" 股，净收 HK$"&amp;ROUND(I54,0)&amp;"；内部池支付 HK$"&amp;ROUND(N54,0)&amp;"；分红 HK$"&amp;ROUND(G54,0),IF(M54&gt;0,"新贷款抵还 HK$"&amp;ROUND(M54,0)&amp;"；内部池支付 HK$"&amp;ROUND(N54,0)&amp;"；分红 HK$"&amp;ROUND(G54,0),IF(L54&gt;0,"应还 HK$"&amp;ROUND(L54,0)&amp;"；内部池支付 HK$"&amp;ROUND(N54,0)&amp;IF(O54&gt;0,"；外部池投入 HK$"&amp;ROUND(O54,0),"")&amp;"；分红 HK$"&amp;ROUND(G54,0),IF(G54&gt;0,"收到分红 HK$"&amp;ROUND(G54,0),"无需操作")))))</f>
        <v>收到分红 HK$75</v>
      </c>
      <c r="D54" s="17">
        <f>月度资金流!H54</f>
        <v>0</v>
      </c>
      <c r="E54" s="18">
        <f>月度资金流!I54</f>
        <v>0</v>
      </c>
      <c r="F54" s="18">
        <f>月度资金流!K54</f>
        <v>0</v>
      </c>
      <c r="G54" s="19">
        <f>月度资金流!N54</f>
        <v>75</v>
      </c>
      <c r="H54" s="20">
        <f>月度资金流!W54</f>
        <v>0</v>
      </c>
      <c r="I54" s="18">
        <f>月度资金流!Z54</f>
        <v>0</v>
      </c>
      <c r="J54" s="21">
        <f>月度资金流!O54</f>
        <v>0</v>
      </c>
      <c r="K54" s="21">
        <f>月度资金流!P54</f>
        <v>0</v>
      </c>
      <c r="L54" s="18">
        <f>月度资金流!Q54</f>
        <v>0</v>
      </c>
      <c r="M54" s="18">
        <f>月度资金流!R54</f>
        <v>0</v>
      </c>
      <c r="N54" s="18">
        <f>月度资金流!U54</f>
        <v>0</v>
      </c>
      <c r="O54" s="22">
        <f>月度资金流!AA54</f>
        <v>0</v>
      </c>
      <c r="P54" s="18">
        <f>月度资金流!AC54</f>
        <v>2769.953488372139</v>
      </c>
      <c r="Q54" s="23">
        <f>月度资金流!AD54</f>
        <v>1500</v>
      </c>
      <c r="R54" s="18">
        <f>月度资金流!AE54</f>
        <v>15000</v>
      </c>
      <c r="S54" s="21">
        <f>月度资金流!AF54</f>
        <v>0</v>
      </c>
      <c r="T54" s="18">
        <f>月度资金流!AI54</f>
        <v>17769.953488372139</v>
      </c>
    </row>
  </sheetData>
  <autoFilter ref="A6:T54" xr:uid="{00000000-0009-0000-0000-000002000000}"/>
  <mergeCells count="1">
    <mergeCell ref="A1:T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54"/>
  <sheetViews>
    <sheetView showGridLines="0" zoomScaleNormal="100" workbookViewId="0">
      <pane ySplit="6" topLeftCell="A7" activePane="bottomLeft" state="frozen"/>
      <selection pane="bottomLeft"/>
    </sheetView>
  </sheetViews>
  <sheetFormatPr defaultColWidth="8.7109375" defaultRowHeight="15"/>
  <cols>
    <col min="1" max="1" width="11" customWidth="1"/>
    <col min="2" max="2" width="28" customWidth="1"/>
    <col min="3" max="36" width="18" customWidth="1"/>
  </cols>
  <sheetData>
    <row r="1" spans="1:36" ht="24.75" customHeight="1">
      <c r="A1" s="27" t="s">
        <v>70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</row>
    <row r="6" spans="1:36" ht="27.75" customHeight="1">
      <c r="A6" s="14" t="s">
        <v>50</v>
      </c>
      <c r="B6" s="14" t="s">
        <v>51</v>
      </c>
      <c r="C6" s="14" t="s">
        <v>71</v>
      </c>
      <c r="D6" s="14" t="s">
        <v>72</v>
      </c>
      <c r="E6" s="14" t="s">
        <v>73</v>
      </c>
      <c r="F6" s="14" t="s">
        <v>74</v>
      </c>
      <c r="G6" s="14" t="s">
        <v>41</v>
      </c>
      <c r="H6" s="14" t="s">
        <v>53</v>
      </c>
      <c r="I6" s="14" t="s">
        <v>75</v>
      </c>
      <c r="J6" s="14" t="s">
        <v>76</v>
      </c>
      <c r="K6" s="14" t="s">
        <v>77</v>
      </c>
      <c r="L6" s="14" t="s">
        <v>78</v>
      </c>
      <c r="M6" s="14" t="s">
        <v>79</v>
      </c>
      <c r="N6" s="14" t="s">
        <v>56</v>
      </c>
      <c r="O6" s="14" t="s">
        <v>59</v>
      </c>
      <c r="P6" s="14" t="s">
        <v>60</v>
      </c>
      <c r="Q6" s="14" t="s">
        <v>61</v>
      </c>
      <c r="R6" s="14" t="s">
        <v>62</v>
      </c>
      <c r="S6" s="14" t="s">
        <v>80</v>
      </c>
      <c r="T6" s="14" t="s">
        <v>81</v>
      </c>
      <c r="U6" s="14" t="s">
        <v>63</v>
      </c>
      <c r="V6" s="14" t="s">
        <v>82</v>
      </c>
      <c r="W6" s="14" t="s">
        <v>57</v>
      </c>
      <c r="X6" s="14" t="s">
        <v>83</v>
      </c>
      <c r="Y6" s="14" t="s">
        <v>84</v>
      </c>
      <c r="Z6" s="14" t="s">
        <v>85</v>
      </c>
      <c r="AA6" s="14" t="s">
        <v>64</v>
      </c>
      <c r="AB6" s="14" t="s">
        <v>86</v>
      </c>
      <c r="AC6" s="14" t="s">
        <v>65</v>
      </c>
      <c r="AD6" s="14" t="s">
        <v>87</v>
      </c>
      <c r="AE6" s="14" t="s">
        <v>88</v>
      </c>
      <c r="AF6" s="14" t="s">
        <v>89</v>
      </c>
      <c r="AG6" s="14" t="s">
        <v>90</v>
      </c>
      <c r="AH6" s="14" t="s">
        <v>91</v>
      </c>
      <c r="AI6" s="14" t="s">
        <v>69</v>
      </c>
      <c r="AJ6" s="14" t="s">
        <v>92</v>
      </c>
    </row>
    <row r="7" spans="1:36" ht="15" customHeight="1">
      <c r="A7" s="15">
        <f>EDATE(DATE(YEAR(参数设置!$B$4),MONTH(参数设置!$B$4),1),ROW()-7)</f>
        <v>46235</v>
      </c>
      <c r="B7" s="4" t="s">
        <v>93</v>
      </c>
      <c r="C7" s="21">
        <f>IF(AND(ROW()-6&lt;=参数设置!$B$6,OR(B7=策略字典!$A$1,B7=策略字典!$A$2)),参数设置!$B$5,0)</f>
        <v>23400</v>
      </c>
      <c r="D7" s="9">
        <f>参数设置!$B$7</f>
        <v>0.86</v>
      </c>
      <c r="E7" s="18">
        <f>IF(B7=策略字典!$A$1,C7/D7,0)</f>
        <v>27209.302325581397</v>
      </c>
      <c r="F7" s="18">
        <f>参数设置!$B$18</f>
        <v>10</v>
      </c>
      <c r="G7">
        <f>参数设置!$B$19</f>
        <v>500</v>
      </c>
      <c r="H7" s="23">
        <f>IF(E7=0,0,FLOOR(E7/(F7*(1+参数设置!$B$22)),G7))</f>
        <v>2500</v>
      </c>
      <c r="I7" s="18">
        <f>H7*F7</f>
        <v>25000</v>
      </c>
      <c r="J7" s="18">
        <f>I7*参数设置!$B$22</f>
        <v>0</v>
      </c>
      <c r="K7" s="18">
        <f>MAX(0,E7-I7-J7)</f>
        <v>2209.3023255813969</v>
      </c>
      <c r="L7" s="23">
        <f>IF(ROW()=7,0,AD6)</f>
        <v>0</v>
      </c>
      <c r="M7" s="18">
        <f>(L7+H7)*参数设置!$B$20</f>
        <v>125</v>
      </c>
      <c r="N7" s="18">
        <f>0</f>
        <v>0</v>
      </c>
      <c r="O7" s="21">
        <f>SUMIFS(贷款明细!$I$4:$I$435,贷款明细!$G$4:$G$435,"&gt;="&amp;A7,贷款明细!$G$4:$G$435,"&lt;"&amp;EDATE(A7,1))</f>
        <v>0</v>
      </c>
      <c r="P7" s="21">
        <f>SUMIFS(贷款明细!$J$4:$J$435,贷款明细!$G$4:$G$435,"&gt;="&amp;A7,贷款明细!$G$4:$G$435,"&lt;"&amp;EDATE(A7,1))</f>
        <v>0</v>
      </c>
      <c r="Q7" s="18">
        <f>(O7+P7)/D7</f>
        <v>0</v>
      </c>
      <c r="R7" s="18">
        <f>IF(B7=策略字典!$A$2,MIN(C7,O7)/D7,0)</f>
        <v>0</v>
      </c>
      <c r="S7" s="18">
        <f>IF(ROW()=7,0,AC6)</f>
        <v>0</v>
      </c>
      <c r="T7" s="18">
        <f>S7+N7+K7</f>
        <v>2209.3023255813969</v>
      </c>
      <c r="U7" s="18">
        <f>MIN(T7,MAX(0,Q7-R7))</f>
        <v>0</v>
      </c>
      <c r="V7" s="18">
        <f>MAX(0,Q7-R7-U7)</f>
        <v>0</v>
      </c>
      <c r="W7" s="23">
        <f>IF(B7=策略字典!$A$3,MIN(L7+H7,CEILING(V7/(F7*(1-参数设置!$B$23)),G7)),0)</f>
        <v>0</v>
      </c>
      <c r="X7" s="18">
        <f>W7*F7</f>
        <v>0</v>
      </c>
      <c r="Y7" s="18">
        <f>X7*参数设置!$B$23</f>
        <v>0</v>
      </c>
      <c r="Z7" s="18">
        <f>X7-Y7</f>
        <v>0</v>
      </c>
      <c r="AA7" s="18">
        <f>MAX(0,V7-Z7)</f>
        <v>0</v>
      </c>
      <c r="AB7" s="18">
        <f>MAX(0,Z7-V7)</f>
        <v>0</v>
      </c>
      <c r="AC7" s="18">
        <f>T7-U7+AB7</f>
        <v>2209.3023255813969</v>
      </c>
      <c r="AD7" s="23">
        <f>MAX(0,L7+H7-W7)</f>
        <v>2500</v>
      </c>
      <c r="AE7" s="18">
        <f>AD7*F7</f>
        <v>25000</v>
      </c>
      <c r="AF7" s="21">
        <f>SUM($C$7:C7)-SUM($O$7:O7)</f>
        <v>23400</v>
      </c>
      <c r="AG7" s="18">
        <f>AF7/D7</f>
        <v>27209.302325581397</v>
      </c>
      <c r="AH7" s="18">
        <f>AE7+AC7</f>
        <v>27209.302325581397</v>
      </c>
      <c r="AI7" s="18">
        <f>AH7-AG7-SUM($AA$7:AA7)</f>
        <v>0</v>
      </c>
      <c r="AJ7" s="24">
        <f>R7+U7+MIN(Z7,V7)+AA7-Q7</f>
        <v>0</v>
      </c>
    </row>
    <row r="8" spans="1:36" ht="15" customHeight="1">
      <c r="A8" s="15">
        <f>EDATE(DATE(YEAR(参数设置!$B$4),MONTH(参数设置!$B$4),1),ROW()-7)</f>
        <v>46266</v>
      </c>
      <c r="B8" s="4" t="s">
        <v>93</v>
      </c>
      <c r="C8" s="21">
        <f>IF(AND(ROW()-6&lt;=参数设置!$B$6,OR(B8=策略字典!$A$1,B8=策略字典!$A$2)),参数设置!$B$5,0)</f>
        <v>23400</v>
      </c>
      <c r="D8" s="9">
        <f>参数设置!$B$7</f>
        <v>0.86</v>
      </c>
      <c r="E8" s="18">
        <f>IF(B8=策略字典!$A$1,C8/D8,0)</f>
        <v>27209.302325581397</v>
      </c>
      <c r="F8" s="18">
        <f>参数设置!$B$18</f>
        <v>10</v>
      </c>
      <c r="G8">
        <f>参数设置!$B$19</f>
        <v>500</v>
      </c>
      <c r="H8" s="23">
        <f>IF(E8=0,0,FLOOR(E8/(F8*(1+参数设置!$B$22)),G8))</f>
        <v>2500</v>
      </c>
      <c r="I8" s="18">
        <f>H8*F8</f>
        <v>25000</v>
      </c>
      <c r="J8" s="18">
        <f>I8*参数设置!$B$22</f>
        <v>0</v>
      </c>
      <c r="K8" s="18">
        <f>MAX(0,E8-I8-J8)</f>
        <v>2209.3023255813969</v>
      </c>
      <c r="L8" s="23">
        <f>IF(ROW()=7,0,AD7)</f>
        <v>2500</v>
      </c>
      <c r="M8" s="18">
        <f>(L8+H8)*参数设置!$B$20</f>
        <v>250</v>
      </c>
      <c r="N8" s="18">
        <f>M7</f>
        <v>125</v>
      </c>
      <c r="O8" s="21">
        <f>SUMIFS(贷款明细!$I$4:$I$435,贷款明细!$G$4:$G$435,"&gt;="&amp;A8,贷款明细!$G$4:$G$435,"&lt;"&amp;EDATE(A8,1))</f>
        <v>0</v>
      </c>
      <c r="P8" s="21">
        <f>SUMIFS(贷款明细!$J$4:$J$435,贷款明细!$G$4:$G$435,"&gt;="&amp;A8,贷款明细!$G$4:$G$435,"&lt;"&amp;EDATE(A8,1))</f>
        <v>0</v>
      </c>
      <c r="Q8" s="18">
        <f>(O8+P8)/D8</f>
        <v>0</v>
      </c>
      <c r="R8" s="18">
        <f>IF(B8=策略字典!$A$2,MIN(C8,O8)/D8,0)</f>
        <v>0</v>
      </c>
      <c r="S8" s="18">
        <f>IF(ROW()=7,0,AC7)</f>
        <v>2209.3023255813969</v>
      </c>
      <c r="T8" s="18">
        <f>S8+N8+K8</f>
        <v>4543.6046511627937</v>
      </c>
      <c r="U8" s="18">
        <f>MIN(T8,MAX(0,Q8-R8))</f>
        <v>0</v>
      </c>
      <c r="V8" s="18">
        <f>MAX(0,Q8-R8-U8)</f>
        <v>0</v>
      </c>
      <c r="W8" s="23">
        <f>IF(B8=策略字典!$A$3,MIN(L8+H8,CEILING(V8/(F8*(1-参数设置!$B$23)),G8)),0)</f>
        <v>0</v>
      </c>
      <c r="X8" s="18">
        <f>W8*F8</f>
        <v>0</v>
      </c>
      <c r="Y8" s="18">
        <f>X8*参数设置!$B$23</f>
        <v>0</v>
      </c>
      <c r="Z8" s="18">
        <f>X8-Y8</f>
        <v>0</v>
      </c>
      <c r="AA8" s="18">
        <f>MAX(0,V8-Z8)</f>
        <v>0</v>
      </c>
      <c r="AB8" s="18">
        <f>MAX(0,Z8-V8)</f>
        <v>0</v>
      </c>
      <c r="AC8" s="18">
        <f>T8-U8+AB8</f>
        <v>4543.6046511627937</v>
      </c>
      <c r="AD8" s="23">
        <f>MAX(0,L8+H8-W8)</f>
        <v>5000</v>
      </c>
      <c r="AE8" s="18">
        <f>AD8*F8</f>
        <v>50000</v>
      </c>
      <c r="AF8" s="21">
        <f>SUM($C$7:C8)-SUM($O$7:O8)</f>
        <v>46800</v>
      </c>
      <c r="AG8" s="18">
        <f>AF8/D8</f>
        <v>54418.604651162794</v>
      </c>
      <c r="AH8" s="18">
        <f>AE8+AC8</f>
        <v>54543.604651162794</v>
      </c>
      <c r="AI8" s="18">
        <f>AH8-AG8-SUM($AA$7:AA8)</f>
        <v>125</v>
      </c>
      <c r="AJ8" s="24">
        <f>R8+U8+MIN(Z8,V8)+AA8-Q8</f>
        <v>0</v>
      </c>
    </row>
    <row r="9" spans="1:36" ht="15" customHeight="1">
      <c r="A9" s="15">
        <f>EDATE(DATE(YEAR(参数设置!$B$4),MONTH(参数设置!$B$4),1),ROW()-7)</f>
        <v>46296</v>
      </c>
      <c r="B9" s="4" t="s">
        <v>93</v>
      </c>
      <c r="C9" s="21">
        <f>IF(AND(ROW()-6&lt;=参数设置!$B$6,OR(B9=策略字典!$A$1,B9=策略字典!$A$2)),参数设置!$B$5,0)</f>
        <v>23400</v>
      </c>
      <c r="D9" s="9">
        <f>参数设置!$B$7</f>
        <v>0.86</v>
      </c>
      <c r="E9" s="18">
        <f>IF(B9=策略字典!$A$1,C9/D9,0)</f>
        <v>27209.302325581397</v>
      </c>
      <c r="F9" s="18">
        <f>参数设置!$B$18</f>
        <v>10</v>
      </c>
      <c r="G9">
        <f>参数设置!$B$19</f>
        <v>500</v>
      </c>
      <c r="H9" s="23">
        <f>IF(E9=0,0,FLOOR(E9/(F9*(1+参数设置!$B$22)),G9))</f>
        <v>2500</v>
      </c>
      <c r="I9" s="18">
        <f>H9*F9</f>
        <v>25000</v>
      </c>
      <c r="J9" s="18">
        <f>I9*参数设置!$B$22</f>
        <v>0</v>
      </c>
      <c r="K9" s="18">
        <f>MAX(0,E9-I9-J9)</f>
        <v>2209.3023255813969</v>
      </c>
      <c r="L9" s="23">
        <f>IF(ROW()=7,0,AD8)</f>
        <v>5000</v>
      </c>
      <c r="M9" s="18">
        <f>(L9+H9)*参数设置!$B$20</f>
        <v>375</v>
      </c>
      <c r="N9" s="18">
        <f>M8</f>
        <v>250</v>
      </c>
      <c r="O9" s="21">
        <f>SUMIFS(贷款明细!$I$4:$I$435,贷款明细!$G$4:$G$435,"&gt;="&amp;A9,贷款明细!$G$4:$G$435,"&lt;"&amp;EDATE(A9,1))</f>
        <v>0</v>
      </c>
      <c r="P9" s="21">
        <f>SUMIFS(贷款明细!$J$4:$J$435,贷款明细!$G$4:$G$435,"&gt;="&amp;A9,贷款明细!$G$4:$G$435,"&lt;"&amp;EDATE(A9,1))</f>
        <v>120.12</v>
      </c>
      <c r="Q9" s="18">
        <f>(O9+P9)/D9</f>
        <v>139.67441860465118</v>
      </c>
      <c r="R9" s="18">
        <f>IF(B9=策略字典!$A$2,MIN(C9,O9)/D9,0)</f>
        <v>0</v>
      </c>
      <c r="S9" s="18">
        <f>IF(ROW()=7,0,AC8)</f>
        <v>4543.6046511627937</v>
      </c>
      <c r="T9" s="18">
        <f>S9+N9+K9</f>
        <v>7002.9069767441906</v>
      </c>
      <c r="U9" s="18">
        <f>MIN(T9,MAX(0,Q9-R9))</f>
        <v>139.67441860465118</v>
      </c>
      <c r="V9" s="18">
        <f>MAX(0,Q9-R9-U9)</f>
        <v>0</v>
      </c>
      <c r="W9" s="23">
        <f>IF(B9=策略字典!$A$3,MIN(L9+H9,CEILING(V9/(F9*(1-参数设置!$B$23)),G9)),0)</f>
        <v>0</v>
      </c>
      <c r="X9" s="18">
        <f>W9*F9</f>
        <v>0</v>
      </c>
      <c r="Y9" s="18">
        <f>X9*参数设置!$B$23</f>
        <v>0</v>
      </c>
      <c r="Z9" s="18">
        <f>X9-Y9</f>
        <v>0</v>
      </c>
      <c r="AA9" s="18">
        <f>MAX(0,V9-Z9)</f>
        <v>0</v>
      </c>
      <c r="AB9" s="18">
        <f>MAX(0,Z9-V9)</f>
        <v>0</v>
      </c>
      <c r="AC9" s="18">
        <f>T9-U9+AB9</f>
        <v>6863.2325581395398</v>
      </c>
      <c r="AD9" s="23">
        <f>MAX(0,L9+H9-W9)</f>
        <v>7500</v>
      </c>
      <c r="AE9" s="18">
        <f>AD9*F9</f>
        <v>75000</v>
      </c>
      <c r="AF9" s="21">
        <f>SUM($C$7:C9)-SUM($O$7:O9)</f>
        <v>70200</v>
      </c>
      <c r="AG9" s="18">
        <f>AF9/D9</f>
        <v>81627.906976744183</v>
      </c>
      <c r="AH9" s="18">
        <f>AE9+AC9</f>
        <v>81863.232558139542</v>
      </c>
      <c r="AI9" s="18">
        <f>AH9-AG9-SUM($AA$7:AA9)</f>
        <v>235.32558139535831</v>
      </c>
      <c r="AJ9" s="24">
        <f>R9+U9+MIN(Z9,V9)+AA9-Q9</f>
        <v>0</v>
      </c>
    </row>
    <row r="10" spans="1:36" ht="15" customHeight="1">
      <c r="A10" s="15">
        <f>EDATE(DATE(YEAR(参数设置!$B$4),MONTH(参数设置!$B$4),1),ROW()-7)</f>
        <v>46327</v>
      </c>
      <c r="B10" s="4" t="s">
        <v>93</v>
      </c>
      <c r="C10" s="21">
        <f>IF(AND(ROW()-6&lt;=参数设置!$B$6,OR(B10=策略字典!$A$1,B10=策略字典!$A$2)),参数设置!$B$5,0)</f>
        <v>23400</v>
      </c>
      <c r="D10" s="9">
        <f>参数设置!$B$7</f>
        <v>0.86</v>
      </c>
      <c r="E10" s="18">
        <f>IF(B10=策略字典!$A$1,C10/D10,0)</f>
        <v>27209.302325581397</v>
      </c>
      <c r="F10" s="18">
        <f>参数设置!$B$18</f>
        <v>10</v>
      </c>
      <c r="G10">
        <f>参数设置!$B$19</f>
        <v>500</v>
      </c>
      <c r="H10" s="23">
        <f>IF(E10=0,0,FLOOR(E10/(F10*(1+参数设置!$B$22)),G10))</f>
        <v>2500</v>
      </c>
      <c r="I10" s="18">
        <f>H10*F10</f>
        <v>25000</v>
      </c>
      <c r="J10" s="18">
        <f>I10*参数设置!$B$22</f>
        <v>0</v>
      </c>
      <c r="K10" s="18">
        <f>MAX(0,E10-I10-J10)</f>
        <v>2209.3023255813969</v>
      </c>
      <c r="L10" s="23">
        <f>IF(ROW()=7,0,AD9)</f>
        <v>7500</v>
      </c>
      <c r="M10" s="18">
        <f>(L10+H10)*参数设置!$B$20</f>
        <v>500</v>
      </c>
      <c r="N10" s="18">
        <f>M9</f>
        <v>375</v>
      </c>
      <c r="O10" s="21">
        <f>SUMIFS(贷款明细!$I$4:$I$435,贷款明细!$G$4:$G$435,"&gt;="&amp;A10,贷款明细!$G$4:$G$435,"&lt;"&amp;EDATE(A10,1))</f>
        <v>0</v>
      </c>
      <c r="P10" s="21">
        <f>SUMIFS(贷款明细!$J$4:$J$435,贷款明细!$G$4:$G$435,"&gt;="&amp;A10,贷款明细!$G$4:$G$435,"&lt;"&amp;EDATE(A10,1))</f>
        <v>186.62</v>
      </c>
      <c r="Q10" s="18">
        <f>(O10+P10)/D10</f>
        <v>217</v>
      </c>
      <c r="R10" s="18">
        <f>IF(B10=策略字典!$A$2,MIN(C10,O10)/D10,0)</f>
        <v>0</v>
      </c>
      <c r="S10" s="18">
        <f>IF(ROW()=7,0,AC9)</f>
        <v>6863.2325581395398</v>
      </c>
      <c r="T10" s="18">
        <f>S10+N10+K10</f>
        <v>9447.5348837209367</v>
      </c>
      <c r="U10" s="18">
        <f>MIN(T10,MAX(0,Q10-R10))</f>
        <v>217</v>
      </c>
      <c r="V10" s="18">
        <f>MAX(0,Q10-R10-U10)</f>
        <v>0</v>
      </c>
      <c r="W10" s="23">
        <f>IF(B10=策略字典!$A$3,MIN(L10+H10,CEILING(V10/(F10*(1-参数设置!$B$23)),G10)),0)</f>
        <v>0</v>
      </c>
      <c r="X10" s="18">
        <f>W10*F10</f>
        <v>0</v>
      </c>
      <c r="Y10" s="18">
        <f>X10*参数设置!$B$23</f>
        <v>0</v>
      </c>
      <c r="Z10" s="18">
        <f>X10-Y10</f>
        <v>0</v>
      </c>
      <c r="AA10" s="18">
        <f>MAX(0,V10-Z10)</f>
        <v>0</v>
      </c>
      <c r="AB10" s="18">
        <f>MAX(0,Z10-V10)</f>
        <v>0</v>
      </c>
      <c r="AC10" s="18">
        <f>T10-U10+AB10</f>
        <v>9230.5348837209367</v>
      </c>
      <c r="AD10" s="23">
        <f>MAX(0,L10+H10-W10)</f>
        <v>10000</v>
      </c>
      <c r="AE10" s="18">
        <f>AD10*F10</f>
        <v>100000</v>
      </c>
      <c r="AF10" s="21">
        <f>SUM($C$7:C10)-SUM($O$7:O10)</f>
        <v>93600</v>
      </c>
      <c r="AG10" s="18">
        <f>AF10/D10</f>
        <v>108837.20930232559</v>
      </c>
      <c r="AH10" s="18">
        <f>AE10+AC10</f>
        <v>109230.53488372093</v>
      </c>
      <c r="AI10" s="18">
        <f>AH10-AG10-SUM($AA$7:AA10)</f>
        <v>393.32558139534376</v>
      </c>
      <c r="AJ10" s="24">
        <f>R10+U10+MIN(Z10,V10)+AA10-Q10</f>
        <v>0</v>
      </c>
    </row>
    <row r="11" spans="1:36" ht="15" customHeight="1">
      <c r="A11" s="15">
        <f>EDATE(DATE(YEAR(参数设置!$B$4),MONTH(参数设置!$B$4),1),ROW()-7)</f>
        <v>46357</v>
      </c>
      <c r="B11" s="4" t="s">
        <v>93</v>
      </c>
      <c r="C11" s="21">
        <f>IF(AND(ROW()-6&lt;=参数设置!$B$6,OR(B11=策略字典!$A$1,B11=策略字典!$A$2)),参数设置!$B$5,0)</f>
        <v>23400</v>
      </c>
      <c r="D11" s="9">
        <f>参数设置!$B$7</f>
        <v>0.86</v>
      </c>
      <c r="E11" s="18">
        <f>IF(B11=策略字典!$A$1,C11/D11,0)</f>
        <v>27209.302325581397</v>
      </c>
      <c r="F11" s="18">
        <f>参数设置!$B$18</f>
        <v>10</v>
      </c>
      <c r="G11">
        <f>参数设置!$B$19</f>
        <v>500</v>
      </c>
      <c r="H11" s="23">
        <f>IF(E11=0,0,FLOOR(E11/(F11*(1+参数设置!$B$22)),G11))</f>
        <v>2500</v>
      </c>
      <c r="I11" s="18">
        <f>H11*F11</f>
        <v>25000</v>
      </c>
      <c r="J11" s="18">
        <f>I11*参数设置!$B$22</f>
        <v>0</v>
      </c>
      <c r="K11" s="18">
        <f>MAX(0,E11-I11-J11)</f>
        <v>2209.3023255813969</v>
      </c>
      <c r="L11" s="23">
        <f>IF(ROW()=7,0,AD10)</f>
        <v>10000</v>
      </c>
      <c r="M11" s="18">
        <f>(L11+H11)*参数设置!$B$20</f>
        <v>625</v>
      </c>
      <c r="N11" s="18">
        <f>M10</f>
        <v>500</v>
      </c>
      <c r="O11" s="21">
        <f>SUMIFS(贷款明细!$I$4:$I$435,贷款明细!$G$4:$G$435,"&gt;="&amp;A11,贷款明细!$G$4:$G$435,"&lt;"&amp;EDATE(A11,1))</f>
        <v>0</v>
      </c>
      <c r="P11" s="21">
        <f>SUMIFS(贷款明细!$J$4:$J$435,贷款明细!$G$4:$G$435,"&gt;="&amp;A11,贷款明细!$G$4:$G$435,"&lt;"&amp;EDATE(A11,1))</f>
        <v>248.82</v>
      </c>
      <c r="Q11" s="18">
        <f>(O11+P11)/D11</f>
        <v>289.32558139534882</v>
      </c>
      <c r="R11" s="18">
        <f>IF(B11=策略字典!$A$2,MIN(C11,O11)/D11,0)</f>
        <v>0</v>
      </c>
      <c r="S11" s="18">
        <f>IF(ROW()=7,0,AC10)</f>
        <v>9230.5348837209367</v>
      </c>
      <c r="T11" s="18">
        <f>S11+N11+K11</f>
        <v>11939.837209302334</v>
      </c>
      <c r="U11" s="18">
        <f>MIN(T11,MAX(0,Q11-R11))</f>
        <v>289.32558139534882</v>
      </c>
      <c r="V11" s="18">
        <f>MAX(0,Q11-R11-U11)</f>
        <v>0</v>
      </c>
      <c r="W11" s="23">
        <f>IF(B11=策略字典!$A$3,MIN(L11+H11,CEILING(V11/(F11*(1-参数设置!$B$23)),G11)),0)</f>
        <v>0</v>
      </c>
      <c r="X11" s="18">
        <f>W11*F11</f>
        <v>0</v>
      </c>
      <c r="Y11" s="18">
        <f>X11*参数设置!$B$23</f>
        <v>0</v>
      </c>
      <c r="Z11" s="18">
        <f>X11-Y11</f>
        <v>0</v>
      </c>
      <c r="AA11" s="18">
        <f>MAX(0,V11-Z11)</f>
        <v>0</v>
      </c>
      <c r="AB11" s="18">
        <f>MAX(0,Z11-V11)</f>
        <v>0</v>
      </c>
      <c r="AC11" s="18">
        <f>T11-U11+AB11</f>
        <v>11650.511627906984</v>
      </c>
      <c r="AD11" s="23">
        <f>MAX(0,L11+H11-W11)</f>
        <v>12500</v>
      </c>
      <c r="AE11" s="18">
        <f>AD11*F11</f>
        <v>125000</v>
      </c>
      <c r="AF11" s="21">
        <f>SUM($C$7:C11)-SUM($O$7:O11)</f>
        <v>117000</v>
      </c>
      <c r="AG11" s="18">
        <f>AF11/D11</f>
        <v>136046.51162790699</v>
      </c>
      <c r="AH11" s="18">
        <f>AE11+AC11</f>
        <v>136650.51162790699</v>
      </c>
      <c r="AI11" s="18">
        <f>AH11-AG11-SUM($AA$7:AA11)</f>
        <v>604</v>
      </c>
      <c r="AJ11" s="24">
        <f>R11+U11+MIN(Z11,V11)+AA11-Q11</f>
        <v>0</v>
      </c>
    </row>
    <row r="12" spans="1:36" ht="15" customHeight="1">
      <c r="A12" s="15">
        <f>EDATE(DATE(YEAR(参数设置!$B$4),MONTH(参数设置!$B$4),1),ROW()-7)</f>
        <v>46388</v>
      </c>
      <c r="B12" s="4" t="s">
        <v>93</v>
      </c>
      <c r="C12" s="21">
        <f>IF(AND(ROW()-6&lt;=参数设置!$B$6,OR(B12=策略字典!$A$1,B12=策略字典!$A$2)),参数设置!$B$5,0)</f>
        <v>23400</v>
      </c>
      <c r="D12" s="9">
        <f>参数设置!$B$7</f>
        <v>0.86</v>
      </c>
      <c r="E12" s="18">
        <f>IF(B12=策略字典!$A$1,C12/D12,0)</f>
        <v>27209.302325581397</v>
      </c>
      <c r="F12" s="18">
        <f>参数设置!$B$18</f>
        <v>10</v>
      </c>
      <c r="G12">
        <f>参数设置!$B$19</f>
        <v>500</v>
      </c>
      <c r="H12" s="23">
        <f>IF(E12=0,0,FLOOR(E12/(F12*(1+参数设置!$B$22)),G12))</f>
        <v>2500</v>
      </c>
      <c r="I12" s="18">
        <f>H12*F12</f>
        <v>25000</v>
      </c>
      <c r="J12" s="18">
        <f>I12*参数设置!$B$22</f>
        <v>0</v>
      </c>
      <c r="K12" s="18">
        <f>MAX(0,E12-I12-J12)</f>
        <v>2209.3023255813969</v>
      </c>
      <c r="L12" s="23">
        <f>IF(ROW()=7,0,AD11)</f>
        <v>12500</v>
      </c>
      <c r="M12" s="18">
        <f>(L12+H12)*参数设置!$B$20</f>
        <v>750</v>
      </c>
      <c r="N12" s="18">
        <f>M11</f>
        <v>625</v>
      </c>
      <c r="O12" s="21">
        <f>SUMIFS(贷款明细!$I$4:$I$435,贷款明细!$G$4:$G$435,"&gt;="&amp;A12,贷款明细!$G$4:$G$435,"&lt;"&amp;EDATE(A12,1))</f>
        <v>0</v>
      </c>
      <c r="P12" s="21">
        <f>SUMIFS(贷款明细!$J$4:$J$435,贷款明细!$G$4:$G$435,"&gt;="&amp;A12,贷款明细!$G$4:$G$435,"&lt;"&amp;EDATE(A12,1))</f>
        <v>319.62</v>
      </c>
      <c r="Q12" s="18">
        <f>(O12+P12)/D12</f>
        <v>371.6511627906977</v>
      </c>
      <c r="R12" s="18">
        <f>IF(B12=策略字典!$A$2,MIN(C12,O12)/D12,0)</f>
        <v>0</v>
      </c>
      <c r="S12" s="18">
        <f>IF(ROW()=7,0,AC11)</f>
        <v>11650.511627906984</v>
      </c>
      <c r="T12" s="18">
        <f>S12+N12+K12</f>
        <v>14484.813953488381</v>
      </c>
      <c r="U12" s="18">
        <f>MIN(T12,MAX(0,Q12-R12))</f>
        <v>371.6511627906977</v>
      </c>
      <c r="V12" s="18">
        <f>MAX(0,Q12-R12-U12)</f>
        <v>0</v>
      </c>
      <c r="W12" s="23">
        <f>IF(B12=策略字典!$A$3,MIN(L12+H12,CEILING(V12/(F12*(1-参数设置!$B$23)),G12)),0)</f>
        <v>0</v>
      </c>
      <c r="X12" s="18">
        <f>W12*F12</f>
        <v>0</v>
      </c>
      <c r="Y12" s="18">
        <f>X12*参数设置!$B$23</f>
        <v>0</v>
      </c>
      <c r="Z12" s="18">
        <f>X12-Y12</f>
        <v>0</v>
      </c>
      <c r="AA12" s="18">
        <f>MAX(0,V12-Z12)</f>
        <v>0</v>
      </c>
      <c r="AB12" s="18">
        <f>MAX(0,Z12-V12)</f>
        <v>0</v>
      </c>
      <c r="AC12" s="18">
        <f>T12-U12+AB12</f>
        <v>14113.162790697683</v>
      </c>
      <c r="AD12" s="23">
        <f>MAX(0,L12+H12-W12)</f>
        <v>15000</v>
      </c>
      <c r="AE12" s="18">
        <f>AD12*F12</f>
        <v>150000</v>
      </c>
      <c r="AF12" s="21">
        <f>SUM($C$7:C12)-SUM($O$7:O12)</f>
        <v>140400</v>
      </c>
      <c r="AG12" s="18">
        <f>AF12/D12</f>
        <v>163255.81395348837</v>
      </c>
      <c r="AH12" s="18">
        <f>AE12+AC12</f>
        <v>164113.16279069768</v>
      </c>
      <c r="AI12" s="18">
        <f>AH12-AG12-SUM($AA$7:AA12)</f>
        <v>857.34883720931248</v>
      </c>
      <c r="AJ12" s="24">
        <f>R12+U12+MIN(Z12,V12)+AA12-Q12</f>
        <v>0</v>
      </c>
    </row>
    <row r="13" spans="1:36" ht="15" customHeight="1">
      <c r="A13" s="15">
        <f>EDATE(DATE(YEAR(参数设置!$B$4),MONTH(参数设置!$B$4),1),ROW()-7)</f>
        <v>46419</v>
      </c>
      <c r="B13" s="4" t="s">
        <v>93</v>
      </c>
      <c r="C13" s="21">
        <f>IF(AND(ROW()-6&lt;=参数设置!$B$6,OR(B13=策略字典!$A$1,B13=策略字典!$A$2)),参数设置!$B$5,0)</f>
        <v>23400</v>
      </c>
      <c r="D13" s="9">
        <f>参数设置!$B$7</f>
        <v>0.86</v>
      </c>
      <c r="E13" s="18">
        <f>IF(B13=策略字典!$A$1,C13/D13,0)</f>
        <v>27209.302325581397</v>
      </c>
      <c r="F13" s="18">
        <f>参数设置!$B$18</f>
        <v>10</v>
      </c>
      <c r="G13">
        <f>参数设置!$B$19</f>
        <v>500</v>
      </c>
      <c r="H13" s="23">
        <f>IF(E13=0,0,FLOOR(E13/(F13*(1+参数设置!$B$22)),G13))</f>
        <v>2500</v>
      </c>
      <c r="I13" s="18">
        <f>H13*F13</f>
        <v>25000</v>
      </c>
      <c r="J13" s="18">
        <f>I13*参数设置!$B$22</f>
        <v>0</v>
      </c>
      <c r="K13" s="18">
        <f>MAX(0,E13-I13-J13)</f>
        <v>2209.3023255813969</v>
      </c>
      <c r="L13" s="23">
        <f>IF(ROW()=7,0,AD12)</f>
        <v>15000</v>
      </c>
      <c r="M13" s="18">
        <f>(L13+H13)*参数设置!$B$20</f>
        <v>875</v>
      </c>
      <c r="N13" s="18">
        <f>M12</f>
        <v>750</v>
      </c>
      <c r="O13" s="21">
        <f>SUMIFS(贷款明细!$I$4:$I$435,贷款明细!$G$4:$G$435,"&gt;="&amp;A13,贷款明细!$G$4:$G$435,"&lt;"&amp;EDATE(A13,1))</f>
        <v>0</v>
      </c>
      <c r="P13" s="21">
        <f>SUMIFS(贷款明细!$J$4:$J$435,贷款明细!$G$4:$G$435,"&gt;="&amp;A13,贷款明细!$G$4:$G$435,"&lt;"&amp;EDATE(A13,1))</f>
        <v>388.27</v>
      </c>
      <c r="Q13" s="18">
        <f>(O13+P13)/D13</f>
        <v>451.47674418604652</v>
      </c>
      <c r="R13" s="18">
        <f>IF(B13=策略字典!$A$2,MIN(C13,O13)/D13,0)</f>
        <v>0</v>
      </c>
      <c r="S13" s="18">
        <f>IF(ROW()=7,0,AC12)</f>
        <v>14113.162790697683</v>
      </c>
      <c r="T13" s="18">
        <f>S13+N13+K13</f>
        <v>17072.46511627908</v>
      </c>
      <c r="U13" s="18">
        <f>MIN(T13,MAX(0,Q13-R13))</f>
        <v>451.47674418604652</v>
      </c>
      <c r="V13" s="18">
        <f>MAX(0,Q13-R13-U13)</f>
        <v>0</v>
      </c>
      <c r="W13" s="23">
        <f>IF(B13=策略字典!$A$3,MIN(L13+H13,CEILING(V13/(F13*(1-参数设置!$B$23)),G13)),0)</f>
        <v>0</v>
      </c>
      <c r="X13" s="18">
        <f>W13*F13</f>
        <v>0</v>
      </c>
      <c r="Y13" s="18">
        <f>X13*参数设置!$B$23</f>
        <v>0</v>
      </c>
      <c r="Z13" s="18">
        <f>X13-Y13</f>
        <v>0</v>
      </c>
      <c r="AA13" s="18">
        <f>MAX(0,V13-Z13)</f>
        <v>0</v>
      </c>
      <c r="AB13" s="18">
        <f>MAX(0,Z13-V13)</f>
        <v>0</v>
      </c>
      <c r="AC13" s="18">
        <f>T13-U13+AB13</f>
        <v>16620.988372093034</v>
      </c>
      <c r="AD13" s="23">
        <f>MAX(0,L13+H13-W13)</f>
        <v>17500</v>
      </c>
      <c r="AE13" s="18">
        <f>AD13*F13</f>
        <v>175000</v>
      </c>
      <c r="AF13" s="21">
        <f>SUM($C$7:C13)-SUM($O$7:O13)</f>
        <v>163800</v>
      </c>
      <c r="AG13" s="18">
        <f>AF13/D13</f>
        <v>190465.11627906977</v>
      </c>
      <c r="AH13" s="18">
        <f>AE13+AC13</f>
        <v>191620.98837209304</v>
      </c>
      <c r="AI13" s="18">
        <f>AH13-AG13-SUM($AA$7:AA13)</f>
        <v>1155.8720930232666</v>
      </c>
      <c r="AJ13" s="24">
        <f>R13+U13+MIN(Z13,V13)+AA13-Q13</f>
        <v>0</v>
      </c>
    </row>
    <row r="14" spans="1:36" ht="15" customHeight="1">
      <c r="A14" s="15">
        <f>EDATE(DATE(YEAR(参数设置!$B$4),MONTH(参数设置!$B$4),1),ROW()-7)</f>
        <v>46447</v>
      </c>
      <c r="B14" s="4" t="s">
        <v>93</v>
      </c>
      <c r="C14" s="21">
        <f>IF(AND(ROW()-6&lt;=参数设置!$B$6,OR(B14=策略字典!$A$1,B14=策略字典!$A$2)),参数设置!$B$5,0)</f>
        <v>23400</v>
      </c>
      <c r="D14" s="9">
        <f>参数设置!$B$7</f>
        <v>0.86</v>
      </c>
      <c r="E14" s="18">
        <f>IF(B14=策略字典!$A$1,C14/D14,0)</f>
        <v>27209.302325581397</v>
      </c>
      <c r="F14" s="18">
        <f>参数设置!$B$18</f>
        <v>10</v>
      </c>
      <c r="G14">
        <f>参数设置!$B$19</f>
        <v>500</v>
      </c>
      <c r="H14" s="23">
        <f>IF(E14=0,0,FLOOR(E14/(F14*(1+参数设置!$B$22)),G14))</f>
        <v>2500</v>
      </c>
      <c r="I14" s="18">
        <f>H14*F14</f>
        <v>25000</v>
      </c>
      <c r="J14" s="18">
        <f>I14*参数设置!$B$22</f>
        <v>0</v>
      </c>
      <c r="K14" s="18">
        <f>MAX(0,E14-I14-J14)</f>
        <v>2209.3023255813969</v>
      </c>
      <c r="L14" s="23">
        <f>IF(ROW()=7,0,AD13)</f>
        <v>17500</v>
      </c>
      <c r="M14" s="18">
        <f>(L14+H14)*参数设置!$B$20</f>
        <v>1000</v>
      </c>
      <c r="N14" s="18">
        <f>M13</f>
        <v>875</v>
      </c>
      <c r="O14" s="21">
        <f>SUMIFS(贷款明细!$I$4:$I$435,贷款明细!$G$4:$G$435,"&gt;="&amp;A14,贷款明细!$G$4:$G$435,"&lt;"&amp;EDATE(A14,1))</f>
        <v>0</v>
      </c>
      <c r="P14" s="21">
        <f>SUMIFS(贷款明细!$J$4:$J$435,贷款明细!$G$4:$G$435,"&gt;="&amp;A14,贷款明细!$G$4:$G$435,"&lt;"&amp;EDATE(A14,1))</f>
        <v>416.13</v>
      </c>
      <c r="Q14" s="18">
        <f>(O14+P14)/D14</f>
        <v>483.87209302325584</v>
      </c>
      <c r="R14" s="18">
        <f>IF(B14=策略字典!$A$2,MIN(C14,O14)/D14,0)</f>
        <v>0</v>
      </c>
      <c r="S14" s="18">
        <f>IF(ROW()=7,0,AC13)</f>
        <v>16620.988372093034</v>
      </c>
      <c r="T14" s="18">
        <f>S14+N14+K14</f>
        <v>19705.290697674431</v>
      </c>
      <c r="U14" s="18">
        <f>MIN(T14,MAX(0,Q14-R14))</f>
        <v>483.87209302325584</v>
      </c>
      <c r="V14" s="18">
        <f>MAX(0,Q14-R14-U14)</f>
        <v>0</v>
      </c>
      <c r="W14" s="23">
        <f>IF(B14=策略字典!$A$3,MIN(L14+H14,CEILING(V14/(F14*(1-参数设置!$B$23)),G14)),0)</f>
        <v>0</v>
      </c>
      <c r="X14" s="18">
        <f>W14*F14</f>
        <v>0</v>
      </c>
      <c r="Y14" s="18">
        <f>X14*参数设置!$B$23</f>
        <v>0</v>
      </c>
      <c r="Z14" s="18">
        <f>X14-Y14</f>
        <v>0</v>
      </c>
      <c r="AA14" s="18">
        <f>MAX(0,V14-Z14)</f>
        <v>0</v>
      </c>
      <c r="AB14" s="18">
        <f>MAX(0,Z14-V14)</f>
        <v>0</v>
      </c>
      <c r="AC14" s="18">
        <f>T14-U14+AB14</f>
        <v>19221.418604651175</v>
      </c>
      <c r="AD14" s="23">
        <f>MAX(0,L14+H14-W14)</f>
        <v>20000</v>
      </c>
      <c r="AE14" s="18">
        <f>AD14*F14</f>
        <v>200000</v>
      </c>
      <c r="AF14" s="21">
        <f>SUM($C$7:C14)-SUM($O$7:O14)</f>
        <v>187200</v>
      </c>
      <c r="AG14" s="18">
        <f>AF14/D14</f>
        <v>217674.41860465117</v>
      </c>
      <c r="AH14" s="18">
        <f>AE14+AC14</f>
        <v>219221.41860465117</v>
      </c>
      <c r="AI14" s="18">
        <f>AH14-AG14-SUM($AA$7:AA14)</f>
        <v>1547</v>
      </c>
      <c r="AJ14" s="24">
        <f>R14+U14+MIN(Z14,V14)+AA14-Q14</f>
        <v>0</v>
      </c>
    </row>
    <row r="15" spans="1:36" ht="15" customHeight="1">
      <c r="A15" s="15">
        <f>EDATE(DATE(YEAR(参数设置!$B$4),MONTH(参数设置!$B$4),1),ROW()-7)</f>
        <v>46478</v>
      </c>
      <c r="B15" s="4" t="s">
        <v>93</v>
      </c>
      <c r="C15" s="21">
        <f>IF(AND(ROW()-6&lt;=参数设置!$B$6,OR(B15=策略字典!$A$1,B15=策略字典!$A$2)),参数设置!$B$5,0)</f>
        <v>23400</v>
      </c>
      <c r="D15" s="9">
        <f>参数设置!$B$7</f>
        <v>0.86</v>
      </c>
      <c r="E15" s="18">
        <f>IF(B15=策略字典!$A$1,C15/D15,0)</f>
        <v>27209.302325581397</v>
      </c>
      <c r="F15" s="18">
        <f>参数设置!$B$18</f>
        <v>10</v>
      </c>
      <c r="G15">
        <f>参数设置!$B$19</f>
        <v>500</v>
      </c>
      <c r="H15" s="23">
        <f>IF(E15=0,0,FLOOR(E15/(F15*(1+参数设置!$B$22)),G15))</f>
        <v>2500</v>
      </c>
      <c r="I15" s="18">
        <f>H15*F15</f>
        <v>25000</v>
      </c>
      <c r="J15" s="18">
        <f>I15*参数设置!$B$22</f>
        <v>0</v>
      </c>
      <c r="K15" s="18">
        <f>MAX(0,E15-I15-J15)</f>
        <v>2209.3023255813969</v>
      </c>
      <c r="L15" s="23">
        <f>IF(ROW()=7,0,AD14)</f>
        <v>20000</v>
      </c>
      <c r="M15" s="18">
        <f>(L15+H15)*参数设置!$B$20</f>
        <v>1125</v>
      </c>
      <c r="N15" s="18">
        <f>M14</f>
        <v>1000</v>
      </c>
      <c r="O15" s="21">
        <f>SUMIFS(贷款明细!$I$4:$I$435,贷款明细!$G$4:$G$435,"&gt;="&amp;A15,贷款明细!$G$4:$G$435,"&lt;"&amp;EDATE(A15,1))</f>
        <v>0</v>
      </c>
      <c r="P15" s="21">
        <f>SUMIFS(贷款明细!$J$4:$J$435,贷款明细!$G$4:$G$435,"&gt;="&amp;A15,贷款明细!$G$4:$G$435,"&lt;"&amp;EDATE(A15,1))</f>
        <v>514.83000000000004</v>
      </c>
      <c r="Q15" s="18">
        <f>(O15+P15)/D15</f>
        <v>598.63953488372101</v>
      </c>
      <c r="R15" s="18">
        <f>IF(B15=策略字典!$A$2,MIN(C15,O15)/D15,0)</f>
        <v>0</v>
      </c>
      <c r="S15" s="18">
        <f>IF(ROW()=7,0,AC14)</f>
        <v>19221.418604651175</v>
      </c>
      <c r="T15" s="18">
        <f>S15+N15+K15</f>
        <v>22430.720930232572</v>
      </c>
      <c r="U15" s="18">
        <f>MIN(T15,MAX(0,Q15-R15))</f>
        <v>598.63953488372101</v>
      </c>
      <c r="V15" s="18">
        <f>MAX(0,Q15-R15-U15)</f>
        <v>0</v>
      </c>
      <c r="W15" s="23">
        <f>IF(B15=策略字典!$A$3,MIN(L15+H15,CEILING(V15/(F15*(1-参数设置!$B$23)),G15)),0)</f>
        <v>0</v>
      </c>
      <c r="X15" s="18">
        <f>W15*F15</f>
        <v>0</v>
      </c>
      <c r="Y15" s="18">
        <f>X15*参数设置!$B$23</f>
        <v>0</v>
      </c>
      <c r="Z15" s="18">
        <f>X15-Y15</f>
        <v>0</v>
      </c>
      <c r="AA15" s="18">
        <f>MAX(0,V15-Z15)</f>
        <v>0</v>
      </c>
      <c r="AB15" s="18">
        <f>MAX(0,Z15-V15)</f>
        <v>0</v>
      </c>
      <c r="AC15" s="18">
        <f>T15-U15+AB15</f>
        <v>21832.08139534885</v>
      </c>
      <c r="AD15" s="23">
        <f>MAX(0,L15+H15-W15)</f>
        <v>22500</v>
      </c>
      <c r="AE15" s="18">
        <f>AD15*F15</f>
        <v>225000</v>
      </c>
      <c r="AF15" s="21">
        <f>SUM($C$7:C15)-SUM($O$7:O15)</f>
        <v>210600</v>
      </c>
      <c r="AG15" s="18">
        <f>AF15/D15</f>
        <v>244883.72093023255</v>
      </c>
      <c r="AH15" s="18">
        <f>AE15+AC15</f>
        <v>246832.08139534885</v>
      </c>
      <c r="AI15" s="18">
        <f>AH15-AG15-SUM($AA$7:AA15)</f>
        <v>1948.3604651163041</v>
      </c>
      <c r="AJ15" s="24">
        <f>R15+U15+MIN(Z15,V15)+AA15-Q15</f>
        <v>0</v>
      </c>
    </row>
    <row r="16" spans="1:36" ht="15" customHeight="1">
      <c r="A16" s="15">
        <f>EDATE(DATE(YEAR(参数设置!$B$4),MONTH(参数设置!$B$4),1),ROW()-7)</f>
        <v>46508</v>
      </c>
      <c r="B16" s="4" t="s">
        <v>93</v>
      </c>
      <c r="C16" s="21">
        <f>IF(AND(ROW()-6&lt;=参数设置!$B$6,OR(B16=策略字典!$A$1,B16=策略字典!$A$2)),参数设置!$B$5,0)</f>
        <v>23400</v>
      </c>
      <c r="D16" s="9">
        <f>参数设置!$B$7</f>
        <v>0.86</v>
      </c>
      <c r="E16" s="18">
        <f>IF(B16=策略字典!$A$1,C16/D16,0)</f>
        <v>27209.302325581397</v>
      </c>
      <c r="F16" s="18">
        <f>参数设置!$B$18</f>
        <v>10</v>
      </c>
      <c r="G16">
        <f>参数设置!$B$19</f>
        <v>500</v>
      </c>
      <c r="H16" s="23">
        <f>IF(E16=0,0,FLOOR(E16/(F16*(1+参数设置!$B$22)),G16))</f>
        <v>2500</v>
      </c>
      <c r="I16" s="18">
        <f>H16*F16</f>
        <v>25000</v>
      </c>
      <c r="J16" s="18">
        <f>I16*参数设置!$B$22</f>
        <v>0</v>
      </c>
      <c r="K16" s="18">
        <f>MAX(0,E16-I16-J16)</f>
        <v>2209.3023255813969</v>
      </c>
      <c r="L16" s="23">
        <f>IF(ROW()=7,0,AD15)</f>
        <v>22500</v>
      </c>
      <c r="M16" s="18">
        <f>(L16+H16)*参数设置!$B$20</f>
        <v>1250</v>
      </c>
      <c r="N16" s="18">
        <f>M15</f>
        <v>1125</v>
      </c>
      <c r="O16" s="21">
        <f>SUMIFS(贷款明细!$I$4:$I$435,贷款明细!$G$4:$G$435,"&gt;="&amp;A16,贷款明细!$G$4:$G$435,"&lt;"&amp;EDATE(A16,1))</f>
        <v>0</v>
      </c>
      <c r="P16" s="21">
        <f>SUMIFS(贷款明细!$J$4:$J$435,贷款明细!$G$4:$G$435,"&gt;="&amp;A16,贷款明细!$G$4:$G$435,"&lt;"&amp;EDATE(A16,1))</f>
        <v>570.57000000000005</v>
      </c>
      <c r="Q16" s="18">
        <f>(O16+P16)/D16</f>
        <v>663.45348837209315</v>
      </c>
      <c r="R16" s="18">
        <f>IF(B16=策略字典!$A$2,MIN(C16,O16)/D16,0)</f>
        <v>0</v>
      </c>
      <c r="S16" s="18">
        <f>IF(ROW()=7,0,AC15)</f>
        <v>21832.08139534885</v>
      </c>
      <c r="T16" s="18">
        <f>S16+N16+K16</f>
        <v>25166.383720930247</v>
      </c>
      <c r="U16" s="18">
        <f>MIN(T16,MAX(0,Q16-R16))</f>
        <v>663.45348837209315</v>
      </c>
      <c r="V16" s="18">
        <f>MAX(0,Q16-R16-U16)</f>
        <v>0</v>
      </c>
      <c r="W16" s="23">
        <f>IF(B16=策略字典!$A$3,MIN(L16+H16,CEILING(V16/(F16*(1-参数设置!$B$23)),G16)),0)</f>
        <v>0</v>
      </c>
      <c r="X16" s="18">
        <f>W16*F16</f>
        <v>0</v>
      </c>
      <c r="Y16" s="18">
        <f>X16*参数设置!$B$23</f>
        <v>0</v>
      </c>
      <c r="Z16" s="18">
        <f>X16-Y16</f>
        <v>0</v>
      </c>
      <c r="AA16" s="18">
        <f>MAX(0,V16-Z16)</f>
        <v>0</v>
      </c>
      <c r="AB16" s="18">
        <f>MAX(0,Z16-V16)</f>
        <v>0</v>
      </c>
      <c r="AC16" s="18">
        <f>T16-U16+AB16</f>
        <v>24502.930232558156</v>
      </c>
      <c r="AD16" s="23">
        <f>MAX(0,L16+H16-W16)</f>
        <v>25000</v>
      </c>
      <c r="AE16" s="18">
        <f>AD16*F16</f>
        <v>250000</v>
      </c>
      <c r="AF16" s="21">
        <f>SUM($C$7:C16)-SUM($O$7:O16)</f>
        <v>234000</v>
      </c>
      <c r="AG16" s="18">
        <f>AF16/D16</f>
        <v>272093.02325581398</v>
      </c>
      <c r="AH16" s="18">
        <f>AE16+AC16</f>
        <v>274502.93023255817</v>
      </c>
      <c r="AI16" s="18">
        <f>AH16-AG16-SUM($AA$7:AA16)</f>
        <v>2409.9069767441833</v>
      </c>
      <c r="AJ16" s="24">
        <f>R16+U16+MIN(Z16,V16)+AA16-Q16</f>
        <v>0</v>
      </c>
    </row>
    <row r="17" spans="1:36" ht="15" customHeight="1">
      <c r="A17" s="15">
        <f>EDATE(DATE(YEAR(参数设置!$B$4),MONTH(参数设置!$B$4),1),ROW()-7)</f>
        <v>46539</v>
      </c>
      <c r="B17" s="4" t="s">
        <v>93</v>
      </c>
      <c r="C17" s="21">
        <f>IF(AND(ROW()-6&lt;=参数设置!$B$6,OR(B17=策略字典!$A$1,B17=策略字典!$A$2)),参数设置!$B$5,0)</f>
        <v>23400</v>
      </c>
      <c r="D17" s="9">
        <f>参数设置!$B$7</f>
        <v>0.86</v>
      </c>
      <c r="E17" s="18">
        <f>IF(B17=策略字典!$A$1,C17/D17,0)</f>
        <v>27209.302325581397</v>
      </c>
      <c r="F17" s="18">
        <f>参数设置!$B$18</f>
        <v>10</v>
      </c>
      <c r="G17">
        <f>参数设置!$B$19</f>
        <v>500</v>
      </c>
      <c r="H17" s="23">
        <f>IF(E17=0,0,FLOOR(E17/(F17*(1+参数设置!$B$22)),G17))</f>
        <v>2500</v>
      </c>
      <c r="I17" s="18">
        <f>H17*F17</f>
        <v>25000</v>
      </c>
      <c r="J17" s="18">
        <f>I17*参数设置!$B$22</f>
        <v>0</v>
      </c>
      <c r="K17" s="18">
        <f>MAX(0,E17-I17-J17)</f>
        <v>2209.3023255813969</v>
      </c>
      <c r="L17" s="23">
        <f>IF(ROW()=7,0,AD16)</f>
        <v>25000</v>
      </c>
      <c r="M17" s="18">
        <f>(L17+H17)*参数设置!$B$20</f>
        <v>1375</v>
      </c>
      <c r="N17" s="18">
        <f>M16</f>
        <v>1250</v>
      </c>
      <c r="O17" s="21">
        <f>SUMIFS(贷款明细!$I$4:$I$435,贷款明细!$G$4:$G$435,"&gt;="&amp;A17,贷款明细!$G$4:$G$435,"&lt;"&amp;EDATE(A17,1))</f>
        <v>0</v>
      </c>
      <c r="P17" s="21">
        <f>SUMIFS(贷款明细!$J$4:$J$435,贷款明细!$G$4:$G$435,"&gt;="&amp;A17,贷款明细!$G$4:$G$435,"&lt;"&amp;EDATE(A17,1))</f>
        <v>652.12</v>
      </c>
      <c r="Q17" s="18">
        <f>(O17+P17)/D17</f>
        <v>758.27906976744191</v>
      </c>
      <c r="R17" s="18">
        <f>IF(B17=策略字典!$A$2,MIN(C17,O17)/D17,0)</f>
        <v>0</v>
      </c>
      <c r="S17" s="18">
        <f>IF(ROW()=7,0,AC16)</f>
        <v>24502.930232558156</v>
      </c>
      <c r="T17" s="18">
        <f>S17+N17+K17</f>
        <v>27962.232558139553</v>
      </c>
      <c r="U17" s="18">
        <f>MIN(T17,MAX(0,Q17-R17))</f>
        <v>758.27906976744191</v>
      </c>
      <c r="V17" s="18">
        <f>MAX(0,Q17-R17-U17)</f>
        <v>0</v>
      </c>
      <c r="W17" s="23">
        <f>IF(B17=策略字典!$A$3,MIN(L17+H17,CEILING(V17/(F17*(1-参数设置!$B$23)),G17)),0)</f>
        <v>0</v>
      </c>
      <c r="X17" s="18">
        <f>W17*F17</f>
        <v>0</v>
      </c>
      <c r="Y17" s="18">
        <f>X17*参数设置!$B$23</f>
        <v>0</v>
      </c>
      <c r="Z17" s="18">
        <f>X17-Y17</f>
        <v>0</v>
      </c>
      <c r="AA17" s="18">
        <f>MAX(0,V17-Z17)</f>
        <v>0</v>
      </c>
      <c r="AB17" s="18">
        <f>MAX(0,Z17-V17)</f>
        <v>0</v>
      </c>
      <c r="AC17" s="18">
        <f>T17-U17+AB17</f>
        <v>27203.95348837211</v>
      </c>
      <c r="AD17" s="23">
        <f>MAX(0,L17+H17-W17)</f>
        <v>27500</v>
      </c>
      <c r="AE17" s="18">
        <f>AD17*F17</f>
        <v>275000</v>
      </c>
      <c r="AF17" s="21">
        <f>SUM($C$7:C17)-SUM($O$7:O17)</f>
        <v>257400</v>
      </c>
      <c r="AG17" s="18">
        <f>AF17/D17</f>
        <v>299302.32558139536</v>
      </c>
      <c r="AH17" s="18">
        <f>AE17+AC17</f>
        <v>302203.95348837209</v>
      </c>
      <c r="AI17" s="18">
        <f>AH17-AG17-SUM($AA$7:AA17)</f>
        <v>2901.6279069767334</v>
      </c>
      <c r="AJ17" s="24">
        <f>R17+U17+MIN(Z17,V17)+AA17-Q17</f>
        <v>0</v>
      </c>
    </row>
    <row r="18" spans="1:36" ht="15" customHeight="1">
      <c r="A18" s="15">
        <f>EDATE(DATE(YEAR(参数设置!$B$4),MONTH(参数设置!$B$4),1),ROW()-7)</f>
        <v>46569</v>
      </c>
      <c r="B18" s="4" t="s">
        <v>93</v>
      </c>
      <c r="C18" s="21">
        <f>IF(AND(ROW()-6&lt;=参数设置!$B$6,OR(B18=策略字典!$A$1,B18=策略字典!$A$2)),参数设置!$B$5,0)</f>
        <v>23400</v>
      </c>
      <c r="D18" s="9">
        <f>参数设置!$B$7</f>
        <v>0.86</v>
      </c>
      <c r="E18" s="18">
        <f>IF(B18=策略字典!$A$1,C18/D18,0)</f>
        <v>27209.302325581397</v>
      </c>
      <c r="F18" s="18">
        <f>参数设置!$B$18</f>
        <v>10</v>
      </c>
      <c r="G18">
        <f>参数设置!$B$19</f>
        <v>500</v>
      </c>
      <c r="H18" s="23">
        <f>IF(E18=0,0,FLOOR(E18/(F18*(1+参数设置!$B$22)),G18))</f>
        <v>2500</v>
      </c>
      <c r="I18" s="18">
        <f>H18*F18</f>
        <v>25000</v>
      </c>
      <c r="J18" s="18">
        <f>I18*参数设置!$B$22</f>
        <v>0</v>
      </c>
      <c r="K18" s="18">
        <f>MAX(0,E18-I18-J18)</f>
        <v>2209.3023255813969</v>
      </c>
      <c r="L18" s="23">
        <f>IF(ROW()=7,0,AD17)</f>
        <v>27500</v>
      </c>
      <c r="M18" s="18">
        <f>(L18+H18)*参数设置!$B$20</f>
        <v>1500</v>
      </c>
      <c r="N18" s="18">
        <f>M17</f>
        <v>1375</v>
      </c>
      <c r="O18" s="21">
        <f>SUMIFS(贷款明细!$I$4:$I$435,贷款明细!$G$4:$G$435,"&gt;="&amp;A18,贷款明细!$G$4:$G$435,"&lt;"&amp;EDATE(A18,1))</f>
        <v>0</v>
      </c>
      <c r="P18" s="21">
        <f>SUMIFS(贷款明细!$J$4:$J$435,贷款明细!$G$4:$G$435,"&gt;="&amp;A18,贷款明细!$G$4:$G$435,"&lt;"&amp;EDATE(A18,1))</f>
        <v>699.2700000000001</v>
      </c>
      <c r="Q18" s="18">
        <f>(O18+P18)/D18</f>
        <v>813.10465116279079</v>
      </c>
      <c r="R18" s="18">
        <f>IF(B18=策略字典!$A$2,MIN(C18,O18)/D18,0)</f>
        <v>0</v>
      </c>
      <c r="S18" s="18">
        <f>IF(ROW()=7,0,AC17)</f>
        <v>27203.95348837211</v>
      </c>
      <c r="T18" s="18">
        <f>S18+N18+K18</f>
        <v>30788.255813953507</v>
      </c>
      <c r="U18" s="18">
        <f>MIN(T18,MAX(0,Q18-R18))</f>
        <v>813.10465116279079</v>
      </c>
      <c r="V18" s="18">
        <f>MAX(0,Q18-R18-U18)</f>
        <v>0</v>
      </c>
      <c r="W18" s="23">
        <f>IF(B18=策略字典!$A$3,MIN(L18+H18,CEILING(V18/(F18*(1-参数设置!$B$23)),G18)),0)</f>
        <v>0</v>
      </c>
      <c r="X18" s="18">
        <f>W18*F18</f>
        <v>0</v>
      </c>
      <c r="Y18" s="18">
        <f>X18*参数设置!$B$23</f>
        <v>0</v>
      </c>
      <c r="Z18" s="18">
        <f>X18-Y18</f>
        <v>0</v>
      </c>
      <c r="AA18" s="18">
        <f>MAX(0,V18-Z18)</f>
        <v>0</v>
      </c>
      <c r="AB18" s="18">
        <f>MAX(0,Z18-V18)</f>
        <v>0</v>
      </c>
      <c r="AC18" s="18">
        <f>T18-U18+AB18</f>
        <v>29975.151162790717</v>
      </c>
      <c r="AD18" s="23">
        <f>MAX(0,L18+H18-W18)</f>
        <v>30000</v>
      </c>
      <c r="AE18" s="18">
        <f>AD18*F18</f>
        <v>300000</v>
      </c>
      <c r="AF18" s="21">
        <f>SUM($C$7:C18)-SUM($O$7:O18)</f>
        <v>280800</v>
      </c>
      <c r="AG18" s="18">
        <f>AF18/D18</f>
        <v>326511.62790697673</v>
      </c>
      <c r="AH18" s="18">
        <f>AE18+AC18</f>
        <v>329975.15116279072</v>
      </c>
      <c r="AI18" s="18">
        <f>AH18-AG18-SUM($AA$7:AA18)</f>
        <v>3463.5232558139833</v>
      </c>
      <c r="AJ18" s="24">
        <f>R18+U18+MIN(Z18,V18)+AA18-Q18</f>
        <v>0</v>
      </c>
    </row>
    <row r="19" spans="1:36" ht="15" customHeight="1">
      <c r="A19" s="15">
        <f>EDATE(DATE(YEAR(参数设置!$B$4),MONTH(参数设置!$B$4),1),ROW()-7)</f>
        <v>46600</v>
      </c>
      <c r="B19" s="4" t="s">
        <v>94</v>
      </c>
      <c r="C19" s="21">
        <f>IF(AND(ROW()-6&lt;=参数设置!$B$6,OR(B19=策略字典!$A$1,B19=策略字典!$A$2)),参数设置!$B$5,0)</f>
        <v>23400</v>
      </c>
      <c r="D19" s="9">
        <f>参数设置!$B$7</f>
        <v>0.86</v>
      </c>
      <c r="E19" s="18">
        <f>IF(B19=策略字典!$A$1,C19/D19,0)</f>
        <v>0</v>
      </c>
      <c r="F19" s="18">
        <f>参数设置!$B$18</f>
        <v>10</v>
      </c>
      <c r="G19">
        <f>参数设置!$B$19</f>
        <v>500</v>
      </c>
      <c r="H19" s="23">
        <f>IF(E19=0,0,FLOOR(E19/(F19*(1+参数设置!$B$22)),G19))</f>
        <v>0</v>
      </c>
      <c r="I19" s="18">
        <f>H19*F19</f>
        <v>0</v>
      </c>
      <c r="J19" s="18">
        <f>I19*参数设置!$B$22</f>
        <v>0</v>
      </c>
      <c r="K19" s="18">
        <f>MAX(0,E19-I19-J19)</f>
        <v>0</v>
      </c>
      <c r="L19" s="23">
        <f>IF(ROW()=7,0,AD18)</f>
        <v>30000</v>
      </c>
      <c r="M19" s="18">
        <f>(L19+H19)*参数设置!$B$20</f>
        <v>1500</v>
      </c>
      <c r="N19" s="18">
        <f>M18</f>
        <v>1500</v>
      </c>
      <c r="O19" s="21">
        <f>SUMIFS(贷款明细!$I$4:$I$435,贷款明细!$G$4:$G$435,"&gt;="&amp;A19,贷款明细!$G$4:$G$435,"&lt;"&amp;EDATE(A19,1))</f>
        <v>23400</v>
      </c>
      <c r="P19" s="21">
        <f>SUMIFS(贷款明细!$J$4:$J$435,贷款明细!$G$4:$G$435,"&gt;="&amp;A19,贷款明细!$G$4:$G$435,"&lt;"&amp;EDATE(A19,1))</f>
        <v>795.85</v>
      </c>
      <c r="Q19" s="18">
        <f>(O19+P19)/D19</f>
        <v>28134.70930232558</v>
      </c>
      <c r="R19" s="18">
        <f>IF(B19=策略字典!$A$2,MIN(C19,O19)/D19,0)</f>
        <v>27209.302325581397</v>
      </c>
      <c r="S19" s="18">
        <f>IF(ROW()=7,0,AC18)</f>
        <v>29975.151162790717</v>
      </c>
      <c r="T19" s="18">
        <f>S19+N19+K19</f>
        <v>31475.151162790717</v>
      </c>
      <c r="U19" s="18">
        <f>MIN(T19,MAX(0,Q19-R19))</f>
        <v>925.40697674418334</v>
      </c>
      <c r="V19" s="18">
        <f>MAX(0,Q19-R19-U19)</f>
        <v>0</v>
      </c>
      <c r="W19" s="23">
        <f>IF(B19=策略字典!$A$3,MIN(L19+H19,CEILING(V19/(F19*(1-参数设置!$B$23)),G19)),0)</f>
        <v>0</v>
      </c>
      <c r="X19" s="18">
        <f>W19*F19</f>
        <v>0</v>
      </c>
      <c r="Y19" s="18">
        <f>X19*参数设置!$B$23</f>
        <v>0</v>
      </c>
      <c r="Z19" s="18">
        <f>X19-Y19</f>
        <v>0</v>
      </c>
      <c r="AA19" s="18">
        <f>MAX(0,V19-Z19)</f>
        <v>0</v>
      </c>
      <c r="AB19" s="18">
        <f>MAX(0,Z19-V19)</f>
        <v>0</v>
      </c>
      <c r="AC19" s="18">
        <f>T19-U19+AB19</f>
        <v>30549.744186046533</v>
      </c>
      <c r="AD19" s="23">
        <f>MAX(0,L19+H19-W19)</f>
        <v>30000</v>
      </c>
      <c r="AE19" s="18">
        <f>AD19*F19</f>
        <v>300000</v>
      </c>
      <c r="AF19" s="21">
        <f>SUM($C$7:C19)-SUM($O$7:O19)</f>
        <v>280800</v>
      </c>
      <c r="AG19" s="18">
        <f>AF19/D19</f>
        <v>326511.62790697673</v>
      </c>
      <c r="AH19" s="18">
        <f>AE19+AC19</f>
        <v>330549.74418604653</v>
      </c>
      <c r="AI19" s="18">
        <f>AH19-AG19-SUM($AA$7:AA19)</f>
        <v>4038.1162790697999</v>
      </c>
      <c r="AJ19" s="24">
        <f>R19+U19+MIN(Z19,V19)+AA19-Q19</f>
        <v>0</v>
      </c>
    </row>
    <row r="20" spans="1:36" ht="15" customHeight="1">
      <c r="A20" s="15">
        <f>EDATE(DATE(YEAR(参数设置!$B$4),MONTH(参数设置!$B$4),1),ROW()-7)</f>
        <v>46631</v>
      </c>
      <c r="B20" s="4" t="s">
        <v>94</v>
      </c>
      <c r="C20" s="21">
        <f>IF(AND(ROW()-6&lt;=参数设置!$B$6,OR(B20=策略字典!$A$1,B20=策略字典!$A$2)),参数设置!$B$5,0)</f>
        <v>23400</v>
      </c>
      <c r="D20" s="9">
        <f>参数设置!$B$7</f>
        <v>0.86</v>
      </c>
      <c r="E20" s="18">
        <f>IF(B20=策略字典!$A$1,C20/D20,0)</f>
        <v>0</v>
      </c>
      <c r="F20" s="18">
        <f>参数设置!$B$18</f>
        <v>10</v>
      </c>
      <c r="G20">
        <f>参数设置!$B$19</f>
        <v>500</v>
      </c>
      <c r="H20" s="23">
        <f>IF(E20=0,0,FLOOR(E20/(F20*(1+参数设置!$B$22)),G20))</f>
        <v>0</v>
      </c>
      <c r="I20" s="18">
        <f>H20*F20</f>
        <v>0</v>
      </c>
      <c r="J20" s="18">
        <f>I20*参数设置!$B$22</f>
        <v>0</v>
      </c>
      <c r="K20" s="18">
        <f>MAX(0,E20-I20-J20)</f>
        <v>0</v>
      </c>
      <c r="L20" s="23">
        <f>IF(ROW()=7,0,AD19)</f>
        <v>30000</v>
      </c>
      <c r="M20" s="18">
        <f>(L20+H20)*参数设置!$B$20</f>
        <v>1500</v>
      </c>
      <c r="N20" s="18">
        <f>M19</f>
        <v>1500</v>
      </c>
      <c r="O20" s="21">
        <f>SUMIFS(贷款明细!$I$4:$I$435,贷款明细!$G$4:$G$435,"&gt;="&amp;A20,贷款明细!$G$4:$G$435,"&lt;"&amp;EDATE(A20,1))</f>
        <v>23400</v>
      </c>
      <c r="P20" s="21">
        <f>SUMIFS(贷款明细!$J$4:$J$435,贷款明细!$G$4:$G$435,"&gt;="&amp;A20,贷款明细!$G$4:$G$435,"&lt;"&amp;EDATE(A20,1))</f>
        <v>798</v>
      </c>
      <c r="Q20" s="18">
        <f>(O20+P20)/D20</f>
        <v>28137.20930232558</v>
      </c>
      <c r="R20" s="18">
        <f>IF(B20=策略字典!$A$2,MIN(C20,O20)/D20,0)</f>
        <v>27209.302325581397</v>
      </c>
      <c r="S20" s="18">
        <f>IF(ROW()=7,0,AC19)</f>
        <v>30549.744186046533</v>
      </c>
      <c r="T20" s="18">
        <f>S20+N20+K20</f>
        <v>32049.744186046533</v>
      </c>
      <c r="U20" s="18">
        <f>MIN(T20,MAX(0,Q20-R20))</f>
        <v>927.90697674418334</v>
      </c>
      <c r="V20" s="18">
        <f>MAX(0,Q20-R20-U20)</f>
        <v>0</v>
      </c>
      <c r="W20" s="23">
        <f>IF(B20=策略字典!$A$3,MIN(L20+H20,CEILING(V20/(F20*(1-参数设置!$B$23)),G20)),0)</f>
        <v>0</v>
      </c>
      <c r="X20" s="18">
        <f>W20*F20</f>
        <v>0</v>
      </c>
      <c r="Y20" s="18">
        <f>X20*参数设置!$B$23</f>
        <v>0</v>
      </c>
      <c r="Z20" s="18">
        <f>X20-Y20</f>
        <v>0</v>
      </c>
      <c r="AA20" s="18">
        <f>MAX(0,V20-Z20)</f>
        <v>0</v>
      </c>
      <c r="AB20" s="18">
        <f>MAX(0,Z20-V20)</f>
        <v>0</v>
      </c>
      <c r="AC20" s="18">
        <f>T20-U20+AB20</f>
        <v>31121.83720930235</v>
      </c>
      <c r="AD20" s="23">
        <f>MAX(0,L20+H20-W20)</f>
        <v>30000</v>
      </c>
      <c r="AE20" s="18">
        <f>AD20*F20</f>
        <v>300000</v>
      </c>
      <c r="AF20" s="21">
        <f>SUM($C$7:C20)-SUM($O$7:O20)</f>
        <v>280800</v>
      </c>
      <c r="AG20" s="18">
        <f>AF20/D20</f>
        <v>326511.62790697673</v>
      </c>
      <c r="AH20" s="18">
        <f>AE20+AC20</f>
        <v>331121.83720930235</v>
      </c>
      <c r="AI20" s="18">
        <f>AH20-AG20-SUM($AA$7:AA20)</f>
        <v>4610.2093023256166</v>
      </c>
      <c r="AJ20" s="24">
        <f>R20+U20+MIN(Z20,V20)+AA20-Q20</f>
        <v>0</v>
      </c>
    </row>
    <row r="21" spans="1:36" ht="15" customHeight="1">
      <c r="A21" s="15">
        <f>EDATE(DATE(YEAR(参数设置!$B$4),MONTH(参数设置!$B$4),1),ROW()-7)</f>
        <v>46661</v>
      </c>
      <c r="B21" s="4" t="s">
        <v>94</v>
      </c>
      <c r="C21" s="21">
        <f>IF(AND(ROW()-6&lt;=参数设置!$B$6,OR(B21=策略字典!$A$1,B21=策略字典!$A$2)),参数设置!$B$5,0)</f>
        <v>23400</v>
      </c>
      <c r="D21" s="9">
        <f>参数设置!$B$7</f>
        <v>0.86</v>
      </c>
      <c r="E21" s="18">
        <f>IF(B21=策略字典!$A$1,C21/D21,0)</f>
        <v>0</v>
      </c>
      <c r="F21" s="18">
        <f>参数设置!$B$18</f>
        <v>10</v>
      </c>
      <c r="G21">
        <f>参数设置!$B$19</f>
        <v>500</v>
      </c>
      <c r="H21" s="23">
        <f>IF(E21=0,0,FLOOR(E21/(F21*(1+参数设置!$B$22)),G21))</f>
        <v>0</v>
      </c>
      <c r="I21" s="18">
        <f>H21*F21</f>
        <v>0</v>
      </c>
      <c r="J21" s="18">
        <f>I21*参数设置!$B$22</f>
        <v>0</v>
      </c>
      <c r="K21" s="18">
        <f>MAX(0,E21-I21-J21)</f>
        <v>0</v>
      </c>
      <c r="L21" s="23">
        <f>IF(ROW()=7,0,AD20)</f>
        <v>30000</v>
      </c>
      <c r="M21" s="18">
        <f>(L21+H21)*参数设置!$B$20</f>
        <v>1500</v>
      </c>
      <c r="N21" s="18">
        <f>M20</f>
        <v>1500</v>
      </c>
      <c r="O21" s="21">
        <f>SUMIFS(贷款明细!$I$4:$I$435,贷款明细!$G$4:$G$435,"&gt;="&amp;A21,贷款明细!$G$4:$G$435,"&lt;"&amp;EDATE(A21,1))</f>
        <v>23400</v>
      </c>
      <c r="P21" s="21">
        <f>SUMIFS(贷款明细!$J$4:$J$435,贷款明细!$G$4:$G$435,"&gt;="&amp;A21,贷款明细!$G$4:$G$435,"&lt;"&amp;EDATE(A21,1))</f>
        <v>774.35000000000014</v>
      </c>
      <c r="Q21" s="18">
        <f>(O21+P21)/D21</f>
        <v>28109.70930232558</v>
      </c>
      <c r="R21" s="18">
        <f>IF(B21=策略字典!$A$2,MIN(C21,O21)/D21,0)</f>
        <v>27209.302325581397</v>
      </c>
      <c r="S21" s="18">
        <f>IF(ROW()=7,0,AC20)</f>
        <v>31121.83720930235</v>
      </c>
      <c r="T21" s="18">
        <f>S21+N21+K21</f>
        <v>32621.83720930235</v>
      </c>
      <c r="U21" s="18">
        <f>MIN(T21,MAX(0,Q21-R21))</f>
        <v>900.40697674418334</v>
      </c>
      <c r="V21" s="18">
        <f>MAX(0,Q21-R21-U21)</f>
        <v>0</v>
      </c>
      <c r="W21" s="23">
        <f>IF(B21=策略字典!$A$3,MIN(L21+H21,CEILING(V21/(F21*(1-参数设置!$B$23)),G21)),0)</f>
        <v>0</v>
      </c>
      <c r="X21" s="18">
        <f>W21*F21</f>
        <v>0</v>
      </c>
      <c r="Y21" s="18">
        <f>X21*参数设置!$B$23</f>
        <v>0</v>
      </c>
      <c r="Z21" s="18">
        <f>X21-Y21</f>
        <v>0</v>
      </c>
      <c r="AA21" s="18">
        <f>MAX(0,V21-Z21)</f>
        <v>0</v>
      </c>
      <c r="AB21" s="18">
        <f>MAX(0,Z21-V21)</f>
        <v>0</v>
      </c>
      <c r="AC21" s="18">
        <f>T21-U21+AB21</f>
        <v>31721.430232558167</v>
      </c>
      <c r="AD21" s="23">
        <f>MAX(0,L21+H21-W21)</f>
        <v>30000</v>
      </c>
      <c r="AE21" s="18">
        <f>AD21*F21</f>
        <v>300000</v>
      </c>
      <c r="AF21" s="21">
        <f>SUM($C$7:C21)-SUM($O$7:O21)</f>
        <v>280800</v>
      </c>
      <c r="AG21" s="18">
        <f>AF21/D21</f>
        <v>326511.62790697673</v>
      </c>
      <c r="AH21" s="18">
        <f>AE21+AC21</f>
        <v>331721.43023255817</v>
      </c>
      <c r="AI21" s="18">
        <f>AH21-AG21-SUM($AA$7:AA21)</f>
        <v>5209.8023255814333</v>
      </c>
      <c r="AJ21" s="24">
        <f>R21+U21+MIN(Z21,V21)+AA21-Q21</f>
        <v>0</v>
      </c>
    </row>
    <row r="22" spans="1:36" ht="15" customHeight="1">
      <c r="A22" s="15">
        <f>EDATE(DATE(YEAR(参数设置!$B$4),MONTH(参数设置!$B$4),1),ROW()-7)</f>
        <v>46692</v>
      </c>
      <c r="B22" s="4" t="s">
        <v>94</v>
      </c>
      <c r="C22" s="21">
        <f>IF(AND(ROW()-6&lt;=参数设置!$B$6,OR(B22=策略字典!$A$1,B22=策略字典!$A$2)),参数设置!$B$5,0)</f>
        <v>23400</v>
      </c>
      <c r="D22" s="9">
        <f>参数设置!$B$7</f>
        <v>0.86</v>
      </c>
      <c r="E22" s="18">
        <f>IF(B22=策略字典!$A$1,C22/D22,0)</f>
        <v>0</v>
      </c>
      <c r="F22" s="18">
        <f>参数设置!$B$18</f>
        <v>10</v>
      </c>
      <c r="G22">
        <f>参数设置!$B$19</f>
        <v>500</v>
      </c>
      <c r="H22" s="23">
        <f>IF(E22=0,0,FLOOR(E22/(F22*(1+参数设置!$B$22)),G22))</f>
        <v>0</v>
      </c>
      <c r="I22" s="18">
        <f>H22*F22</f>
        <v>0</v>
      </c>
      <c r="J22" s="18">
        <f>I22*参数设置!$B$22</f>
        <v>0</v>
      </c>
      <c r="K22" s="18">
        <f>MAX(0,E22-I22-J22)</f>
        <v>0</v>
      </c>
      <c r="L22" s="23">
        <f>IF(ROW()=7,0,AD21)</f>
        <v>30000</v>
      </c>
      <c r="M22" s="18">
        <f>(L22+H22)*参数设置!$B$20</f>
        <v>1500</v>
      </c>
      <c r="N22" s="18">
        <f>M21</f>
        <v>1500</v>
      </c>
      <c r="O22" s="21">
        <f>SUMIFS(贷款明细!$I$4:$I$435,贷款明细!$G$4:$G$435,"&gt;="&amp;A22,贷款明细!$G$4:$G$435,"&lt;"&amp;EDATE(A22,1))</f>
        <v>23400</v>
      </c>
      <c r="P22" s="21">
        <f>SUMIFS(贷款明细!$J$4:$J$435,贷款明细!$G$4:$G$435,"&gt;="&amp;A22,贷款明细!$G$4:$G$435,"&lt;"&amp;EDATE(A22,1))</f>
        <v>795.85</v>
      </c>
      <c r="Q22" s="18">
        <f>(O22+P22)/D22</f>
        <v>28134.70930232558</v>
      </c>
      <c r="R22" s="18">
        <f>IF(B22=策略字典!$A$2,MIN(C22,O22)/D22,0)</f>
        <v>27209.302325581397</v>
      </c>
      <c r="S22" s="18">
        <f>IF(ROW()=7,0,AC21)</f>
        <v>31721.430232558167</v>
      </c>
      <c r="T22" s="18">
        <f>S22+N22+K22</f>
        <v>33221.430232558167</v>
      </c>
      <c r="U22" s="18">
        <f>MIN(T22,MAX(0,Q22-R22))</f>
        <v>925.40697674418334</v>
      </c>
      <c r="V22" s="18">
        <f>MAX(0,Q22-R22-U22)</f>
        <v>0</v>
      </c>
      <c r="W22" s="23">
        <f>IF(B22=策略字典!$A$3,MIN(L22+H22,CEILING(V22/(F22*(1-参数设置!$B$23)),G22)),0)</f>
        <v>0</v>
      </c>
      <c r="X22" s="18">
        <f>W22*F22</f>
        <v>0</v>
      </c>
      <c r="Y22" s="18">
        <f>X22*参数设置!$B$23</f>
        <v>0</v>
      </c>
      <c r="Z22" s="18">
        <f>X22-Y22</f>
        <v>0</v>
      </c>
      <c r="AA22" s="18">
        <f>MAX(0,V22-Z22)</f>
        <v>0</v>
      </c>
      <c r="AB22" s="18">
        <f>MAX(0,Z22-V22)</f>
        <v>0</v>
      </c>
      <c r="AC22" s="18">
        <f>T22-U22+AB22</f>
        <v>32296.023255813983</v>
      </c>
      <c r="AD22" s="23">
        <f>MAX(0,L22+H22-W22)</f>
        <v>30000</v>
      </c>
      <c r="AE22" s="18">
        <f>AD22*F22</f>
        <v>300000</v>
      </c>
      <c r="AF22" s="21">
        <f>SUM($C$7:C22)-SUM($O$7:O22)</f>
        <v>280800</v>
      </c>
      <c r="AG22" s="18">
        <f>AF22/D22</f>
        <v>326511.62790697673</v>
      </c>
      <c r="AH22" s="18">
        <f>AE22+AC22</f>
        <v>332296.02325581398</v>
      </c>
      <c r="AI22" s="18">
        <f>AH22-AG22-SUM($AA$7:AA22)</f>
        <v>5784.3953488372499</v>
      </c>
      <c r="AJ22" s="24">
        <f>R22+U22+MIN(Z22,V22)+AA22-Q22</f>
        <v>0</v>
      </c>
    </row>
    <row r="23" spans="1:36" ht="15" customHeight="1">
      <c r="A23" s="15">
        <f>EDATE(DATE(YEAR(参数设置!$B$4),MONTH(参数设置!$B$4),1),ROW()-7)</f>
        <v>46722</v>
      </c>
      <c r="B23" s="4" t="s">
        <v>94</v>
      </c>
      <c r="C23" s="21">
        <f>IF(AND(ROW()-6&lt;=参数设置!$B$6,OR(B23=策略字典!$A$1,B23=策略字典!$A$2)),参数设置!$B$5,0)</f>
        <v>23400</v>
      </c>
      <c r="D23" s="9">
        <f>参数设置!$B$7</f>
        <v>0.86</v>
      </c>
      <c r="E23" s="18">
        <f>IF(B23=策略字典!$A$1,C23/D23,0)</f>
        <v>0</v>
      </c>
      <c r="F23" s="18">
        <f>参数设置!$B$18</f>
        <v>10</v>
      </c>
      <c r="G23">
        <f>参数设置!$B$19</f>
        <v>500</v>
      </c>
      <c r="H23" s="23">
        <f>IF(E23=0,0,FLOOR(E23/(F23*(1+参数设置!$B$22)),G23))</f>
        <v>0</v>
      </c>
      <c r="I23" s="18">
        <f>H23*F23</f>
        <v>0</v>
      </c>
      <c r="J23" s="18">
        <f>I23*参数设置!$B$22</f>
        <v>0</v>
      </c>
      <c r="K23" s="18">
        <f>MAX(0,E23-I23-J23)</f>
        <v>0</v>
      </c>
      <c r="L23" s="23">
        <f>IF(ROW()=7,0,AD22)</f>
        <v>30000</v>
      </c>
      <c r="M23" s="18">
        <f>(L23+H23)*参数设置!$B$20</f>
        <v>1500</v>
      </c>
      <c r="N23" s="18">
        <f>M22</f>
        <v>1500</v>
      </c>
      <c r="O23" s="21">
        <f>SUMIFS(贷款明细!$I$4:$I$435,贷款明细!$G$4:$G$435,"&gt;="&amp;A23,贷款明细!$G$4:$G$435,"&lt;"&amp;EDATE(A23,1))</f>
        <v>23400</v>
      </c>
      <c r="P23" s="21">
        <f>SUMIFS(贷款明细!$J$4:$J$435,贷款明细!$G$4:$G$435,"&gt;="&amp;A23,贷款明细!$G$4:$G$435,"&lt;"&amp;EDATE(A23,1))</f>
        <v>774.35000000000014</v>
      </c>
      <c r="Q23" s="18">
        <f>(O23+P23)/D23</f>
        <v>28109.70930232558</v>
      </c>
      <c r="R23" s="18">
        <f>IF(B23=策略字典!$A$2,MIN(C23,O23)/D23,0)</f>
        <v>27209.302325581397</v>
      </c>
      <c r="S23" s="18">
        <f>IF(ROW()=7,0,AC22)</f>
        <v>32296.023255813983</v>
      </c>
      <c r="T23" s="18">
        <f>S23+N23+K23</f>
        <v>33796.023255813983</v>
      </c>
      <c r="U23" s="18">
        <f>MIN(T23,MAX(0,Q23-R23))</f>
        <v>900.40697674418334</v>
      </c>
      <c r="V23" s="18">
        <f>MAX(0,Q23-R23-U23)</f>
        <v>0</v>
      </c>
      <c r="W23" s="23">
        <f>IF(B23=策略字典!$A$3,MIN(L23+H23,CEILING(V23/(F23*(1-参数设置!$B$23)),G23)),0)</f>
        <v>0</v>
      </c>
      <c r="X23" s="18">
        <f>W23*F23</f>
        <v>0</v>
      </c>
      <c r="Y23" s="18">
        <f>X23*参数设置!$B$23</f>
        <v>0</v>
      </c>
      <c r="Z23" s="18">
        <f>X23-Y23</f>
        <v>0</v>
      </c>
      <c r="AA23" s="18">
        <f>MAX(0,V23-Z23)</f>
        <v>0</v>
      </c>
      <c r="AB23" s="18">
        <f>MAX(0,Z23-V23)</f>
        <v>0</v>
      </c>
      <c r="AC23" s="18">
        <f>T23-U23+AB23</f>
        <v>32895.6162790698</v>
      </c>
      <c r="AD23" s="23">
        <f>MAX(0,L23+H23-W23)</f>
        <v>30000</v>
      </c>
      <c r="AE23" s="18">
        <f>AD23*F23</f>
        <v>300000</v>
      </c>
      <c r="AF23" s="21">
        <f>SUM($C$7:C23)-SUM($O$7:O23)</f>
        <v>280800</v>
      </c>
      <c r="AG23" s="18">
        <f>AF23/D23</f>
        <v>326511.62790697673</v>
      </c>
      <c r="AH23" s="18">
        <f>AE23+AC23</f>
        <v>332895.6162790698</v>
      </c>
      <c r="AI23" s="18">
        <f>AH23-AG23-SUM($AA$7:AA23)</f>
        <v>6383.9883720930666</v>
      </c>
      <c r="AJ23" s="24">
        <f>R23+U23+MIN(Z23,V23)+AA23-Q23</f>
        <v>0</v>
      </c>
    </row>
    <row r="24" spans="1:36" ht="15" customHeight="1">
      <c r="A24" s="15">
        <f>EDATE(DATE(YEAR(参数设置!$B$4),MONTH(参数设置!$B$4),1),ROW()-7)</f>
        <v>46753</v>
      </c>
      <c r="B24" s="4" t="s">
        <v>94</v>
      </c>
      <c r="C24" s="21">
        <f>IF(AND(ROW()-6&lt;=参数设置!$B$6,OR(B24=策略字典!$A$1,B24=策略字典!$A$2)),参数设置!$B$5,0)</f>
        <v>23400</v>
      </c>
      <c r="D24" s="9">
        <f>参数设置!$B$7</f>
        <v>0.86</v>
      </c>
      <c r="E24" s="18">
        <f>IF(B24=策略字典!$A$1,C24/D24,0)</f>
        <v>0</v>
      </c>
      <c r="F24" s="18">
        <f>参数设置!$B$18</f>
        <v>10</v>
      </c>
      <c r="G24">
        <f>参数设置!$B$19</f>
        <v>500</v>
      </c>
      <c r="H24" s="23">
        <f>IF(E24=0,0,FLOOR(E24/(F24*(1+参数设置!$B$22)),G24))</f>
        <v>0</v>
      </c>
      <c r="I24" s="18">
        <f>H24*F24</f>
        <v>0</v>
      </c>
      <c r="J24" s="18">
        <f>I24*参数设置!$B$22</f>
        <v>0</v>
      </c>
      <c r="K24" s="18">
        <f>MAX(0,E24-I24-J24)</f>
        <v>0</v>
      </c>
      <c r="L24" s="23">
        <f>IF(ROW()=7,0,AD23)</f>
        <v>30000</v>
      </c>
      <c r="M24" s="18">
        <f>(L24+H24)*参数设置!$B$20</f>
        <v>1500</v>
      </c>
      <c r="N24" s="18">
        <f>M23</f>
        <v>1500</v>
      </c>
      <c r="O24" s="21">
        <f>SUMIFS(贷款明细!$I$4:$I$435,贷款明细!$G$4:$G$435,"&gt;="&amp;A24,贷款明细!$G$4:$G$435,"&lt;"&amp;EDATE(A24,1))</f>
        <v>23400</v>
      </c>
      <c r="P24" s="21">
        <f>SUMIFS(贷款明细!$J$4:$J$435,贷款明细!$G$4:$G$435,"&gt;="&amp;A24,贷款明细!$G$4:$G$435,"&lt;"&amp;EDATE(A24,1))</f>
        <v>795.85</v>
      </c>
      <c r="Q24" s="18">
        <f>(O24+P24)/D24</f>
        <v>28134.70930232558</v>
      </c>
      <c r="R24" s="18">
        <f>IF(B24=策略字典!$A$2,MIN(C24,O24)/D24,0)</f>
        <v>27209.302325581397</v>
      </c>
      <c r="S24" s="18">
        <f>IF(ROW()=7,0,AC23)</f>
        <v>32895.6162790698</v>
      </c>
      <c r="T24" s="18">
        <f>S24+N24+K24</f>
        <v>34395.6162790698</v>
      </c>
      <c r="U24" s="18">
        <f>MIN(T24,MAX(0,Q24-R24))</f>
        <v>925.40697674418334</v>
      </c>
      <c r="V24" s="18">
        <f>MAX(0,Q24-R24-U24)</f>
        <v>0</v>
      </c>
      <c r="W24" s="23">
        <f>IF(B24=策略字典!$A$3,MIN(L24+H24,CEILING(V24/(F24*(1-参数设置!$B$23)),G24)),0)</f>
        <v>0</v>
      </c>
      <c r="X24" s="18">
        <f>W24*F24</f>
        <v>0</v>
      </c>
      <c r="Y24" s="18">
        <f>X24*参数设置!$B$23</f>
        <v>0</v>
      </c>
      <c r="Z24" s="18">
        <f>X24-Y24</f>
        <v>0</v>
      </c>
      <c r="AA24" s="18">
        <f>MAX(0,V24-Z24)</f>
        <v>0</v>
      </c>
      <c r="AB24" s="18">
        <f>MAX(0,Z24-V24)</f>
        <v>0</v>
      </c>
      <c r="AC24" s="18">
        <f>T24-U24+AB24</f>
        <v>33470.209302325617</v>
      </c>
      <c r="AD24" s="23">
        <f>MAX(0,L24+H24-W24)</f>
        <v>30000</v>
      </c>
      <c r="AE24" s="18">
        <f>AD24*F24</f>
        <v>300000</v>
      </c>
      <c r="AF24" s="21">
        <f>SUM($C$7:C24)-SUM($O$7:O24)</f>
        <v>280800</v>
      </c>
      <c r="AG24" s="18">
        <f>AF24/D24</f>
        <v>326511.62790697673</v>
      </c>
      <c r="AH24" s="18">
        <f>AE24+AC24</f>
        <v>333470.20930232562</v>
      </c>
      <c r="AI24" s="18">
        <f>AH24-AG24-SUM($AA$7:AA24)</f>
        <v>6958.5813953488832</v>
      </c>
      <c r="AJ24" s="24">
        <f>R24+U24+MIN(Z24,V24)+AA24-Q24</f>
        <v>0</v>
      </c>
    </row>
    <row r="25" spans="1:36" ht="15" customHeight="1">
      <c r="A25" s="15">
        <f>EDATE(DATE(YEAR(参数设置!$B$4),MONTH(参数设置!$B$4),1),ROW()-7)</f>
        <v>46784</v>
      </c>
      <c r="B25" s="4" t="s">
        <v>94</v>
      </c>
      <c r="C25" s="21">
        <f>IF(AND(ROW()-6&lt;=参数设置!$B$6,OR(B25=策略字典!$A$1,B25=策略字典!$A$2)),参数设置!$B$5,0)</f>
        <v>23400</v>
      </c>
      <c r="D25" s="9">
        <f>参数设置!$B$7</f>
        <v>0.86</v>
      </c>
      <c r="E25" s="18">
        <f>IF(B25=策略字典!$A$1,C25/D25,0)</f>
        <v>0</v>
      </c>
      <c r="F25" s="18">
        <f>参数设置!$B$18</f>
        <v>10</v>
      </c>
      <c r="G25">
        <f>参数设置!$B$19</f>
        <v>500</v>
      </c>
      <c r="H25" s="23">
        <f>IF(E25=0,0,FLOOR(E25/(F25*(1+参数设置!$B$22)),G25))</f>
        <v>0</v>
      </c>
      <c r="I25" s="18">
        <f>H25*F25</f>
        <v>0</v>
      </c>
      <c r="J25" s="18">
        <f>I25*参数设置!$B$22</f>
        <v>0</v>
      </c>
      <c r="K25" s="18">
        <f>MAX(0,E25-I25-J25)</f>
        <v>0</v>
      </c>
      <c r="L25" s="23">
        <f>IF(ROW()=7,0,AD24)</f>
        <v>30000</v>
      </c>
      <c r="M25" s="18">
        <f>(L25+H25)*参数设置!$B$20</f>
        <v>1500</v>
      </c>
      <c r="N25" s="18">
        <f>M24</f>
        <v>1500</v>
      </c>
      <c r="O25" s="21">
        <f>SUMIFS(贷款明细!$I$4:$I$435,贷款明细!$G$4:$G$435,"&gt;="&amp;A25,贷款明细!$G$4:$G$435,"&lt;"&amp;EDATE(A25,1))</f>
        <v>23400</v>
      </c>
      <c r="P25" s="21">
        <f>SUMIFS(贷款明细!$J$4:$J$435,贷款明细!$G$4:$G$435,"&gt;="&amp;A25,贷款明细!$G$4:$G$435,"&lt;"&amp;EDATE(A25,1))</f>
        <v>798</v>
      </c>
      <c r="Q25" s="18">
        <f>(O25+P25)/D25</f>
        <v>28137.20930232558</v>
      </c>
      <c r="R25" s="18">
        <f>IF(B25=策略字典!$A$2,MIN(C25,O25)/D25,0)</f>
        <v>27209.302325581397</v>
      </c>
      <c r="S25" s="18">
        <f>IF(ROW()=7,0,AC24)</f>
        <v>33470.209302325617</v>
      </c>
      <c r="T25" s="18">
        <f>S25+N25+K25</f>
        <v>34970.209302325617</v>
      </c>
      <c r="U25" s="18">
        <f>MIN(T25,MAX(0,Q25-R25))</f>
        <v>927.90697674418334</v>
      </c>
      <c r="V25" s="18">
        <f>MAX(0,Q25-R25-U25)</f>
        <v>0</v>
      </c>
      <c r="W25" s="23">
        <f>IF(B25=策略字典!$A$3,MIN(L25+H25,CEILING(V25/(F25*(1-参数设置!$B$23)),G25)),0)</f>
        <v>0</v>
      </c>
      <c r="X25" s="18">
        <f>W25*F25</f>
        <v>0</v>
      </c>
      <c r="Y25" s="18">
        <f>X25*参数设置!$B$23</f>
        <v>0</v>
      </c>
      <c r="Z25" s="18">
        <f>X25-Y25</f>
        <v>0</v>
      </c>
      <c r="AA25" s="18">
        <f>MAX(0,V25-Z25)</f>
        <v>0</v>
      </c>
      <c r="AB25" s="18">
        <f>MAX(0,Z25-V25)</f>
        <v>0</v>
      </c>
      <c r="AC25" s="18">
        <f>T25-U25+AB25</f>
        <v>34042.302325581433</v>
      </c>
      <c r="AD25" s="23">
        <f>MAX(0,L25+H25-W25)</f>
        <v>30000</v>
      </c>
      <c r="AE25" s="18">
        <f>AD25*F25</f>
        <v>300000</v>
      </c>
      <c r="AF25" s="21">
        <f>SUM($C$7:C25)-SUM($O$7:O25)</f>
        <v>280800</v>
      </c>
      <c r="AG25" s="18">
        <f>AF25/D25</f>
        <v>326511.62790697673</v>
      </c>
      <c r="AH25" s="18">
        <f>AE25+AC25</f>
        <v>334042.30232558143</v>
      </c>
      <c r="AI25" s="18">
        <f>AH25-AG25-SUM($AA$7:AA25)</f>
        <v>7530.6744186046999</v>
      </c>
      <c r="AJ25" s="24">
        <f>R25+U25+MIN(Z25,V25)+AA25-Q25</f>
        <v>0</v>
      </c>
    </row>
    <row r="26" spans="1:36" ht="15" customHeight="1">
      <c r="A26" s="15">
        <f>EDATE(DATE(YEAR(参数设置!$B$4),MONTH(参数设置!$B$4),1),ROW()-7)</f>
        <v>46813</v>
      </c>
      <c r="B26" s="4" t="s">
        <v>94</v>
      </c>
      <c r="C26" s="21">
        <f>IF(AND(ROW()-6&lt;=参数设置!$B$6,OR(B26=策略字典!$A$1,B26=策略字典!$A$2)),参数设置!$B$5,0)</f>
        <v>23400</v>
      </c>
      <c r="D26" s="9">
        <f>参数设置!$B$7</f>
        <v>0.86</v>
      </c>
      <c r="E26" s="18">
        <f>IF(B26=策略字典!$A$1,C26/D26,0)</f>
        <v>0</v>
      </c>
      <c r="F26" s="18">
        <f>参数设置!$B$18</f>
        <v>10</v>
      </c>
      <c r="G26">
        <f>参数设置!$B$19</f>
        <v>500</v>
      </c>
      <c r="H26" s="23">
        <f>IF(E26=0,0,FLOOR(E26/(F26*(1+参数设置!$B$22)),G26))</f>
        <v>0</v>
      </c>
      <c r="I26" s="18">
        <f>H26*F26</f>
        <v>0</v>
      </c>
      <c r="J26" s="18">
        <f>I26*参数设置!$B$22</f>
        <v>0</v>
      </c>
      <c r="K26" s="18">
        <f>MAX(0,E26-I26-J26)</f>
        <v>0</v>
      </c>
      <c r="L26" s="23">
        <f>IF(ROW()=7,0,AD25)</f>
        <v>30000</v>
      </c>
      <c r="M26" s="18">
        <f>(L26+H26)*参数设置!$B$20</f>
        <v>1500</v>
      </c>
      <c r="N26" s="18">
        <f>M25</f>
        <v>1500</v>
      </c>
      <c r="O26" s="21">
        <f>SUMIFS(贷款明细!$I$4:$I$435,贷款明细!$G$4:$G$435,"&gt;="&amp;A26,贷款明细!$G$4:$G$435,"&lt;"&amp;EDATE(A26,1))</f>
        <v>23400</v>
      </c>
      <c r="P26" s="21">
        <f>SUMIFS(贷款明细!$J$4:$J$435,贷款明细!$G$4:$G$435,"&gt;="&amp;A26,贷款明细!$G$4:$G$435,"&lt;"&amp;EDATE(A26,1))</f>
        <v>750.81</v>
      </c>
      <c r="Q26" s="18">
        <f>(O26+P26)/D26</f>
        <v>28082.337209302328</v>
      </c>
      <c r="R26" s="18">
        <f>IF(B26=策略字典!$A$2,MIN(C26,O26)/D26,0)</f>
        <v>27209.302325581397</v>
      </c>
      <c r="S26" s="18">
        <f>IF(ROW()=7,0,AC25)</f>
        <v>34042.302325581433</v>
      </c>
      <c r="T26" s="18">
        <f>S26+N26+K26</f>
        <v>35542.302325581433</v>
      </c>
      <c r="U26" s="18">
        <f>MIN(T26,MAX(0,Q26-R26))</f>
        <v>873.03488372093125</v>
      </c>
      <c r="V26" s="18">
        <f>MAX(0,Q26-R26-U26)</f>
        <v>0</v>
      </c>
      <c r="W26" s="23">
        <f>IF(B26=策略字典!$A$3,MIN(L26+H26,CEILING(V26/(F26*(1-参数设置!$B$23)),G26)),0)</f>
        <v>0</v>
      </c>
      <c r="X26" s="18">
        <f>W26*F26</f>
        <v>0</v>
      </c>
      <c r="Y26" s="18">
        <f>X26*参数设置!$B$23</f>
        <v>0</v>
      </c>
      <c r="Z26" s="18">
        <f>X26-Y26</f>
        <v>0</v>
      </c>
      <c r="AA26" s="18">
        <f>MAX(0,V26-Z26)</f>
        <v>0</v>
      </c>
      <c r="AB26" s="18">
        <f>MAX(0,Z26-V26)</f>
        <v>0</v>
      </c>
      <c r="AC26" s="18">
        <f>T26-U26+AB26</f>
        <v>34669.267441860502</v>
      </c>
      <c r="AD26" s="23">
        <f>MAX(0,L26+H26-W26)</f>
        <v>30000</v>
      </c>
      <c r="AE26" s="18">
        <f>AD26*F26</f>
        <v>300000</v>
      </c>
      <c r="AF26" s="21">
        <f>SUM($C$7:C26)-SUM($O$7:O26)</f>
        <v>280800</v>
      </c>
      <c r="AG26" s="18">
        <f>AF26/D26</f>
        <v>326511.62790697673</v>
      </c>
      <c r="AH26" s="18">
        <f>AE26+AC26</f>
        <v>334669.26744186052</v>
      </c>
      <c r="AI26" s="18">
        <f>AH26-AG26-SUM($AA$7:AA26)</f>
        <v>8157.6395348837832</v>
      </c>
      <c r="AJ26" s="24">
        <f>R26+U26+MIN(Z26,V26)+AA26-Q26</f>
        <v>0</v>
      </c>
    </row>
    <row r="27" spans="1:36" ht="15" customHeight="1">
      <c r="A27" s="15">
        <f>EDATE(DATE(YEAR(参数设置!$B$4),MONTH(参数设置!$B$4),1),ROW()-7)</f>
        <v>46844</v>
      </c>
      <c r="B27" s="4" t="s">
        <v>94</v>
      </c>
      <c r="C27" s="21">
        <f>IF(AND(ROW()-6&lt;=参数设置!$B$6,OR(B27=策略字典!$A$1,B27=策略字典!$A$2)),参数设置!$B$5,0)</f>
        <v>23400</v>
      </c>
      <c r="D27" s="9">
        <f>参数设置!$B$7</f>
        <v>0.86</v>
      </c>
      <c r="E27" s="18">
        <f>IF(B27=策略字典!$A$1,C27/D27,0)</f>
        <v>0</v>
      </c>
      <c r="F27" s="18">
        <f>参数设置!$B$18</f>
        <v>10</v>
      </c>
      <c r="G27">
        <f>参数设置!$B$19</f>
        <v>500</v>
      </c>
      <c r="H27" s="23">
        <f>IF(E27=0,0,FLOOR(E27/(F27*(1+参数设置!$B$22)),G27))</f>
        <v>0</v>
      </c>
      <c r="I27" s="18">
        <f>H27*F27</f>
        <v>0</v>
      </c>
      <c r="J27" s="18">
        <f>I27*参数设置!$B$22</f>
        <v>0</v>
      </c>
      <c r="K27" s="18">
        <f>MAX(0,E27-I27-J27)</f>
        <v>0</v>
      </c>
      <c r="L27" s="23">
        <f>IF(ROW()=7,0,AD26)</f>
        <v>30000</v>
      </c>
      <c r="M27" s="18">
        <f>(L27+H27)*参数设置!$B$20</f>
        <v>1500</v>
      </c>
      <c r="N27" s="18">
        <f>M26</f>
        <v>1500</v>
      </c>
      <c r="O27" s="21">
        <f>SUMIFS(贷款明细!$I$4:$I$435,贷款明细!$G$4:$G$435,"&gt;="&amp;A27,贷款明细!$G$4:$G$435,"&lt;"&amp;EDATE(A27,1))</f>
        <v>23400</v>
      </c>
      <c r="P27" s="21">
        <f>SUMIFS(贷款明细!$J$4:$J$435,贷款明细!$G$4:$G$435,"&gt;="&amp;A27,贷款明细!$G$4:$G$435,"&lt;"&amp;EDATE(A27,1))</f>
        <v>793.71</v>
      </c>
      <c r="Q27" s="18">
        <f>(O27+P27)/D27</f>
        <v>28132.220930232557</v>
      </c>
      <c r="R27" s="18">
        <f>IF(B27=策略字典!$A$2,MIN(C27,O27)/D27,0)</f>
        <v>27209.302325581397</v>
      </c>
      <c r="S27" s="18">
        <f>IF(ROW()=7,0,AC26)</f>
        <v>34669.267441860502</v>
      </c>
      <c r="T27" s="18">
        <f>S27+N27+K27</f>
        <v>36169.267441860502</v>
      </c>
      <c r="U27" s="18">
        <f>MIN(T27,MAX(0,Q27-R27))</f>
        <v>922.91860465116042</v>
      </c>
      <c r="V27" s="18">
        <f>MAX(0,Q27-R27-U27)</f>
        <v>0</v>
      </c>
      <c r="W27" s="23">
        <f>IF(B27=策略字典!$A$3,MIN(L27+H27,CEILING(V27/(F27*(1-参数设置!$B$23)),G27)),0)</f>
        <v>0</v>
      </c>
      <c r="X27" s="18">
        <f>W27*F27</f>
        <v>0</v>
      </c>
      <c r="Y27" s="18">
        <f>X27*参数设置!$B$23</f>
        <v>0</v>
      </c>
      <c r="Z27" s="18">
        <f>X27-Y27</f>
        <v>0</v>
      </c>
      <c r="AA27" s="18">
        <f>MAX(0,V27-Z27)</f>
        <v>0</v>
      </c>
      <c r="AB27" s="18">
        <f>MAX(0,Z27-V27)</f>
        <v>0</v>
      </c>
      <c r="AC27" s="18">
        <f>T27-U27+AB27</f>
        <v>35246.348837209342</v>
      </c>
      <c r="AD27" s="23">
        <f>MAX(0,L27+H27-W27)</f>
        <v>30000</v>
      </c>
      <c r="AE27" s="18">
        <f>AD27*F27</f>
        <v>300000</v>
      </c>
      <c r="AF27" s="21">
        <f>SUM($C$7:C27)-SUM($O$7:O27)</f>
        <v>280800</v>
      </c>
      <c r="AG27" s="18">
        <f>AF27/D27</f>
        <v>326511.62790697673</v>
      </c>
      <c r="AH27" s="18">
        <f>AE27+AC27</f>
        <v>335246.34883720934</v>
      </c>
      <c r="AI27" s="18">
        <f>AH27-AG27-SUM($AA$7:AA27)</f>
        <v>8734.7209302326082</v>
      </c>
      <c r="AJ27" s="24">
        <f>R27+U27+MIN(Z27,V27)+AA27-Q27</f>
        <v>0</v>
      </c>
    </row>
    <row r="28" spans="1:36" ht="15" customHeight="1">
      <c r="A28" s="15">
        <f>EDATE(DATE(YEAR(参数设置!$B$4),MONTH(参数设置!$B$4),1),ROW()-7)</f>
        <v>46874</v>
      </c>
      <c r="B28" s="4" t="s">
        <v>94</v>
      </c>
      <c r="C28" s="21">
        <f>IF(AND(ROW()-6&lt;=参数设置!$B$6,OR(B28=策略字典!$A$1,B28=策略字典!$A$2)),参数设置!$B$5,0)</f>
        <v>23400</v>
      </c>
      <c r="D28" s="9">
        <f>参数设置!$B$7</f>
        <v>0.86</v>
      </c>
      <c r="E28" s="18">
        <f>IF(B28=策略字典!$A$1,C28/D28,0)</f>
        <v>0</v>
      </c>
      <c r="F28" s="18">
        <f>参数设置!$B$18</f>
        <v>10</v>
      </c>
      <c r="G28">
        <f>参数设置!$B$19</f>
        <v>500</v>
      </c>
      <c r="H28" s="23">
        <f>IF(E28=0,0,FLOOR(E28/(F28*(1+参数设置!$B$22)),G28))</f>
        <v>0</v>
      </c>
      <c r="I28" s="18">
        <f>H28*F28</f>
        <v>0</v>
      </c>
      <c r="J28" s="18">
        <f>I28*参数设置!$B$22</f>
        <v>0</v>
      </c>
      <c r="K28" s="18">
        <f>MAX(0,E28-I28-J28)</f>
        <v>0</v>
      </c>
      <c r="L28" s="23">
        <f>IF(ROW()=7,0,AD27)</f>
        <v>30000</v>
      </c>
      <c r="M28" s="18">
        <f>(L28+H28)*参数设置!$B$20</f>
        <v>1500</v>
      </c>
      <c r="N28" s="18">
        <f>M27</f>
        <v>1500</v>
      </c>
      <c r="O28" s="21">
        <f>SUMIFS(贷款明细!$I$4:$I$435,贷款明细!$G$4:$G$435,"&gt;="&amp;A28,贷款明细!$G$4:$G$435,"&lt;"&amp;EDATE(A28,1))</f>
        <v>23400</v>
      </c>
      <c r="P28" s="21">
        <f>SUMIFS(贷款明细!$J$4:$J$435,贷款明细!$G$4:$G$435,"&gt;="&amp;A28,贷款明细!$G$4:$G$435,"&lt;"&amp;EDATE(A28,1))</f>
        <v>774.35000000000014</v>
      </c>
      <c r="Q28" s="18">
        <f>(O28+P28)/D28</f>
        <v>28109.70930232558</v>
      </c>
      <c r="R28" s="18">
        <f>IF(B28=策略字典!$A$2,MIN(C28,O28)/D28,0)</f>
        <v>27209.302325581397</v>
      </c>
      <c r="S28" s="18">
        <f>IF(ROW()=7,0,AC27)</f>
        <v>35246.348837209342</v>
      </c>
      <c r="T28" s="18">
        <f>S28+N28+K28</f>
        <v>36746.348837209342</v>
      </c>
      <c r="U28" s="18">
        <f>MIN(T28,MAX(0,Q28-R28))</f>
        <v>900.40697674418334</v>
      </c>
      <c r="V28" s="18">
        <f>MAX(0,Q28-R28-U28)</f>
        <v>0</v>
      </c>
      <c r="W28" s="23">
        <f>IF(B28=策略字典!$A$3,MIN(L28+H28,CEILING(V28/(F28*(1-参数设置!$B$23)),G28)),0)</f>
        <v>0</v>
      </c>
      <c r="X28" s="18">
        <f>W28*F28</f>
        <v>0</v>
      </c>
      <c r="Y28" s="18">
        <f>X28*参数设置!$B$23</f>
        <v>0</v>
      </c>
      <c r="Z28" s="18">
        <f>X28-Y28</f>
        <v>0</v>
      </c>
      <c r="AA28" s="18">
        <f>MAX(0,V28-Z28)</f>
        <v>0</v>
      </c>
      <c r="AB28" s="18">
        <f>MAX(0,Z28-V28)</f>
        <v>0</v>
      </c>
      <c r="AC28" s="18">
        <f>T28-U28+AB28</f>
        <v>35845.941860465158</v>
      </c>
      <c r="AD28" s="23">
        <f>MAX(0,L28+H28-W28)</f>
        <v>30000</v>
      </c>
      <c r="AE28" s="18">
        <f>AD28*F28</f>
        <v>300000</v>
      </c>
      <c r="AF28" s="21">
        <f>SUM($C$7:C28)-SUM($O$7:O28)</f>
        <v>280800</v>
      </c>
      <c r="AG28" s="18">
        <f>AF28/D28</f>
        <v>326511.62790697673</v>
      </c>
      <c r="AH28" s="18">
        <f>AE28+AC28</f>
        <v>335845.94186046516</v>
      </c>
      <c r="AI28" s="18">
        <f>AH28-AG28-SUM($AA$7:AA28)</f>
        <v>9334.3139534884249</v>
      </c>
      <c r="AJ28" s="24">
        <f>R28+U28+MIN(Z28,V28)+AA28-Q28</f>
        <v>0</v>
      </c>
    </row>
    <row r="29" spans="1:36" ht="15" customHeight="1">
      <c r="A29" s="15">
        <f>EDATE(DATE(YEAR(参数设置!$B$4),MONTH(参数设置!$B$4),1),ROW()-7)</f>
        <v>46905</v>
      </c>
      <c r="B29" s="4" t="s">
        <v>94</v>
      </c>
      <c r="C29" s="21">
        <f>IF(AND(ROW()-6&lt;=参数设置!$B$6,OR(B29=策略字典!$A$1,B29=策略字典!$A$2)),参数设置!$B$5,0)</f>
        <v>23400</v>
      </c>
      <c r="D29" s="9">
        <f>参数设置!$B$7</f>
        <v>0.86</v>
      </c>
      <c r="E29" s="18">
        <f>IF(B29=策略字典!$A$1,C29/D29,0)</f>
        <v>0</v>
      </c>
      <c r="F29" s="18">
        <f>参数设置!$B$18</f>
        <v>10</v>
      </c>
      <c r="G29">
        <f>参数设置!$B$19</f>
        <v>500</v>
      </c>
      <c r="H29" s="23">
        <f>IF(E29=0,0,FLOOR(E29/(F29*(1+参数设置!$B$22)),G29))</f>
        <v>0</v>
      </c>
      <c r="I29" s="18">
        <f>H29*F29</f>
        <v>0</v>
      </c>
      <c r="J29" s="18">
        <f>I29*参数设置!$B$22</f>
        <v>0</v>
      </c>
      <c r="K29" s="18">
        <f>MAX(0,E29-I29-J29)</f>
        <v>0</v>
      </c>
      <c r="L29" s="23">
        <f>IF(ROW()=7,0,AD28)</f>
        <v>30000</v>
      </c>
      <c r="M29" s="18">
        <f>(L29+H29)*参数设置!$B$20</f>
        <v>1500</v>
      </c>
      <c r="N29" s="18">
        <f>M28</f>
        <v>1500</v>
      </c>
      <c r="O29" s="21">
        <f>SUMIFS(贷款明细!$I$4:$I$435,贷款明细!$G$4:$G$435,"&gt;="&amp;A29,贷款明细!$G$4:$G$435,"&lt;"&amp;EDATE(A29,1))</f>
        <v>23400</v>
      </c>
      <c r="P29" s="21">
        <f>SUMIFS(贷款明细!$J$4:$J$435,贷款明细!$G$4:$G$435,"&gt;="&amp;A29,贷款明细!$G$4:$G$435,"&lt;"&amp;EDATE(A29,1))</f>
        <v>795.85</v>
      </c>
      <c r="Q29" s="18">
        <f>(O29+P29)/D29</f>
        <v>28134.70930232558</v>
      </c>
      <c r="R29" s="18">
        <f>IF(B29=策略字典!$A$2,MIN(C29,O29)/D29,0)</f>
        <v>27209.302325581397</v>
      </c>
      <c r="S29" s="18">
        <f>IF(ROW()=7,0,AC28)</f>
        <v>35845.941860465158</v>
      </c>
      <c r="T29" s="18">
        <f>S29+N29+K29</f>
        <v>37345.941860465158</v>
      </c>
      <c r="U29" s="18">
        <f>MIN(T29,MAX(0,Q29-R29))</f>
        <v>925.40697674418334</v>
      </c>
      <c r="V29" s="18">
        <f>MAX(0,Q29-R29-U29)</f>
        <v>0</v>
      </c>
      <c r="W29" s="23">
        <f>IF(B29=策略字典!$A$3,MIN(L29+H29,CEILING(V29/(F29*(1-参数设置!$B$23)),G29)),0)</f>
        <v>0</v>
      </c>
      <c r="X29" s="18">
        <f>W29*F29</f>
        <v>0</v>
      </c>
      <c r="Y29" s="18">
        <f>X29*参数设置!$B$23</f>
        <v>0</v>
      </c>
      <c r="Z29" s="18">
        <f>X29-Y29</f>
        <v>0</v>
      </c>
      <c r="AA29" s="18">
        <f>MAX(0,V29-Z29)</f>
        <v>0</v>
      </c>
      <c r="AB29" s="18">
        <f>MAX(0,Z29-V29)</f>
        <v>0</v>
      </c>
      <c r="AC29" s="18">
        <f>T29-U29+AB29</f>
        <v>36420.534883720975</v>
      </c>
      <c r="AD29" s="23">
        <f>MAX(0,L29+H29-W29)</f>
        <v>30000</v>
      </c>
      <c r="AE29" s="18">
        <f>AD29*F29</f>
        <v>300000</v>
      </c>
      <c r="AF29" s="21">
        <f>SUM($C$7:C29)-SUM($O$7:O29)</f>
        <v>280800</v>
      </c>
      <c r="AG29" s="18">
        <f>AF29/D29</f>
        <v>326511.62790697673</v>
      </c>
      <c r="AH29" s="18">
        <f>AE29+AC29</f>
        <v>336420.53488372097</v>
      </c>
      <c r="AI29" s="18">
        <f>AH29-AG29-SUM($AA$7:AA29)</f>
        <v>9908.9069767442415</v>
      </c>
      <c r="AJ29" s="24">
        <f>R29+U29+MIN(Z29,V29)+AA29-Q29</f>
        <v>0</v>
      </c>
    </row>
    <row r="30" spans="1:36" ht="15" customHeight="1">
      <c r="A30" s="15">
        <f>EDATE(DATE(YEAR(参数设置!$B$4),MONTH(参数设置!$B$4),1),ROW()-7)</f>
        <v>46935</v>
      </c>
      <c r="B30" s="4" t="s">
        <v>94</v>
      </c>
      <c r="C30" s="21">
        <f>IF(AND(ROW()-6&lt;=参数设置!$B$6,OR(B30=策略字典!$A$1,B30=策略字典!$A$2)),参数设置!$B$5,0)</f>
        <v>23400</v>
      </c>
      <c r="D30" s="9">
        <f>参数设置!$B$7</f>
        <v>0.86</v>
      </c>
      <c r="E30" s="18">
        <f>IF(B30=策略字典!$A$1,C30/D30,0)</f>
        <v>0</v>
      </c>
      <c r="F30" s="18">
        <f>参数设置!$B$18</f>
        <v>10</v>
      </c>
      <c r="G30">
        <f>参数设置!$B$19</f>
        <v>500</v>
      </c>
      <c r="H30" s="23">
        <f>IF(E30=0,0,FLOOR(E30/(F30*(1+参数设置!$B$22)),G30))</f>
        <v>0</v>
      </c>
      <c r="I30" s="18">
        <f>H30*F30</f>
        <v>0</v>
      </c>
      <c r="J30" s="18">
        <f>I30*参数设置!$B$22</f>
        <v>0</v>
      </c>
      <c r="K30" s="18">
        <f>MAX(0,E30-I30-J30)</f>
        <v>0</v>
      </c>
      <c r="L30" s="23">
        <f>IF(ROW()=7,0,AD29)</f>
        <v>30000</v>
      </c>
      <c r="M30" s="18">
        <f>(L30+H30)*参数设置!$B$20</f>
        <v>1500</v>
      </c>
      <c r="N30" s="18">
        <f>M29</f>
        <v>1500</v>
      </c>
      <c r="O30" s="21">
        <f>SUMIFS(贷款明细!$I$4:$I$435,贷款明细!$G$4:$G$435,"&gt;="&amp;A30,贷款明细!$G$4:$G$435,"&lt;"&amp;EDATE(A30,1))</f>
        <v>23400</v>
      </c>
      <c r="P30" s="21">
        <f>SUMIFS(贷款明细!$J$4:$J$435,贷款明细!$G$4:$G$435,"&gt;="&amp;A30,贷款明细!$G$4:$G$435,"&lt;"&amp;EDATE(A30,1))</f>
        <v>774.35000000000014</v>
      </c>
      <c r="Q30" s="18">
        <f>(O30+P30)/D30</f>
        <v>28109.70930232558</v>
      </c>
      <c r="R30" s="18">
        <f>IF(B30=策略字典!$A$2,MIN(C30,O30)/D30,0)</f>
        <v>27209.302325581397</v>
      </c>
      <c r="S30" s="18">
        <f>IF(ROW()=7,0,AC29)</f>
        <v>36420.534883720975</v>
      </c>
      <c r="T30" s="18">
        <f>S30+N30+K30</f>
        <v>37920.534883720975</v>
      </c>
      <c r="U30" s="18">
        <f>MIN(T30,MAX(0,Q30-R30))</f>
        <v>900.40697674418334</v>
      </c>
      <c r="V30" s="18">
        <f>MAX(0,Q30-R30-U30)</f>
        <v>0</v>
      </c>
      <c r="W30" s="23">
        <f>IF(B30=策略字典!$A$3,MIN(L30+H30,CEILING(V30/(F30*(1-参数设置!$B$23)),G30)),0)</f>
        <v>0</v>
      </c>
      <c r="X30" s="18">
        <f>W30*F30</f>
        <v>0</v>
      </c>
      <c r="Y30" s="18">
        <f>X30*参数设置!$B$23</f>
        <v>0</v>
      </c>
      <c r="Z30" s="18">
        <f>X30-Y30</f>
        <v>0</v>
      </c>
      <c r="AA30" s="18">
        <f>MAX(0,V30-Z30)</f>
        <v>0</v>
      </c>
      <c r="AB30" s="18">
        <f>MAX(0,Z30-V30)</f>
        <v>0</v>
      </c>
      <c r="AC30" s="18">
        <f>T30-U30+AB30</f>
        <v>37020.127906976792</v>
      </c>
      <c r="AD30" s="23">
        <f>MAX(0,L30+H30-W30)</f>
        <v>30000</v>
      </c>
      <c r="AE30" s="18">
        <f>AD30*F30</f>
        <v>300000</v>
      </c>
      <c r="AF30" s="21">
        <f>SUM($C$7:C30)-SUM($O$7:O30)</f>
        <v>280800</v>
      </c>
      <c r="AG30" s="18">
        <f>AF30/D30</f>
        <v>326511.62790697673</v>
      </c>
      <c r="AH30" s="18">
        <f>AE30+AC30</f>
        <v>337020.12790697679</v>
      </c>
      <c r="AI30" s="18">
        <f>AH30-AG30-SUM($AA$7:AA30)</f>
        <v>10508.500000000058</v>
      </c>
      <c r="AJ30" s="24">
        <f>R30+U30+MIN(Z30,V30)+AA30-Q30</f>
        <v>0</v>
      </c>
    </row>
    <row r="31" spans="1:36" ht="15" customHeight="1">
      <c r="A31" s="15">
        <f>EDATE(DATE(YEAR(参数设置!$B$4),MONTH(参数设置!$B$4),1),ROW()-7)</f>
        <v>46966</v>
      </c>
      <c r="B31" s="4" t="s">
        <v>95</v>
      </c>
      <c r="C31" s="21">
        <f>IF(AND(ROW()-6&lt;=参数设置!$B$6,OR(B31=策略字典!$A$1,B31=策略字典!$A$2)),参数设置!$B$5,0)</f>
        <v>0</v>
      </c>
      <c r="D31" s="9">
        <f>参数设置!$B$7</f>
        <v>0.86</v>
      </c>
      <c r="E31" s="18">
        <f>IF(B31=策略字典!$A$1,C31/D31,0)</f>
        <v>0</v>
      </c>
      <c r="F31" s="18">
        <f>参数设置!$B$18</f>
        <v>10</v>
      </c>
      <c r="G31">
        <f>参数设置!$B$19</f>
        <v>500</v>
      </c>
      <c r="H31" s="23">
        <f>IF(E31=0,0,FLOOR(E31/(F31*(1+参数设置!$B$22)),G31))</f>
        <v>0</v>
      </c>
      <c r="I31" s="18">
        <f>H31*F31</f>
        <v>0</v>
      </c>
      <c r="J31" s="18">
        <f>I31*参数设置!$B$22</f>
        <v>0</v>
      </c>
      <c r="K31" s="18">
        <f>MAX(0,E31-I31-J31)</f>
        <v>0</v>
      </c>
      <c r="L31" s="23">
        <f>IF(ROW()=7,0,AD30)</f>
        <v>30000</v>
      </c>
      <c r="M31" s="18">
        <f>(L31+H31)*参数设置!$B$20</f>
        <v>1500</v>
      </c>
      <c r="N31" s="18">
        <f>M30</f>
        <v>1500</v>
      </c>
      <c r="O31" s="21">
        <f>SUMIFS(贷款明细!$I$4:$I$435,贷款明细!$G$4:$G$435,"&gt;="&amp;A31,贷款明细!$G$4:$G$435,"&lt;"&amp;EDATE(A31,1))</f>
        <v>23400</v>
      </c>
      <c r="P31" s="21">
        <f>SUMIFS(贷款明细!$J$4:$J$435,贷款明细!$G$4:$G$435,"&gt;="&amp;A31,贷款明细!$G$4:$G$435,"&lt;"&amp;EDATE(A31,1))</f>
        <v>795.85</v>
      </c>
      <c r="Q31" s="18">
        <f>(O31+P31)/D31</f>
        <v>28134.70930232558</v>
      </c>
      <c r="R31" s="18">
        <f>IF(B31=策略字典!$A$2,MIN(C31,O31)/D31,0)</f>
        <v>0</v>
      </c>
      <c r="S31" s="18">
        <f>IF(ROW()=7,0,AC30)</f>
        <v>37020.127906976792</v>
      </c>
      <c r="T31" s="18">
        <f>S31+N31+K31</f>
        <v>38520.127906976792</v>
      </c>
      <c r="U31" s="18">
        <f>MIN(T31,MAX(0,Q31-R31))</f>
        <v>28134.70930232558</v>
      </c>
      <c r="V31" s="18">
        <f>MAX(0,Q31-R31-U31)</f>
        <v>0</v>
      </c>
      <c r="W31" s="23">
        <f>IF(B31=策略字典!$A$3,MIN(L31+H31,CEILING(V31/(F31*(1-参数设置!$B$23)),G31)),0)</f>
        <v>0</v>
      </c>
      <c r="X31" s="18">
        <f>W31*F31</f>
        <v>0</v>
      </c>
      <c r="Y31" s="18">
        <f>X31*参数设置!$B$23</f>
        <v>0</v>
      </c>
      <c r="Z31" s="18">
        <f>X31-Y31</f>
        <v>0</v>
      </c>
      <c r="AA31" s="18">
        <f>MAX(0,V31-Z31)</f>
        <v>0</v>
      </c>
      <c r="AB31" s="18">
        <f>MAX(0,Z31-V31)</f>
        <v>0</v>
      </c>
      <c r="AC31" s="18">
        <f>T31-U31+AB31</f>
        <v>10385.418604651211</v>
      </c>
      <c r="AD31" s="23">
        <f>MAX(0,L31+H31-W31)</f>
        <v>30000</v>
      </c>
      <c r="AE31" s="18">
        <f>AD31*F31</f>
        <v>300000</v>
      </c>
      <c r="AF31" s="21">
        <f>SUM($C$7:C31)-SUM($O$7:O31)</f>
        <v>257400</v>
      </c>
      <c r="AG31" s="18">
        <f>AF31/D31</f>
        <v>299302.32558139536</v>
      </c>
      <c r="AH31" s="18">
        <f>AE31+AC31</f>
        <v>310385.41860465123</v>
      </c>
      <c r="AI31" s="18">
        <f>AH31-AG31-SUM($AA$7:AA31)</f>
        <v>11083.093023255875</v>
      </c>
      <c r="AJ31" s="24">
        <f>R31+U31+MIN(Z31,V31)+AA31-Q31</f>
        <v>0</v>
      </c>
    </row>
    <row r="32" spans="1:36" ht="15" customHeight="1">
      <c r="A32" s="15">
        <f>EDATE(DATE(YEAR(参数设置!$B$4),MONTH(参数设置!$B$4),1),ROW()-7)</f>
        <v>46997</v>
      </c>
      <c r="B32" s="4" t="s">
        <v>95</v>
      </c>
      <c r="C32" s="21">
        <f>IF(AND(ROW()-6&lt;=参数设置!$B$6,OR(B32=策略字典!$A$1,B32=策略字典!$A$2)),参数设置!$B$5,0)</f>
        <v>0</v>
      </c>
      <c r="D32" s="9">
        <f>参数设置!$B$7</f>
        <v>0.86</v>
      </c>
      <c r="E32" s="18">
        <f>IF(B32=策略字典!$A$1,C32/D32,0)</f>
        <v>0</v>
      </c>
      <c r="F32" s="18">
        <f>参数设置!$B$18</f>
        <v>10</v>
      </c>
      <c r="G32">
        <f>参数设置!$B$19</f>
        <v>500</v>
      </c>
      <c r="H32" s="23">
        <f>IF(E32=0,0,FLOOR(E32/(F32*(1+参数设置!$B$22)),G32))</f>
        <v>0</v>
      </c>
      <c r="I32" s="18">
        <f>H32*F32</f>
        <v>0</v>
      </c>
      <c r="J32" s="18">
        <f>I32*参数设置!$B$22</f>
        <v>0</v>
      </c>
      <c r="K32" s="18">
        <f>MAX(0,E32-I32-J32)</f>
        <v>0</v>
      </c>
      <c r="L32" s="23">
        <f>IF(ROW()=7,0,AD31)</f>
        <v>30000</v>
      </c>
      <c r="M32" s="18">
        <f>(L32+H32)*参数设置!$B$20</f>
        <v>1500</v>
      </c>
      <c r="N32" s="18">
        <f>M31</f>
        <v>1500</v>
      </c>
      <c r="O32" s="21">
        <f>SUMIFS(贷款明细!$I$4:$I$435,贷款明细!$G$4:$G$435,"&gt;="&amp;A32,贷款明细!$G$4:$G$435,"&lt;"&amp;EDATE(A32,1))</f>
        <v>23400</v>
      </c>
      <c r="P32" s="21">
        <f>SUMIFS(贷款明细!$J$4:$J$435,贷款明细!$G$4:$G$435,"&gt;="&amp;A32,贷款明细!$G$4:$G$435,"&lt;"&amp;EDATE(A32,1))</f>
        <v>798</v>
      </c>
      <c r="Q32" s="18">
        <f>(O32+P32)/D32</f>
        <v>28137.20930232558</v>
      </c>
      <c r="R32" s="18">
        <f>IF(B32=策略字典!$A$2,MIN(C32,O32)/D32,0)</f>
        <v>0</v>
      </c>
      <c r="S32" s="18">
        <f>IF(ROW()=7,0,AC31)</f>
        <v>10385.418604651211</v>
      </c>
      <c r="T32" s="18">
        <f>S32+N32+K32</f>
        <v>11885.418604651211</v>
      </c>
      <c r="U32" s="18">
        <f>MIN(T32,MAX(0,Q32-R32))</f>
        <v>11885.418604651211</v>
      </c>
      <c r="V32" s="18">
        <f>MAX(0,Q32-R32-U32)</f>
        <v>16251.790697674369</v>
      </c>
      <c r="W32" s="23">
        <f>IF(B32=策略字典!$A$3,MIN(L32+H32,CEILING(V32/(F32*(1-参数设置!$B$23)),G32)),0)</f>
        <v>2000</v>
      </c>
      <c r="X32" s="18">
        <f>W32*F32</f>
        <v>20000</v>
      </c>
      <c r="Y32" s="18">
        <f>X32*参数设置!$B$23</f>
        <v>0</v>
      </c>
      <c r="Z32" s="18">
        <f>X32-Y32</f>
        <v>20000</v>
      </c>
      <c r="AA32" s="18">
        <f>MAX(0,V32-Z32)</f>
        <v>0</v>
      </c>
      <c r="AB32" s="18">
        <f>MAX(0,Z32-V32)</f>
        <v>3748.2093023256311</v>
      </c>
      <c r="AC32" s="18">
        <f>T32-U32+AB32</f>
        <v>3748.2093023256311</v>
      </c>
      <c r="AD32" s="23">
        <f>MAX(0,L32+H32-W32)</f>
        <v>28000</v>
      </c>
      <c r="AE32" s="18">
        <f>AD32*F32</f>
        <v>280000</v>
      </c>
      <c r="AF32" s="21">
        <f>SUM($C$7:C32)-SUM($O$7:O32)</f>
        <v>234000</v>
      </c>
      <c r="AG32" s="18">
        <f>AF32/D32</f>
        <v>272093.02325581398</v>
      </c>
      <c r="AH32" s="18">
        <f>AE32+AC32</f>
        <v>283748.20930232562</v>
      </c>
      <c r="AI32" s="18">
        <f>AH32-AG32-SUM($AA$7:AA32)</f>
        <v>11655.186046511633</v>
      </c>
      <c r="AJ32" s="24">
        <f>R32+U32+MIN(Z32,V32)+AA32-Q32</f>
        <v>0</v>
      </c>
    </row>
    <row r="33" spans="1:36" ht="15" customHeight="1">
      <c r="A33" s="15">
        <f>EDATE(DATE(YEAR(参数设置!$B$4),MONTH(参数设置!$B$4),1),ROW()-7)</f>
        <v>47027</v>
      </c>
      <c r="B33" s="4" t="s">
        <v>95</v>
      </c>
      <c r="C33" s="21">
        <f>IF(AND(ROW()-6&lt;=参数设置!$B$6,OR(B33=策略字典!$A$1,B33=策略字典!$A$2)),参数设置!$B$5,0)</f>
        <v>0</v>
      </c>
      <c r="D33" s="9">
        <f>参数设置!$B$7</f>
        <v>0.86</v>
      </c>
      <c r="E33" s="18">
        <f>IF(B33=策略字典!$A$1,C33/D33,0)</f>
        <v>0</v>
      </c>
      <c r="F33" s="18">
        <f>参数设置!$B$18</f>
        <v>10</v>
      </c>
      <c r="G33">
        <f>参数设置!$B$19</f>
        <v>500</v>
      </c>
      <c r="H33" s="23">
        <f>IF(E33=0,0,FLOOR(E33/(F33*(1+参数设置!$B$22)),G33))</f>
        <v>0</v>
      </c>
      <c r="I33" s="18">
        <f>H33*F33</f>
        <v>0</v>
      </c>
      <c r="J33" s="18">
        <f>I33*参数设置!$B$22</f>
        <v>0</v>
      </c>
      <c r="K33" s="18">
        <f>MAX(0,E33-I33-J33)</f>
        <v>0</v>
      </c>
      <c r="L33" s="23">
        <f>IF(ROW()=7,0,AD32)</f>
        <v>28000</v>
      </c>
      <c r="M33" s="18">
        <f>(L33+H33)*参数设置!$B$20</f>
        <v>1400</v>
      </c>
      <c r="N33" s="18">
        <f>M32</f>
        <v>1500</v>
      </c>
      <c r="O33" s="21">
        <f>SUMIFS(贷款明细!$I$4:$I$435,贷款明细!$G$4:$G$435,"&gt;="&amp;A33,贷款明细!$G$4:$G$435,"&lt;"&amp;EDATE(A33,1))</f>
        <v>23400</v>
      </c>
      <c r="P33" s="21">
        <f>SUMIFS(贷款明细!$J$4:$J$435,贷款明细!$G$4:$G$435,"&gt;="&amp;A33,贷款明细!$G$4:$G$435,"&lt;"&amp;EDATE(A33,1))</f>
        <v>654.23000000000013</v>
      </c>
      <c r="Q33" s="18">
        <f>(O33+P33)/D33</f>
        <v>27970.034883720931</v>
      </c>
      <c r="R33" s="18">
        <f>IF(B33=策略字典!$A$2,MIN(C33,O33)/D33,0)</f>
        <v>0</v>
      </c>
      <c r="S33" s="18">
        <f>IF(ROW()=7,0,AC32)</f>
        <v>3748.2093023256311</v>
      </c>
      <c r="T33" s="18">
        <f>S33+N33+K33</f>
        <v>5248.2093023256311</v>
      </c>
      <c r="U33" s="18">
        <f>MIN(T33,MAX(0,Q33-R33))</f>
        <v>5248.2093023256311</v>
      </c>
      <c r="V33" s="18">
        <f>MAX(0,Q33-R33-U33)</f>
        <v>22721.8255813953</v>
      </c>
      <c r="W33" s="23">
        <f>IF(B33=策略字典!$A$3,MIN(L33+H33,CEILING(V33/(F33*(1-参数设置!$B$23)),G33)),0)</f>
        <v>2500</v>
      </c>
      <c r="X33" s="18">
        <f>W33*F33</f>
        <v>25000</v>
      </c>
      <c r="Y33" s="18">
        <f>X33*参数设置!$B$23</f>
        <v>0</v>
      </c>
      <c r="Z33" s="18">
        <f>X33-Y33</f>
        <v>25000</v>
      </c>
      <c r="AA33" s="18">
        <f>MAX(0,V33-Z33)</f>
        <v>0</v>
      </c>
      <c r="AB33" s="18">
        <f>MAX(0,Z33-V33)</f>
        <v>2278.1744186046999</v>
      </c>
      <c r="AC33" s="18">
        <f>T33-U33+AB33</f>
        <v>2278.1744186046999</v>
      </c>
      <c r="AD33" s="23">
        <f>MAX(0,L33+H33-W33)</f>
        <v>25500</v>
      </c>
      <c r="AE33" s="18">
        <f>AD33*F33</f>
        <v>255000</v>
      </c>
      <c r="AF33" s="21">
        <f>SUM($C$7:C33)-SUM($O$7:O33)</f>
        <v>210600</v>
      </c>
      <c r="AG33" s="18">
        <f>AF33/D33</f>
        <v>244883.72093023255</v>
      </c>
      <c r="AH33" s="18">
        <f>AE33+AC33</f>
        <v>257278.1744186047</v>
      </c>
      <c r="AI33" s="18">
        <f>AH33-AG33-SUM($AA$7:AA33)</f>
        <v>12394.45348837215</v>
      </c>
      <c r="AJ33" s="24">
        <f>R33+U33+MIN(Z33,V33)+AA33-Q33</f>
        <v>0</v>
      </c>
    </row>
    <row r="34" spans="1:36" ht="15" customHeight="1">
      <c r="A34" s="15">
        <f>EDATE(DATE(YEAR(参数设置!$B$4),MONTH(参数设置!$B$4),1),ROW()-7)</f>
        <v>47058</v>
      </c>
      <c r="B34" s="4" t="s">
        <v>95</v>
      </c>
      <c r="C34" s="21">
        <f>IF(AND(ROW()-6&lt;=参数设置!$B$6,OR(B34=策略字典!$A$1,B34=策略字典!$A$2)),参数设置!$B$5,0)</f>
        <v>0</v>
      </c>
      <c r="D34" s="9">
        <f>参数设置!$B$7</f>
        <v>0.86</v>
      </c>
      <c r="E34" s="18">
        <f>IF(B34=策略字典!$A$1,C34/D34,0)</f>
        <v>0</v>
      </c>
      <c r="F34" s="18">
        <f>参数设置!$B$18</f>
        <v>10</v>
      </c>
      <c r="G34">
        <f>参数设置!$B$19</f>
        <v>500</v>
      </c>
      <c r="H34" s="23">
        <f>IF(E34=0,0,FLOOR(E34/(F34*(1+参数设置!$B$22)),G34))</f>
        <v>0</v>
      </c>
      <c r="I34" s="18">
        <f>H34*F34</f>
        <v>0</v>
      </c>
      <c r="J34" s="18">
        <f>I34*参数设置!$B$22</f>
        <v>0</v>
      </c>
      <c r="K34" s="18">
        <f>MAX(0,E34-I34-J34)</f>
        <v>0</v>
      </c>
      <c r="L34" s="23">
        <f>IF(ROW()=7,0,AD33)</f>
        <v>25500</v>
      </c>
      <c r="M34" s="18">
        <f>(L34+H34)*参数设置!$B$20</f>
        <v>1275</v>
      </c>
      <c r="N34" s="18">
        <f>M33</f>
        <v>1400</v>
      </c>
      <c r="O34" s="21">
        <f>SUMIFS(贷款明细!$I$4:$I$435,贷款明细!$G$4:$G$435,"&gt;="&amp;A34,贷款明细!$G$4:$G$435,"&lt;"&amp;EDATE(A34,1))</f>
        <v>23400</v>
      </c>
      <c r="P34" s="21">
        <f>SUMIFS(贷款明细!$J$4:$J$435,贷款明细!$G$4:$G$435,"&gt;="&amp;A34,贷款明细!$G$4:$G$435,"&lt;"&amp;EDATE(A34,1))</f>
        <v>609.23</v>
      </c>
      <c r="Q34" s="18">
        <f>(O34+P34)/D34</f>
        <v>27917.70930232558</v>
      </c>
      <c r="R34" s="18">
        <f>IF(B34=策略字典!$A$2,MIN(C34,O34)/D34,0)</f>
        <v>0</v>
      </c>
      <c r="S34" s="18">
        <f>IF(ROW()=7,0,AC33)</f>
        <v>2278.1744186046999</v>
      </c>
      <c r="T34" s="18">
        <f>S34+N34+K34</f>
        <v>3678.1744186046999</v>
      </c>
      <c r="U34" s="18">
        <f>MIN(T34,MAX(0,Q34-R34))</f>
        <v>3678.1744186046999</v>
      </c>
      <c r="V34" s="18">
        <f>MAX(0,Q34-R34-U34)</f>
        <v>24239.53488372088</v>
      </c>
      <c r="W34" s="23">
        <f>IF(B34=策略字典!$A$3,MIN(L34+H34,CEILING(V34/(F34*(1-参数设置!$B$23)),G34)),0)</f>
        <v>2500</v>
      </c>
      <c r="X34" s="18">
        <f>W34*F34</f>
        <v>25000</v>
      </c>
      <c r="Y34" s="18">
        <f>X34*参数设置!$B$23</f>
        <v>0</v>
      </c>
      <c r="Z34" s="18">
        <f>X34-Y34</f>
        <v>25000</v>
      </c>
      <c r="AA34" s="18">
        <f>MAX(0,V34-Z34)</f>
        <v>0</v>
      </c>
      <c r="AB34" s="18">
        <f>MAX(0,Z34-V34)</f>
        <v>760.46511627911968</v>
      </c>
      <c r="AC34" s="18">
        <f>T34-U34+AB34</f>
        <v>760.46511627911968</v>
      </c>
      <c r="AD34" s="23">
        <f>MAX(0,L34+H34-W34)</f>
        <v>23000</v>
      </c>
      <c r="AE34" s="18">
        <f>AD34*F34</f>
        <v>230000</v>
      </c>
      <c r="AF34" s="21">
        <f>SUM($C$7:C34)-SUM($O$7:O34)</f>
        <v>187200</v>
      </c>
      <c r="AG34" s="18">
        <f>AF34/D34</f>
        <v>217674.41860465117</v>
      </c>
      <c r="AH34" s="18">
        <f>AE34+AC34</f>
        <v>230760.46511627911</v>
      </c>
      <c r="AI34" s="18">
        <f>AH34-AG34-SUM($AA$7:AA34)</f>
        <v>13086.046511627937</v>
      </c>
      <c r="AJ34" s="24">
        <f>R34+U34+MIN(Z34,V34)+AA34-Q34</f>
        <v>0</v>
      </c>
    </row>
    <row r="35" spans="1:36" ht="15" customHeight="1">
      <c r="A35" s="15">
        <f>EDATE(DATE(YEAR(参数设置!$B$4),MONTH(参数设置!$B$4),1),ROW()-7)</f>
        <v>47088</v>
      </c>
      <c r="B35" s="4" t="s">
        <v>95</v>
      </c>
      <c r="C35" s="21">
        <f>IF(AND(ROW()-6&lt;=参数设置!$B$6,OR(B35=策略字典!$A$1,B35=策略字典!$A$2)),参数设置!$B$5,0)</f>
        <v>0</v>
      </c>
      <c r="D35" s="9">
        <f>参数设置!$B$7</f>
        <v>0.86</v>
      </c>
      <c r="E35" s="18">
        <f>IF(B35=策略字典!$A$1,C35/D35,0)</f>
        <v>0</v>
      </c>
      <c r="F35" s="18">
        <f>参数设置!$B$18</f>
        <v>10</v>
      </c>
      <c r="G35">
        <f>参数设置!$B$19</f>
        <v>500</v>
      </c>
      <c r="H35" s="23">
        <f>IF(E35=0,0,FLOOR(E35/(F35*(1+参数设置!$B$22)),G35))</f>
        <v>0</v>
      </c>
      <c r="I35" s="18">
        <f>H35*F35</f>
        <v>0</v>
      </c>
      <c r="J35" s="18">
        <f>I35*参数设置!$B$22</f>
        <v>0</v>
      </c>
      <c r="K35" s="18">
        <f>MAX(0,E35-I35-J35)</f>
        <v>0</v>
      </c>
      <c r="L35" s="23">
        <f>IF(ROW()=7,0,AD34)</f>
        <v>23000</v>
      </c>
      <c r="M35" s="18">
        <f>(L35+H35)*参数设置!$B$20</f>
        <v>1150</v>
      </c>
      <c r="N35" s="18">
        <f>M34</f>
        <v>1275</v>
      </c>
      <c r="O35" s="21">
        <f>SUMIFS(贷款明细!$I$4:$I$435,贷款明细!$G$4:$G$435,"&gt;="&amp;A35,贷款明细!$G$4:$G$435,"&lt;"&amp;EDATE(A35,1))</f>
        <v>23400</v>
      </c>
      <c r="P35" s="21">
        <f>SUMIFS(贷款明细!$J$4:$J$435,贷款明细!$G$4:$G$435,"&gt;="&amp;A35,贷款明细!$G$4:$G$435,"&lt;"&amp;EDATE(A35,1))</f>
        <v>525.53000000000009</v>
      </c>
      <c r="Q35" s="18">
        <f>(O35+P35)/D35</f>
        <v>27820.383720930233</v>
      </c>
      <c r="R35" s="18">
        <f>IF(B35=策略字典!$A$2,MIN(C35,O35)/D35,0)</f>
        <v>0</v>
      </c>
      <c r="S35" s="18">
        <f>IF(ROW()=7,0,AC34)</f>
        <v>760.46511627911968</v>
      </c>
      <c r="T35" s="18">
        <f>S35+N35+K35</f>
        <v>2035.4651162791197</v>
      </c>
      <c r="U35" s="18">
        <f>MIN(T35,MAX(0,Q35-R35))</f>
        <v>2035.4651162791197</v>
      </c>
      <c r="V35" s="18">
        <f>MAX(0,Q35-R35-U35)</f>
        <v>25784.918604651113</v>
      </c>
      <c r="W35" s="23">
        <f>IF(B35=策略字典!$A$3,MIN(L35+H35,CEILING(V35/(F35*(1-参数设置!$B$23)),G35)),0)</f>
        <v>3000</v>
      </c>
      <c r="X35" s="18">
        <f>W35*F35</f>
        <v>30000</v>
      </c>
      <c r="Y35" s="18">
        <f>X35*参数设置!$B$23</f>
        <v>0</v>
      </c>
      <c r="Z35" s="18">
        <f>X35-Y35</f>
        <v>30000</v>
      </c>
      <c r="AA35" s="18">
        <f>MAX(0,V35-Z35)</f>
        <v>0</v>
      </c>
      <c r="AB35" s="18">
        <f>MAX(0,Z35-V35)</f>
        <v>4215.0813953488869</v>
      </c>
      <c r="AC35" s="18">
        <f>T35-U35+AB35</f>
        <v>4215.0813953488869</v>
      </c>
      <c r="AD35" s="23">
        <f>MAX(0,L35+H35-W35)</f>
        <v>20000</v>
      </c>
      <c r="AE35" s="18">
        <f>AD35*F35</f>
        <v>200000</v>
      </c>
      <c r="AF35" s="21">
        <f>SUM($C$7:C35)-SUM($O$7:O35)</f>
        <v>163800</v>
      </c>
      <c r="AG35" s="18">
        <f>AF35/D35</f>
        <v>190465.11627906977</v>
      </c>
      <c r="AH35" s="18">
        <f>AE35+AC35</f>
        <v>204215.08139534888</v>
      </c>
      <c r="AI35" s="18">
        <f>AH35-AG35-SUM($AA$7:AA35)</f>
        <v>13749.965116279112</v>
      </c>
      <c r="AJ35" s="24">
        <f>R35+U35+MIN(Z35,V35)+AA35-Q35</f>
        <v>0</v>
      </c>
    </row>
    <row r="36" spans="1:36" ht="15" customHeight="1">
      <c r="A36" s="15">
        <f>EDATE(DATE(YEAR(参数设置!$B$4),MONTH(参数设置!$B$4),1),ROW()-7)</f>
        <v>47119</v>
      </c>
      <c r="B36" s="4" t="s">
        <v>95</v>
      </c>
      <c r="C36" s="21">
        <f>IF(AND(ROW()-6&lt;=参数设置!$B$6,OR(B36=策略字典!$A$1,B36=策略字典!$A$2)),参数设置!$B$5,0)</f>
        <v>0</v>
      </c>
      <c r="D36" s="9">
        <f>参数设置!$B$7</f>
        <v>0.86</v>
      </c>
      <c r="E36" s="18">
        <f>IF(B36=策略字典!$A$1,C36/D36,0)</f>
        <v>0</v>
      </c>
      <c r="F36" s="18">
        <f>参数设置!$B$18</f>
        <v>10</v>
      </c>
      <c r="G36">
        <f>参数设置!$B$19</f>
        <v>500</v>
      </c>
      <c r="H36" s="23">
        <f>IF(E36=0,0,FLOOR(E36/(F36*(1+参数设置!$B$22)),G36))</f>
        <v>0</v>
      </c>
      <c r="I36" s="18">
        <f>H36*F36</f>
        <v>0</v>
      </c>
      <c r="J36" s="18">
        <f>I36*参数设置!$B$22</f>
        <v>0</v>
      </c>
      <c r="K36" s="18">
        <f>MAX(0,E36-I36-J36)</f>
        <v>0</v>
      </c>
      <c r="L36" s="23">
        <f>IF(ROW()=7,0,AD35)</f>
        <v>20000</v>
      </c>
      <c r="M36" s="18">
        <f>(L36+H36)*参数设置!$B$20</f>
        <v>1000</v>
      </c>
      <c r="N36" s="18">
        <f>M35</f>
        <v>1150</v>
      </c>
      <c r="O36" s="21">
        <f>SUMIFS(贷款明细!$I$4:$I$435,贷款明细!$G$4:$G$435,"&gt;="&amp;A36,贷款明细!$G$4:$G$435,"&lt;"&amp;EDATE(A36,1))</f>
        <v>23400</v>
      </c>
      <c r="P36" s="21">
        <f>SUMIFS(贷款明细!$J$4:$J$435,贷款明细!$G$4:$G$435,"&gt;="&amp;A36,贷款明细!$G$4:$G$435,"&lt;"&amp;EDATE(A36,1))</f>
        <v>476.23</v>
      </c>
      <c r="Q36" s="18">
        <f>(O36+P36)/D36</f>
        <v>27763.058139534885</v>
      </c>
      <c r="R36" s="18">
        <f>IF(B36=策略字典!$A$2,MIN(C36,O36)/D36,0)</f>
        <v>0</v>
      </c>
      <c r="S36" s="18">
        <f>IF(ROW()=7,0,AC35)</f>
        <v>4215.0813953488869</v>
      </c>
      <c r="T36" s="18">
        <f>S36+N36+K36</f>
        <v>5365.0813953488869</v>
      </c>
      <c r="U36" s="18">
        <f>MIN(T36,MAX(0,Q36-R36))</f>
        <v>5365.0813953488869</v>
      </c>
      <c r="V36" s="18">
        <f>MAX(0,Q36-R36-U36)</f>
        <v>22397.976744185999</v>
      </c>
      <c r="W36" s="23">
        <f>IF(B36=策略字典!$A$3,MIN(L36+H36,CEILING(V36/(F36*(1-参数设置!$B$23)),G36)),0)</f>
        <v>2500</v>
      </c>
      <c r="X36" s="18">
        <f>W36*F36</f>
        <v>25000</v>
      </c>
      <c r="Y36" s="18">
        <f>X36*参数设置!$B$23</f>
        <v>0</v>
      </c>
      <c r="Z36" s="18">
        <f>X36-Y36</f>
        <v>25000</v>
      </c>
      <c r="AA36" s="18">
        <f>MAX(0,V36-Z36)</f>
        <v>0</v>
      </c>
      <c r="AB36" s="18">
        <f>MAX(0,Z36-V36)</f>
        <v>2602.0232558140015</v>
      </c>
      <c r="AC36" s="18">
        <f>T36-U36+AB36</f>
        <v>2602.0232558140015</v>
      </c>
      <c r="AD36" s="23">
        <f>MAX(0,L36+H36-W36)</f>
        <v>17500</v>
      </c>
      <c r="AE36" s="18">
        <f>AD36*F36</f>
        <v>175000</v>
      </c>
      <c r="AF36" s="21">
        <f>SUM($C$7:C36)-SUM($O$7:O36)</f>
        <v>140400</v>
      </c>
      <c r="AG36" s="18">
        <f>AF36/D36</f>
        <v>163255.81395348837</v>
      </c>
      <c r="AH36" s="18">
        <f>AE36+AC36</f>
        <v>177602.02325581401</v>
      </c>
      <c r="AI36" s="18">
        <f>AH36-AG36-SUM($AA$7:AA36)</f>
        <v>14346.209302325646</v>
      </c>
      <c r="AJ36" s="24">
        <f>R36+U36+MIN(Z36,V36)+AA36-Q36</f>
        <v>0</v>
      </c>
    </row>
    <row r="37" spans="1:36" ht="15" customHeight="1">
      <c r="A37" s="15">
        <f>EDATE(DATE(YEAR(参数设置!$B$4),MONTH(参数设置!$B$4),1),ROW()-7)</f>
        <v>47150</v>
      </c>
      <c r="B37" s="4" t="s">
        <v>95</v>
      </c>
      <c r="C37" s="21">
        <f>IF(AND(ROW()-6&lt;=参数设置!$B$6,OR(B37=策略字典!$A$1,B37=策略字典!$A$2)),参数设置!$B$5,0)</f>
        <v>0</v>
      </c>
      <c r="D37" s="9">
        <f>参数设置!$B$7</f>
        <v>0.86</v>
      </c>
      <c r="E37" s="18">
        <f>IF(B37=策略字典!$A$1,C37/D37,0)</f>
        <v>0</v>
      </c>
      <c r="F37" s="18">
        <f>参数设置!$B$18</f>
        <v>10</v>
      </c>
      <c r="G37">
        <f>参数设置!$B$19</f>
        <v>500</v>
      </c>
      <c r="H37" s="23">
        <f>IF(E37=0,0,FLOOR(E37/(F37*(1+参数设置!$B$22)),G37))</f>
        <v>0</v>
      </c>
      <c r="I37" s="18">
        <f>H37*F37</f>
        <v>0</v>
      </c>
      <c r="J37" s="18">
        <f>I37*参数设置!$B$22</f>
        <v>0</v>
      </c>
      <c r="K37" s="18">
        <f>MAX(0,E37-I37-J37)</f>
        <v>0</v>
      </c>
      <c r="L37" s="23">
        <f>IF(ROW()=7,0,AD36)</f>
        <v>17500</v>
      </c>
      <c r="M37" s="18">
        <f>(L37+H37)*参数设置!$B$20</f>
        <v>875</v>
      </c>
      <c r="N37" s="18">
        <f>M36</f>
        <v>1000</v>
      </c>
      <c r="O37" s="21">
        <f>SUMIFS(贷款明细!$I$4:$I$435,贷款明细!$G$4:$G$435,"&gt;="&amp;A37,贷款明细!$G$4:$G$435,"&lt;"&amp;EDATE(A37,1))</f>
        <v>23400</v>
      </c>
      <c r="P37" s="21">
        <f>SUMIFS(贷款明细!$J$4:$J$435,贷款明细!$G$4:$G$435,"&gt;="&amp;A37,贷款明细!$G$4:$G$435,"&lt;"&amp;EDATE(A37,1))</f>
        <v>409.73</v>
      </c>
      <c r="Q37" s="18">
        <f>(O37+P37)/D37</f>
        <v>27685.732558139534</v>
      </c>
      <c r="R37" s="18">
        <f>IF(B37=策略字典!$A$2,MIN(C37,O37)/D37,0)</f>
        <v>0</v>
      </c>
      <c r="S37" s="18">
        <f>IF(ROW()=7,0,AC36)</f>
        <v>2602.0232558140015</v>
      </c>
      <c r="T37" s="18">
        <f>S37+N37+K37</f>
        <v>3602.0232558140015</v>
      </c>
      <c r="U37" s="18">
        <f>MIN(T37,MAX(0,Q37-R37))</f>
        <v>3602.0232558140015</v>
      </c>
      <c r="V37" s="18">
        <f>MAX(0,Q37-R37-U37)</f>
        <v>24083.709302325533</v>
      </c>
      <c r="W37" s="23">
        <f>IF(B37=策略字典!$A$3,MIN(L37+H37,CEILING(V37/(F37*(1-参数设置!$B$23)),G37)),0)</f>
        <v>2500</v>
      </c>
      <c r="X37" s="18">
        <f>W37*F37</f>
        <v>25000</v>
      </c>
      <c r="Y37" s="18">
        <f>X37*参数设置!$B$23</f>
        <v>0</v>
      </c>
      <c r="Z37" s="18">
        <f>X37-Y37</f>
        <v>25000</v>
      </c>
      <c r="AA37" s="18">
        <f>MAX(0,V37-Z37)</f>
        <v>0</v>
      </c>
      <c r="AB37" s="18">
        <f>MAX(0,Z37-V37)</f>
        <v>916.29069767446708</v>
      </c>
      <c r="AC37" s="18">
        <f>T37-U37+AB37</f>
        <v>916.29069767446708</v>
      </c>
      <c r="AD37" s="23">
        <f>MAX(0,L37+H37-W37)</f>
        <v>15000</v>
      </c>
      <c r="AE37" s="18">
        <f>AD37*F37</f>
        <v>150000</v>
      </c>
      <c r="AF37" s="21">
        <f>SUM($C$7:C37)-SUM($O$7:O37)</f>
        <v>117000</v>
      </c>
      <c r="AG37" s="18">
        <f>AF37/D37</f>
        <v>136046.51162790699</v>
      </c>
      <c r="AH37" s="18">
        <f>AE37+AC37</f>
        <v>150916.29069767447</v>
      </c>
      <c r="AI37" s="18">
        <f>AH37-AG37-SUM($AA$7:AA37)</f>
        <v>14869.779069767479</v>
      </c>
      <c r="AJ37" s="24">
        <f>R37+U37+MIN(Z37,V37)+AA37-Q37</f>
        <v>0</v>
      </c>
    </row>
    <row r="38" spans="1:36" ht="15" customHeight="1">
      <c r="A38" s="15">
        <f>EDATE(DATE(YEAR(参数设置!$B$4),MONTH(参数设置!$B$4),1),ROW()-7)</f>
        <v>47178</v>
      </c>
      <c r="B38" s="4" t="s">
        <v>95</v>
      </c>
      <c r="C38" s="21">
        <f>IF(AND(ROW()-6&lt;=参数设置!$B$6,OR(B38=策略字典!$A$1,B38=策略字典!$A$2)),参数设置!$B$5,0)</f>
        <v>0</v>
      </c>
      <c r="D38" s="9">
        <f>参数设置!$B$7</f>
        <v>0.86</v>
      </c>
      <c r="E38" s="18">
        <f>IF(B38=策略字典!$A$1,C38/D38,0)</f>
        <v>0</v>
      </c>
      <c r="F38" s="18">
        <f>参数设置!$B$18</f>
        <v>10</v>
      </c>
      <c r="G38">
        <f>参数设置!$B$19</f>
        <v>500</v>
      </c>
      <c r="H38" s="23">
        <f>IF(E38=0,0,FLOOR(E38/(F38*(1+参数设置!$B$22)),G38))</f>
        <v>0</v>
      </c>
      <c r="I38" s="18">
        <f>H38*F38</f>
        <v>0</v>
      </c>
      <c r="J38" s="18">
        <f>I38*参数设置!$B$22</f>
        <v>0</v>
      </c>
      <c r="K38" s="18">
        <f>MAX(0,E38-I38-J38)</f>
        <v>0</v>
      </c>
      <c r="L38" s="23">
        <f>IF(ROW()=7,0,AD37)</f>
        <v>15000</v>
      </c>
      <c r="M38" s="18">
        <f>(L38+H38)*参数设置!$B$20</f>
        <v>750</v>
      </c>
      <c r="N38" s="18">
        <f>M37</f>
        <v>875</v>
      </c>
      <c r="O38" s="21">
        <f>SUMIFS(贷款明细!$I$4:$I$435,贷款明细!$G$4:$G$435,"&gt;="&amp;A38,贷款明细!$G$4:$G$435,"&lt;"&amp;EDATE(A38,1))</f>
        <v>23400</v>
      </c>
      <c r="P38" s="21">
        <f>SUMIFS(贷款明细!$J$4:$J$435,贷款明细!$G$4:$G$435,"&gt;="&amp;A38,贷款明细!$G$4:$G$435,"&lt;"&amp;EDATE(A38,1))</f>
        <v>311.03000000000003</v>
      </c>
      <c r="Q38" s="18">
        <f>(O38+P38)/D38</f>
        <v>27570.965116279069</v>
      </c>
      <c r="R38" s="18">
        <f>IF(B38=策略字典!$A$2,MIN(C38,O38)/D38,0)</f>
        <v>0</v>
      </c>
      <c r="S38" s="18">
        <f>IF(ROW()=7,0,AC37)</f>
        <v>916.29069767446708</v>
      </c>
      <c r="T38" s="18">
        <f>S38+N38+K38</f>
        <v>1791.2906976744671</v>
      </c>
      <c r="U38" s="18">
        <f>MIN(T38,MAX(0,Q38-R38))</f>
        <v>1791.2906976744671</v>
      </c>
      <c r="V38" s="18">
        <f>MAX(0,Q38-R38-U38)</f>
        <v>25779.674418604602</v>
      </c>
      <c r="W38" s="23">
        <f>IF(B38=策略字典!$A$3,MIN(L38+H38,CEILING(V38/(F38*(1-参数设置!$B$23)),G38)),0)</f>
        <v>3000</v>
      </c>
      <c r="X38" s="18">
        <f>W38*F38</f>
        <v>30000</v>
      </c>
      <c r="Y38" s="18">
        <f>X38*参数设置!$B$23</f>
        <v>0</v>
      </c>
      <c r="Z38" s="18">
        <f>X38-Y38</f>
        <v>30000</v>
      </c>
      <c r="AA38" s="18">
        <f>MAX(0,V38-Z38)</f>
        <v>0</v>
      </c>
      <c r="AB38" s="18">
        <f>MAX(0,Z38-V38)</f>
        <v>4220.3255813953983</v>
      </c>
      <c r="AC38" s="18">
        <f>T38-U38+AB38</f>
        <v>4220.3255813953983</v>
      </c>
      <c r="AD38" s="23">
        <f>MAX(0,L38+H38-W38)</f>
        <v>12000</v>
      </c>
      <c r="AE38" s="18">
        <f>AD38*F38</f>
        <v>120000</v>
      </c>
      <c r="AF38" s="21">
        <f>SUM($C$7:C38)-SUM($O$7:O38)</f>
        <v>93600</v>
      </c>
      <c r="AG38" s="18">
        <f>AF38/D38</f>
        <v>108837.20930232559</v>
      </c>
      <c r="AH38" s="18">
        <f>AE38+AC38</f>
        <v>124220.3255813954</v>
      </c>
      <c r="AI38" s="18">
        <f>AH38-AG38-SUM($AA$7:AA38)</f>
        <v>15383.116279069814</v>
      </c>
      <c r="AJ38" s="24">
        <f>R38+U38+MIN(Z38,V38)+AA38-Q38</f>
        <v>0</v>
      </c>
    </row>
    <row r="39" spans="1:36" ht="15" customHeight="1">
      <c r="A39" s="15">
        <f>EDATE(DATE(YEAR(参数设置!$B$4),MONTH(参数设置!$B$4),1),ROW()-7)</f>
        <v>47209</v>
      </c>
      <c r="B39" s="4" t="s">
        <v>95</v>
      </c>
      <c r="C39" s="21">
        <f>IF(AND(ROW()-6&lt;=参数设置!$B$6,OR(B39=策略字典!$A$1,B39=策略字典!$A$2)),参数设置!$B$5,0)</f>
        <v>0</v>
      </c>
      <c r="D39" s="9">
        <f>参数设置!$B$7</f>
        <v>0.86</v>
      </c>
      <c r="E39" s="18">
        <f>IF(B39=策略字典!$A$1,C39/D39,0)</f>
        <v>0</v>
      </c>
      <c r="F39" s="18">
        <f>参数设置!$B$18</f>
        <v>10</v>
      </c>
      <c r="G39">
        <f>参数设置!$B$19</f>
        <v>500</v>
      </c>
      <c r="H39" s="23">
        <f>IF(E39=0,0,FLOOR(E39/(F39*(1+参数设置!$B$22)),G39))</f>
        <v>0</v>
      </c>
      <c r="I39" s="18">
        <f>H39*F39</f>
        <v>0</v>
      </c>
      <c r="J39" s="18">
        <f>I39*参数设置!$B$22</f>
        <v>0</v>
      </c>
      <c r="K39" s="18">
        <f>MAX(0,E39-I39-J39)</f>
        <v>0</v>
      </c>
      <c r="L39" s="23">
        <f>IF(ROW()=7,0,AD38)</f>
        <v>12000</v>
      </c>
      <c r="M39" s="18">
        <f>(L39+H39)*参数设置!$B$20</f>
        <v>600</v>
      </c>
      <c r="N39" s="18">
        <f>M38</f>
        <v>750</v>
      </c>
      <c r="O39" s="21">
        <f>SUMIFS(贷款明细!$I$4:$I$435,贷款明细!$G$4:$G$435,"&gt;="&amp;A39,贷款明细!$G$4:$G$435,"&lt;"&amp;EDATE(A39,1))</f>
        <v>23400</v>
      </c>
      <c r="P39" s="21">
        <f>SUMIFS(贷款明细!$J$4:$J$435,贷款明细!$G$4:$G$435,"&gt;="&amp;A39,贷款明细!$G$4:$G$435,"&lt;"&amp;EDATE(A39,1))</f>
        <v>276.73</v>
      </c>
      <c r="Q39" s="18">
        <f>(O39+P39)/D39</f>
        <v>27531.081395348836</v>
      </c>
      <c r="R39" s="18">
        <f>IF(B39=策略字典!$A$2,MIN(C39,O39)/D39,0)</f>
        <v>0</v>
      </c>
      <c r="S39" s="18">
        <f>IF(ROW()=7,0,AC38)</f>
        <v>4220.3255813953983</v>
      </c>
      <c r="T39" s="18">
        <f>S39+N39+K39</f>
        <v>4970.3255813953983</v>
      </c>
      <c r="U39" s="18">
        <f>MIN(T39,MAX(0,Q39-R39))</f>
        <v>4970.3255813953983</v>
      </c>
      <c r="V39" s="18">
        <f>MAX(0,Q39-R39-U39)</f>
        <v>22560.755813953438</v>
      </c>
      <c r="W39" s="23">
        <f>IF(B39=策略字典!$A$3,MIN(L39+H39,CEILING(V39/(F39*(1-参数设置!$B$23)),G39)),0)</f>
        <v>2500</v>
      </c>
      <c r="X39" s="18">
        <f>W39*F39</f>
        <v>25000</v>
      </c>
      <c r="Y39" s="18">
        <f>X39*参数设置!$B$23</f>
        <v>0</v>
      </c>
      <c r="Z39" s="18">
        <f>X39-Y39</f>
        <v>25000</v>
      </c>
      <c r="AA39" s="18">
        <f>MAX(0,V39-Z39)</f>
        <v>0</v>
      </c>
      <c r="AB39" s="18">
        <f>MAX(0,Z39-V39)</f>
        <v>2439.2441860465624</v>
      </c>
      <c r="AC39" s="18">
        <f>T39-U39+AB39</f>
        <v>2439.2441860465624</v>
      </c>
      <c r="AD39" s="23">
        <f>MAX(0,L39+H39-W39)</f>
        <v>9500</v>
      </c>
      <c r="AE39" s="18">
        <f>AD39*F39</f>
        <v>95000</v>
      </c>
      <c r="AF39" s="21">
        <f>SUM($C$7:C39)-SUM($O$7:O39)</f>
        <v>70200</v>
      </c>
      <c r="AG39" s="18">
        <f>AF39/D39</f>
        <v>81627.906976744183</v>
      </c>
      <c r="AH39" s="18">
        <f>AE39+AC39</f>
        <v>97439.244186046562</v>
      </c>
      <c r="AI39" s="18">
        <f>AH39-AG39-SUM($AA$7:AA39)</f>
        <v>15811.337209302379</v>
      </c>
      <c r="AJ39" s="24">
        <f>R39+U39+MIN(Z39,V39)+AA39-Q39</f>
        <v>0</v>
      </c>
    </row>
    <row r="40" spans="1:36" ht="15" customHeight="1">
      <c r="A40" s="15">
        <f>EDATE(DATE(YEAR(参数设置!$B$4),MONTH(参数设置!$B$4),1),ROW()-7)</f>
        <v>47239</v>
      </c>
      <c r="B40" s="4" t="s">
        <v>95</v>
      </c>
      <c r="C40" s="21">
        <f>IF(AND(ROW()-6&lt;=参数设置!$B$6,OR(B40=策略字典!$A$1,B40=策略字典!$A$2)),参数设置!$B$5,0)</f>
        <v>0</v>
      </c>
      <c r="D40" s="9">
        <f>参数设置!$B$7</f>
        <v>0.86</v>
      </c>
      <c r="E40" s="18">
        <f>IF(B40=策略字典!$A$1,C40/D40,0)</f>
        <v>0</v>
      </c>
      <c r="F40" s="18">
        <f>参数设置!$B$18</f>
        <v>10</v>
      </c>
      <c r="G40">
        <f>参数设置!$B$19</f>
        <v>500</v>
      </c>
      <c r="H40" s="23">
        <f>IF(E40=0,0,FLOOR(E40/(F40*(1+参数设置!$B$22)),G40))</f>
        <v>0</v>
      </c>
      <c r="I40" s="18">
        <f>H40*F40</f>
        <v>0</v>
      </c>
      <c r="J40" s="18">
        <f>I40*参数设置!$B$22</f>
        <v>0</v>
      </c>
      <c r="K40" s="18">
        <f>MAX(0,E40-I40-J40)</f>
        <v>0</v>
      </c>
      <c r="L40" s="23">
        <f>IF(ROW()=7,0,AD39)</f>
        <v>9500</v>
      </c>
      <c r="M40" s="18">
        <f>(L40+H40)*参数设置!$B$20</f>
        <v>475</v>
      </c>
      <c r="N40" s="18">
        <f>M39</f>
        <v>600</v>
      </c>
      <c r="O40" s="21">
        <f>SUMIFS(贷款明细!$I$4:$I$435,贷款明细!$G$4:$G$435,"&gt;="&amp;A40,贷款明细!$G$4:$G$435,"&lt;"&amp;EDATE(A40,1))</f>
        <v>23400</v>
      </c>
      <c r="P40" s="21">
        <f>SUMIFS(贷款明细!$J$4:$J$435,贷款明细!$G$4:$G$435,"&gt;="&amp;A40,贷款明细!$G$4:$G$435,"&lt;"&amp;EDATE(A40,1))</f>
        <v>203.78</v>
      </c>
      <c r="Q40" s="18">
        <f>(O40+P40)/D40</f>
        <v>27446.255813953489</v>
      </c>
      <c r="R40" s="18">
        <f>IF(B40=策略字典!$A$2,MIN(C40,O40)/D40,0)</f>
        <v>0</v>
      </c>
      <c r="S40" s="18">
        <f>IF(ROW()=7,0,AC39)</f>
        <v>2439.2441860465624</v>
      </c>
      <c r="T40" s="18">
        <f>S40+N40+K40</f>
        <v>3039.2441860465624</v>
      </c>
      <c r="U40" s="18">
        <f>MIN(T40,MAX(0,Q40-R40))</f>
        <v>3039.2441860465624</v>
      </c>
      <c r="V40" s="18">
        <f>MAX(0,Q40-R40-U40)</f>
        <v>24407.011627906926</v>
      </c>
      <c r="W40" s="23">
        <f>IF(B40=策略字典!$A$3,MIN(L40+H40,CEILING(V40/(F40*(1-参数设置!$B$23)),G40)),0)</f>
        <v>2500</v>
      </c>
      <c r="X40" s="18">
        <f>W40*F40</f>
        <v>25000</v>
      </c>
      <c r="Y40" s="18">
        <f>X40*参数设置!$B$23</f>
        <v>0</v>
      </c>
      <c r="Z40" s="18">
        <f>X40-Y40</f>
        <v>25000</v>
      </c>
      <c r="AA40" s="18">
        <f>MAX(0,V40-Z40)</f>
        <v>0</v>
      </c>
      <c r="AB40" s="18">
        <f>MAX(0,Z40-V40)</f>
        <v>592.98837209307385</v>
      </c>
      <c r="AC40" s="18">
        <f>T40-U40+AB40</f>
        <v>592.98837209307385</v>
      </c>
      <c r="AD40" s="23">
        <f>MAX(0,L40+H40-W40)</f>
        <v>7000</v>
      </c>
      <c r="AE40" s="18">
        <f>AD40*F40</f>
        <v>70000</v>
      </c>
      <c r="AF40" s="21">
        <f>SUM($C$7:C40)-SUM($O$7:O40)</f>
        <v>46800</v>
      </c>
      <c r="AG40" s="18">
        <f>AF40/D40</f>
        <v>54418.604651162794</v>
      </c>
      <c r="AH40" s="18">
        <f>AE40+AC40</f>
        <v>70592.988372093067</v>
      </c>
      <c r="AI40" s="18">
        <f>AH40-AG40-SUM($AA$7:AA40)</f>
        <v>16174.383720930273</v>
      </c>
      <c r="AJ40" s="24">
        <f>R40+U40+MIN(Z40,V40)+AA40-Q40</f>
        <v>0</v>
      </c>
    </row>
    <row r="41" spans="1:36" ht="15" customHeight="1">
      <c r="A41" s="15">
        <f>EDATE(DATE(YEAR(参数设置!$B$4),MONTH(参数设置!$B$4),1),ROW()-7)</f>
        <v>47270</v>
      </c>
      <c r="B41" s="4" t="s">
        <v>95</v>
      </c>
      <c r="C41" s="21">
        <f>IF(AND(ROW()-6&lt;=参数设置!$B$6,OR(B41=策略字典!$A$1,B41=策略字典!$A$2)),参数设置!$B$5,0)</f>
        <v>0</v>
      </c>
      <c r="D41" s="9">
        <f>参数设置!$B$7</f>
        <v>0.86</v>
      </c>
      <c r="E41" s="18">
        <f>IF(B41=策略字典!$A$1,C41/D41,0)</f>
        <v>0</v>
      </c>
      <c r="F41" s="18">
        <f>参数设置!$B$18</f>
        <v>10</v>
      </c>
      <c r="G41">
        <f>参数设置!$B$19</f>
        <v>500</v>
      </c>
      <c r="H41" s="23">
        <f>IF(E41=0,0,FLOOR(E41/(F41*(1+参数设置!$B$22)),G41))</f>
        <v>0</v>
      </c>
      <c r="I41" s="18">
        <f>H41*F41</f>
        <v>0</v>
      </c>
      <c r="J41" s="18">
        <f>I41*参数设置!$B$22</f>
        <v>0</v>
      </c>
      <c r="K41" s="18">
        <f>MAX(0,E41-I41-J41)</f>
        <v>0</v>
      </c>
      <c r="L41" s="23">
        <f>IF(ROW()=7,0,AD40)</f>
        <v>7000</v>
      </c>
      <c r="M41" s="18">
        <f>(L41+H41)*参数设置!$B$20</f>
        <v>350</v>
      </c>
      <c r="N41" s="18">
        <f>M40</f>
        <v>475</v>
      </c>
      <c r="O41" s="21">
        <f>SUMIFS(贷款明细!$I$4:$I$435,贷款明细!$G$4:$G$435,"&gt;="&amp;A41,贷款明细!$G$4:$G$435,"&lt;"&amp;EDATE(A41,1))</f>
        <v>23400</v>
      </c>
      <c r="P41" s="21">
        <f>SUMIFS(贷款明细!$J$4:$J$435,贷款明细!$G$4:$G$435,"&gt;="&amp;A41,贷款明细!$G$4:$G$435,"&lt;"&amp;EDATE(A41,1))</f>
        <v>143.73000000000002</v>
      </c>
      <c r="Q41" s="18">
        <f>(O41+P41)/D41</f>
        <v>27376.430232558141</v>
      </c>
      <c r="R41" s="18">
        <f>IF(B41=策略字典!$A$2,MIN(C41,O41)/D41,0)</f>
        <v>0</v>
      </c>
      <c r="S41" s="18">
        <f>IF(ROW()=7,0,AC40)</f>
        <v>592.98837209307385</v>
      </c>
      <c r="T41" s="18">
        <f>S41+N41+K41</f>
        <v>1067.9883720930738</v>
      </c>
      <c r="U41" s="18">
        <f>MIN(T41,MAX(0,Q41-R41))</f>
        <v>1067.9883720930738</v>
      </c>
      <c r="V41" s="18">
        <f>MAX(0,Q41-R41-U41)</f>
        <v>26308.441860465067</v>
      </c>
      <c r="W41" s="23">
        <f>IF(B41=策略字典!$A$3,MIN(L41+H41,CEILING(V41/(F41*(1-参数设置!$B$23)),G41)),0)</f>
        <v>3000</v>
      </c>
      <c r="X41" s="18">
        <f>W41*F41</f>
        <v>30000</v>
      </c>
      <c r="Y41" s="18">
        <f>X41*参数设置!$B$23</f>
        <v>0</v>
      </c>
      <c r="Z41" s="18">
        <f>X41-Y41</f>
        <v>30000</v>
      </c>
      <c r="AA41" s="18">
        <f>MAX(0,V41-Z41)</f>
        <v>0</v>
      </c>
      <c r="AB41" s="18">
        <f>MAX(0,Z41-V41)</f>
        <v>3691.5581395349327</v>
      </c>
      <c r="AC41" s="18">
        <f>T41-U41+AB41</f>
        <v>3691.5581395349327</v>
      </c>
      <c r="AD41" s="23">
        <f>MAX(0,L41+H41-W41)</f>
        <v>4000</v>
      </c>
      <c r="AE41" s="18">
        <f>AD41*F41</f>
        <v>40000</v>
      </c>
      <c r="AF41" s="21">
        <f>SUM($C$7:C41)-SUM($O$7:O41)</f>
        <v>23400</v>
      </c>
      <c r="AG41" s="18">
        <f>AF41/D41</f>
        <v>27209.302325581397</v>
      </c>
      <c r="AH41" s="18">
        <f>AE41+AC41</f>
        <v>43691.558139534929</v>
      </c>
      <c r="AI41" s="18">
        <f>AH41-AG41-SUM($AA$7:AA41)</f>
        <v>16482.255813953532</v>
      </c>
      <c r="AJ41" s="24">
        <f>R41+U41+MIN(Z41,V41)+AA41-Q41</f>
        <v>0</v>
      </c>
    </row>
    <row r="42" spans="1:36" ht="15" customHeight="1">
      <c r="A42" s="15">
        <f>EDATE(DATE(YEAR(参数设置!$B$4),MONTH(参数设置!$B$4),1),ROW()-7)</f>
        <v>47300</v>
      </c>
      <c r="B42" s="4" t="s">
        <v>95</v>
      </c>
      <c r="C42" s="21">
        <f>IF(AND(ROW()-6&lt;=参数设置!$B$6,OR(B42=策略字典!$A$1,B42=策略字典!$A$2)),参数设置!$B$5,0)</f>
        <v>0</v>
      </c>
      <c r="D42" s="9">
        <f>参数设置!$B$7</f>
        <v>0.86</v>
      </c>
      <c r="E42" s="18">
        <f>IF(B42=策略字典!$A$1,C42/D42,0)</f>
        <v>0</v>
      </c>
      <c r="F42" s="18">
        <f>参数设置!$B$18</f>
        <v>10</v>
      </c>
      <c r="G42">
        <f>参数设置!$B$19</f>
        <v>500</v>
      </c>
      <c r="H42" s="23">
        <f>IF(E42=0,0,FLOOR(E42/(F42*(1+参数设置!$B$22)),G42))</f>
        <v>0</v>
      </c>
      <c r="I42" s="18">
        <f>H42*F42</f>
        <v>0</v>
      </c>
      <c r="J42" s="18">
        <f>I42*参数设置!$B$22</f>
        <v>0</v>
      </c>
      <c r="K42" s="18">
        <f>MAX(0,E42-I42-J42)</f>
        <v>0</v>
      </c>
      <c r="L42" s="23">
        <f>IF(ROW()=7,0,AD41)</f>
        <v>4000</v>
      </c>
      <c r="M42" s="18">
        <f>(L42+H42)*参数设置!$B$20</f>
        <v>200</v>
      </c>
      <c r="N42" s="18">
        <f>M41</f>
        <v>350</v>
      </c>
      <c r="O42" s="21">
        <f>SUMIFS(贷款明细!$I$4:$I$435,贷款明细!$G$4:$G$435,"&gt;="&amp;A42,贷款明细!$G$4:$G$435,"&lt;"&amp;EDATE(A42,1))</f>
        <v>23400</v>
      </c>
      <c r="P42" s="21">
        <f>SUMIFS(贷款明细!$J$4:$J$435,贷款明细!$G$4:$G$435,"&gt;="&amp;A42,贷款明细!$G$4:$G$435,"&lt;"&amp;EDATE(A42,1))</f>
        <v>75.08</v>
      </c>
      <c r="Q42" s="18">
        <f>(O42+P42)/D42</f>
        <v>27296.604651162794</v>
      </c>
      <c r="R42" s="18">
        <f>IF(B42=策略字典!$A$2,MIN(C42,O42)/D42,0)</f>
        <v>0</v>
      </c>
      <c r="S42" s="18">
        <f>IF(ROW()=7,0,AC41)</f>
        <v>3691.5581395349327</v>
      </c>
      <c r="T42" s="18">
        <f>S42+N42+K42</f>
        <v>4041.5581395349327</v>
      </c>
      <c r="U42" s="18">
        <f>MIN(T42,MAX(0,Q42-R42))</f>
        <v>4041.5581395349327</v>
      </c>
      <c r="V42" s="18">
        <f>MAX(0,Q42-R42-U42)</f>
        <v>23255.046511627861</v>
      </c>
      <c r="W42" s="23">
        <f>IF(B42=策略字典!$A$3,MIN(L42+H42,CEILING(V42/(F42*(1-参数设置!$B$23)),G42)),0)</f>
        <v>2500</v>
      </c>
      <c r="X42" s="18">
        <f>W42*F42</f>
        <v>25000</v>
      </c>
      <c r="Y42" s="18">
        <f>X42*参数设置!$B$23</f>
        <v>0</v>
      </c>
      <c r="Z42" s="18">
        <f>X42-Y42</f>
        <v>25000</v>
      </c>
      <c r="AA42" s="18">
        <f>MAX(0,V42-Z42)</f>
        <v>0</v>
      </c>
      <c r="AB42" s="18">
        <f>MAX(0,Z42-V42)</f>
        <v>1744.953488372139</v>
      </c>
      <c r="AC42" s="18">
        <f>T42-U42+AB42</f>
        <v>1744.953488372139</v>
      </c>
      <c r="AD42" s="23">
        <f>MAX(0,L42+H42-W42)</f>
        <v>1500</v>
      </c>
      <c r="AE42" s="18">
        <f>AD42*F42</f>
        <v>15000</v>
      </c>
      <c r="AF42" s="21">
        <f>SUM($C$7:C42)-SUM($O$7:O42)</f>
        <v>0</v>
      </c>
      <c r="AG42" s="18">
        <f>AF42/D42</f>
        <v>0</v>
      </c>
      <c r="AH42" s="18">
        <f>AE42+AC42</f>
        <v>16744.953488372139</v>
      </c>
      <c r="AI42" s="18">
        <f>AH42-AG42-SUM($AA$7:AA42)</f>
        <v>16744.953488372139</v>
      </c>
      <c r="AJ42" s="24">
        <f>R42+U42+MIN(Z42,V42)+AA42-Q42</f>
        <v>0</v>
      </c>
    </row>
    <row r="43" spans="1:36" ht="15" customHeight="1">
      <c r="A43" s="15">
        <f>EDATE(DATE(YEAR(参数设置!$B$4),MONTH(参数设置!$B$4),1),ROW()-7)</f>
        <v>47331</v>
      </c>
      <c r="B43" s="4" t="s">
        <v>96</v>
      </c>
      <c r="C43" s="21">
        <f>IF(AND(ROW()-6&lt;=参数设置!$B$6,OR(B43=策略字典!$A$1,B43=策略字典!$A$2)),参数设置!$B$5,0)</f>
        <v>0</v>
      </c>
      <c r="D43" s="9">
        <f>参数设置!$B$7</f>
        <v>0.86</v>
      </c>
      <c r="E43" s="18">
        <f>IF(B43=策略字典!$A$1,C43/D43,0)</f>
        <v>0</v>
      </c>
      <c r="F43" s="18">
        <f>参数设置!$B$18</f>
        <v>10</v>
      </c>
      <c r="G43">
        <f>参数设置!$B$19</f>
        <v>500</v>
      </c>
      <c r="H43" s="23">
        <f>IF(E43=0,0,FLOOR(E43/(F43*(1+参数设置!$B$22)),G43))</f>
        <v>0</v>
      </c>
      <c r="I43" s="18">
        <f>H43*F43</f>
        <v>0</v>
      </c>
      <c r="J43" s="18">
        <f>I43*参数设置!$B$22</f>
        <v>0</v>
      </c>
      <c r="K43" s="18">
        <f>MAX(0,E43-I43-J43)</f>
        <v>0</v>
      </c>
      <c r="L43" s="23">
        <f>IF(ROW()=7,0,AD42)</f>
        <v>1500</v>
      </c>
      <c r="M43" s="18">
        <f>(L43+H43)*参数设置!$B$20</f>
        <v>75</v>
      </c>
      <c r="N43" s="18">
        <f>M42</f>
        <v>200</v>
      </c>
      <c r="O43" s="21">
        <f>SUMIFS(贷款明细!$I$4:$I$435,贷款明细!$G$4:$G$435,"&gt;="&amp;A43,贷款明细!$G$4:$G$435,"&lt;"&amp;EDATE(A43,1))</f>
        <v>0</v>
      </c>
      <c r="P43" s="21">
        <f>SUMIFS(贷款明细!$J$4:$J$435,贷款明细!$G$4:$G$435,"&gt;="&amp;A43,贷款明细!$G$4:$G$435,"&lt;"&amp;EDATE(A43,1))</f>
        <v>0</v>
      </c>
      <c r="Q43" s="18">
        <f>(O43+P43)/D43</f>
        <v>0</v>
      </c>
      <c r="R43" s="18">
        <f>IF(B43=策略字典!$A$2,MIN(C43,O43)/D43,0)</f>
        <v>0</v>
      </c>
      <c r="S43" s="18">
        <f>IF(ROW()=7,0,AC42)</f>
        <v>1744.953488372139</v>
      </c>
      <c r="T43" s="18">
        <f>S43+N43+K43</f>
        <v>1944.953488372139</v>
      </c>
      <c r="U43" s="18">
        <f>MIN(T43,MAX(0,Q43-R43))</f>
        <v>0</v>
      </c>
      <c r="V43" s="18">
        <f>MAX(0,Q43-R43-U43)</f>
        <v>0</v>
      </c>
      <c r="W43" s="23">
        <f>IF(B43=策略字典!$A$3,MIN(L43+H43,CEILING(V43/(F43*(1-参数设置!$B$23)),G43)),0)</f>
        <v>0</v>
      </c>
      <c r="X43" s="18">
        <f>W43*F43</f>
        <v>0</v>
      </c>
      <c r="Y43" s="18">
        <f>X43*参数设置!$B$23</f>
        <v>0</v>
      </c>
      <c r="Z43" s="18">
        <f>X43-Y43</f>
        <v>0</v>
      </c>
      <c r="AA43" s="18">
        <f>MAX(0,V43-Z43)</f>
        <v>0</v>
      </c>
      <c r="AB43" s="18">
        <f>MAX(0,Z43-V43)</f>
        <v>0</v>
      </c>
      <c r="AC43" s="18">
        <f>T43-U43+AB43</f>
        <v>1944.953488372139</v>
      </c>
      <c r="AD43" s="23">
        <f>MAX(0,L43+H43-W43)</f>
        <v>1500</v>
      </c>
      <c r="AE43" s="18">
        <f>AD43*F43</f>
        <v>15000</v>
      </c>
      <c r="AF43" s="21">
        <f>SUM($C$7:C43)-SUM($O$7:O43)</f>
        <v>0</v>
      </c>
      <c r="AG43" s="18">
        <f>AF43/D43</f>
        <v>0</v>
      </c>
      <c r="AH43" s="18">
        <f>AE43+AC43</f>
        <v>16944.953488372139</v>
      </c>
      <c r="AI43" s="18">
        <f>AH43-AG43-SUM($AA$7:AA43)</f>
        <v>16944.953488372139</v>
      </c>
      <c r="AJ43" s="24">
        <f>R43+U43+MIN(Z43,V43)+AA43-Q43</f>
        <v>0</v>
      </c>
    </row>
    <row r="44" spans="1:36" ht="15" customHeight="1">
      <c r="A44" s="15">
        <f>EDATE(DATE(YEAR(参数设置!$B$4),MONTH(参数设置!$B$4),1),ROW()-7)</f>
        <v>47362</v>
      </c>
      <c r="B44" s="4" t="s">
        <v>96</v>
      </c>
      <c r="C44" s="21">
        <f>IF(AND(ROW()-6&lt;=参数设置!$B$6,OR(B44=策略字典!$A$1,B44=策略字典!$A$2)),参数设置!$B$5,0)</f>
        <v>0</v>
      </c>
      <c r="D44" s="9">
        <f>参数设置!$B$7</f>
        <v>0.86</v>
      </c>
      <c r="E44" s="18">
        <f>IF(B44=策略字典!$A$1,C44/D44,0)</f>
        <v>0</v>
      </c>
      <c r="F44" s="18">
        <f>参数设置!$B$18</f>
        <v>10</v>
      </c>
      <c r="G44">
        <f>参数设置!$B$19</f>
        <v>500</v>
      </c>
      <c r="H44" s="23">
        <f>IF(E44=0,0,FLOOR(E44/(F44*(1+参数设置!$B$22)),G44))</f>
        <v>0</v>
      </c>
      <c r="I44" s="18">
        <f>H44*F44</f>
        <v>0</v>
      </c>
      <c r="J44" s="18">
        <f>I44*参数设置!$B$22</f>
        <v>0</v>
      </c>
      <c r="K44" s="18">
        <f>MAX(0,E44-I44-J44)</f>
        <v>0</v>
      </c>
      <c r="L44" s="23">
        <f>IF(ROW()=7,0,AD43)</f>
        <v>1500</v>
      </c>
      <c r="M44" s="18">
        <f>(L44+H44)*参数设置!$B$20</f>
        <v>75</v>
      </c>
      <c r="N44" s="18">
        <f>M43</f>
        <v>75</v>
      </c>
      <c r="O44" s="21">
        <f>SUMIFS(贷款明细!$I$4:$I$435,贷款明细!$G$4:$G$435,"&gt;="&amp;A44,贷款明细!$G$4:$G$435,"&lt;"&amp;EDATE(A44,1))</f>
        <v>0</v>
      </c>
      <c r="P44" s="21">
        <f>SUMIFS(贷款明细!$J$4:$J$435,贷款明细!$G$4:$G$435,"&gt;="&amp;A44,贷款明细!$G$4:$G$435,"&lt;"&amp;EDATE(A44,1))</f>
        <v>0</v>
      </c>
      <c r="Q44" s="18">
        <f>(O44+P44)/D44</f>
        <v>0</v>
      </c>
      <c r="R44" s="18">
        <f>IF(B44=策略字典!$A$2,MIN(C44,O44)/D44,0)</f>
        <v>0</v>
      </c>
      <c r="S44" s="18">
        <f>IF(ROW()=7,0,AC43)</f>
        <v>1944.953488372139</v>
      </c>
      <c r="T44" s="18">
        <f>S44+N44+K44</f>
        <v>2019.953488372139</v>
      </c>
      <c r="U44" s="18">
        <f>MIN(T44,MAX(0,Q44-R44))</f>
        <v>0</v>
      </c>
      <c r="V44" s="18">
        <f>MAX(0,Q44-R44-U44)</f>
        <v>0</v>
      </c>
      <c r="W44" s="23">
        <f>IF(B44=策略字典!$A$3,MIN(L44+H44,CEILING(V44/(F44*(1-参数设置!$B$23)),G44)),0)</f>
        <v>0</v>
      </c>
      <c r="X44" s="18">
        <f>W44*F44</f>
        <v>0</v>
      </c>
      <c r="Y44" s="18">
        <f>X44*参数设置!$B$23</f>
        <v>0</v>
      </c>
      <c r="Z44" s="18">
        <f>X44-Y44</f>
        <v>0</v>
      </c>
      <c r="AA44" s="18">
        <f>MAX(0,V44-Z44)</f>
        <v>0</v>
      </c>
      <c r="AB44" s="18">
        <f>MAX(0,Z44-V44)</f>
        <v>0</v>
      </c>
      <c r="AC44" s="18">
        <f>T44-U44+AB44</f>
        <v>2019.953488372139</v>
      </c>
      <c r="AD44" s="23">
        <f>MAX(0,L44+H44-W44)</f>
        <v>1500</v>
      </c>
      <c r="AE44" s="18">
        <f>AD44*F44</f>
        <v>15000</v>
      </c>
      <c r="AF44" s="21">
        <f>SUM($C$7:C44)-SUM($O$7:O44)</f>
        <v>0</v>
      </c>
      <c r="AG44" s="18">
        <f>AF44/D44</f>
        <v>0</v>
      </c>
      <c r="AH44" s="18">
        <f>AE44+AC44</f>
        <v>17019.953488372139</v>
      </c>
      <c r="AI44" s="18">
        <f>AH44-AG44-SUM($AA$7:AA44)</f>
        <v>17019.953488372139</v>
      </c>
      <c r="AJ44" s="24">
        <f>R44+U44+MIN(Z44,V44)+AA44-Q44</f>
        <v>0</v>
      </c>
    </row>
    <row r="45" spans="1:36" ht="15" customHeight="1">
      <c r="A45" s="15">
        <f>EDATE(DATE(YEAR(参数设置!$B$4),MONTH(参数设置!$B$4),1),ROW()-7)</f>
        <v>47392</v>
      </c>
      <c r="B45" s="4" t="s">
        <v>96</v>
      </c>
      <c r="C45" s="21">
        <f>IF(AND(ROW()-6&lt;=参数设置!$B$6,OR(B45=策略字典!$A$1,B45=策略字典!$A$2)),参数设置!$B$5,0)</f>
        <v>0</v>
      </c>
      <c r="D45" s="9">
        <f>参数设置!$B$7</f>
        <v>0.86</v>
      </c>
      <c r="E45" s="18">
        <f>IF(B45=策略字典!$A$1,C45/D45,0)</f>
        <v>0</v>
      </c>
      <c r="F45" s="18">
        <f>参数设置!$B$18</f>
        <v>10</v>
      </c>
      <c r="G45">
        <f>参数设置!$B$19</f>
        <v>500</v>
      </c>
      <c r="H45" s="23">
        <f>IF(E45=0,0,FLOOR(E45/(F45*(1+参数设置!$B$22)),G45))</f>
        <v>0</v>
      </c>
      <c r="I45" s="18">
        <f>H45*F45</f>
        <v>0</v>
      </c>
      <c r="J45" s="18">
        <f>I45*参数设置!$B$22</f>
        <v>0</v>
      </c>
      <c r="K45" s="18">
        <f>MAX(0,E45-I45-J45)</f>
        <v>0</v>
      </c>
      <c r="L45" s="23">
        <f>IF(ROW()=7,0,AD44)</f>
        <v>1500</v>
      </c>
      <c r="M45" s="18">
        <f>(L45+H45)*参数设置!$B$20</f>
        <v>75</v>
      </c>
      <c r="N45" s="18">
        <f>M44</f>
        <v>75</v>
      </c>
      <c r="O45" s="21">
        <f>SUMIFS(贷款明细!$I$4:$I$435,贷款明细!$G$4:$G$435,"&gt;="&amp;A45,贷款明细!$G$4:$G$435,"&lt;"&amp;EDATE(A45,1))</f>
        <v>0</v>
      </c>
      <c r="P45" s="21">
        <f>SUMIFS(贷款明细!$J$4:$J$435,贷款明细!$G$4:$G$435,"&gt;="&amp;A45,贷款明细!$G$4:$G$435,"&lt;"&amp;EDATE(A45,1))</f>
        <v>0</v>
      </c>
      <c r="Q45" s="18">
        <f>(O45+P45)/D45</f>
        <v>0</v>
      </c>
      <c r="R45" s="18">
        <f>IF(B45=策略字典!$A$2,MIN(C45,O45)/D45,0)</f>
        <v>0</v>
      </c>
      <c r="S45" s="18">
        <f>IF(ROW()=7,0,AC44)</f>
        <v>2019.953488372139</v>
      </c>
      <c r="T45" s="18">
        <f>S45+N45+K45</f>
        <v>2094.953488372139</v>
      </c>
      <c r="U45" s="18">
        <f>MIN(T45,MAX(0,Q45-R45))</f>
        <v>0</v>
      </c>
      <c r="V45" s="18">
        <f>MAX(0,Q45-R45-U45)</f>
        <v>0</v>
      </c>
      <c r="W45" s="23">
        <f>IF(B45=策略字典!$A$3,MIN(L45+H45,CEILING(V45/(F45*(1-参数设置!$B$23)),G45)),0)</f>
        <v>0</v>
      </c>
      <c r="X45" s="18">
        <f>W45*F45</f>
        <v>0</v>
      </c>
      <c r="Y45" s="18">
        <f>X45*参数设置!$B$23</f>
        <v>0</v>
      </c>
      <c r="Z45" s="18">
        <f>X45-Y45</f>
        <v>0</v>
      </c>
      <c r="AA45" s="18">
        <f>MAX(0,V45-Z45)</f>
        <v>0</v>
      </c>
      <c r="AB45" s="18">
        <f>MAX(0,Z45-V45)</f>
        <v>0</v>
      </c>
      <c r="AC45" s="18">
        <f>T45-U45+AB45</f>
        <v>2094.953488372139</v>
      </c>
      <c r="AD45" s="23">
        <f>MAX(0,L45+H45-W45)</f>
        <v>1500</v>
      </c>
      <c r="AE45" s="18">
        <f>AD45*F45</f>
        <v>15000</v>
      </c>
      <c r="AF45" s="21">
        <f>SUM($C$7:C45)-SUM($O$7:O45)</f>
        <v>0</v>
      </c>
      <c r="AG45" s="18">
        <f>AF45/D45</f>
        <v>0</v>
      </c>
      <c r="AH45" s="18">
        <f>AE45+AC45</f>
        <v>17094.953488372139</v>
      </c>
      <c r="AI45" s="18">
        <f>AH45-AG45-SUM($AA$7:AA45)</f>
        <v>17094.953488372139</v>
      </c>
      <c r="AJ45" s="24">
        <f>R45+U45+MIN(Z45,V45)+AA45-Q45</f>
        <v>0</v>
      </c>
    </row>
    <row r="46" spans="1:36" ht="15" customHeight="1">
      <c r="A46" s="15">
        <f>EDATE(DATE(YEAR(参数设置!$B$4),MONTH(参数设置!$B$4),1),ROW()-7)</f>
        <v>47423</v>
      </c>
      <c r="B46" s="4" t="s">
        <v>96</v>
      </c>
      <c r="C46" s="21">
        <f>IF(AND(ROW()-6&lt;=参数设置!$B$6,OR(B46=策略字典!$A$1,B46=策略字典!$A$2)),参数设置!$B$5,0)</f>
        <v>0</v>
      </c>
      <c r="D46" s="9">
        <f>参数设置!$B$7</f>
        <v>0.86</v>
      </c>
      <c r="E46" s="18">
        <f>IF(B46=策略字典!$A$1,C46/D46,0)</f>
        <v>0</v>
      </c>
      <c r="F46" s="18">
        <f>参数设置!$B$18</f>
        <v>10</v>
      </c>
      <c r="G46">
        <f>参数设置!$B$19</f>
        <v>500</v>
      </c>
      <c r="H46" s="23">
        <f>IF(E46=0,0,FLOOR(E46/(F46*(1+参数设置!$B$22)),G46))</f>
        <v>0</v>
      </c>
      <c r="I46" s="18">
        <f>H46*F46</f>
        <v>0</v>
      </c>
      <c r="J46" s="18">
        <f>I46*参数设置!$B$22</f>
        <v>0</v>
      </c>
      <c r="K46" s="18">
        <f>MAX(0,E46-I46-J46)</f>
        <v>0</v>
      </c>
      <c r="L46" s="23">
        <f>IF(ROW()=7,0,AD45)</f>
        <v>1500</v>
      </c>
      <c r="M46" s="18">
        <f>(L46+H46)*参数设置!$B$20</f>
        <v>75</v>
      </c>
      <c r="N46" s="18">
        <f>M45</f>
        <v>75</v>
      </c>
      <c r="O46" s="21">
        <f>SUMIFS(贷款明细!$I$4:$I$435,贷款明细!$G$4:$G$435,"&gt;="&amp;A46,贷款明细!$G$4:$G$435,"&lt;"&amp;EDATE(A46,1))</f>
        <v>0</v>
      </c>
      <c r="P46" s="21">
        <f>SUMIFS(贷款明细!$J$4:$J$435,贷款明细!$G$4:$G$435,"&gt;="&amp;A46,贷款明细!$G$4:$G$435,"&lt;"&amp;EDATE(A46,1))</f>
        <v>0</v>
      </c>
      <c r="Q46" s="18">
        <f>(O46+P46)/D46</f>
        <v>0</v>
      </c>
      <c r="R46" s="18">
        <f>IF(B46=策略字典!$A$2,MIN(C46,O46)/D46,0)</f>
        <v>0</v>
      </c>
      <c r="S46" s="18">
        <f>IF(ROW()=7,0,AC45)</f>
        <v>2094.953488372139</v>
      </c>
      <c r="T46" s="18">
        <f>S46+N46+K46</f>
        <v>2169.953488372139</v>
      </c>
      <c r="U46" s="18">
        <f>MIN(T46,MAX(0,Q46-R46))</f>
        <v>0</v>
      </c>
      <c r="V46" s="18">
        <f>MAX(0,Q46-R46-U46)</f>
        <v>0</v>
      </c>
      <c r="W46" s="23">
        <f>IF(B46=策略字典!$A$3,MIN(L46+H46,CEILING(V46/(F46*(1-参数设置!$B$23)),G46)),0)</f>
        <v>0</v>
      </c>
      <c r="X46" s="18">
        <f>W46*F46</f>
        <v>0</v>
      </c>
      <c r="Y46" s="18">
        <f>X46*参数设置!$B$23</f>
        <v>0</v>
      </c>
      <c r="Z46" s="18">
        <f>X46-Y46</f>
        <v>0</v>
      </c>
      <c r="AA46" s="18">
        <f>MAX(0,V46-Z46)</f>
        <v>0</v>
      </c>
      <c r="AB46" s="18">
        <f>MAX(0,Z46-V46)</f>
        <v>0</v>
      </c>
      <c r="AC46" s="18">
        <f>T46-U46+AB46</f>
        <v>2169.953488372139</v>
      </c>
      <c r="AD46" s="23">
        <f>MAX(0,L46+H46-W46)</f>
        <v>1500</v>
      </c>
      <c r="AE46" s="18">
        <f>AD46*F46</f>
        <v>15000</v>
      </c>
      <c r="AF46" s="21">
        <f>SUM($C$7:C46)-SUM($O$7:O46)</f>
        <v>0</v>
      </c>
      <c r="AG46" s="18">
        <f>AF46/D46</f>
        <v>0</v>
      </c>
      <c r="AH46" s="18">
        <f>AE46+AC46</f>
        <v>17169.953488372139</v>
      </c>
      <c r="AI46" s="18">
        <f>AH46-AG46-SUM($AA$7:AA46)</f>
        <v>17169.953488372139</v>
      </c>
      <c r="AJ46" s="24">
        <f>R46+U46+MIN(Z46,V46)+AA46-Q46</f>
        <v>0</v>
      </c>
    </row>
    <row r="47" spans="1:36" ht="15" customHeight="1">
      <c r="A47" s="15">
        <f>EDATE(DATE(YEAR(参数设置!$B$4),MONTH(参数设置!$B$4),1),ROW()-7)</f>
        <v>47453</v>
      </c>
      <c r="B47" s="4" t="s">
        <v>96</v>
      </c>
      <c r="C47" s="21">
        <f>IF(AND(ROW()-6&lt;=参数设置!$B$6,OR(B47=策略字典!$A$1,B47=策略字典!$A$2)),参数设置!$B$5,0)</f>
        <v>0</v>
      </c>
      <c r="D47" s="9">
        <f>参数设置!$B$7</f>
        <v>0.86</v>
      </c>
      <c r="E47" s="18">
        <f>IF(B47=策略字典!$A$1,C47/D47,0)</f>
        <v>0</v>
      </c>
      <c r="F47" s="18">
        <f>参数设置!$B$18</f>
        <v>10</v>
      </c>
      <c r="G47">
        <f>参数设置!$B$19</f>
        <v>500</v>
      </c>
      <c r="H47" s="23">
        <f>IF(E47=0,0,FLOOR(E47/(F47*(1+参数设置!$B$22)),G47))</f>
        <v>0</v>
      </c>
      <c r="I47" s="18">
        <f>H47*F47</f>
        <v>0</v>
      </c>
      <c r="J47" s="18">
        <f>I47*参数设置!$B$22</f>
        <v>0</v>
      </c>
      <c r="K47" s="18">
        <f>MAX(0,E47-I47-J47)</f>
        <v>0</v>
      </c>
      <c r="L47" s="23">
        <f>IF(ROW()=7,0,AD46)</f>
        <v>1500</v>
      </c>
      <c r="M47" s="18">
        <f>(L47+H47)*参数设置!$B$20</f>
        <v>75</v>
      </c>
      <c r="N47" s="18">
        <f>M46</f>
        <v>75</v>
      </c>
      <c r="O47" s="21">
        <f>SUMIFS(贷款明细!$I$4:$I$435,贷款明细!$G$4:$G$435,"&gt;="&amp;A47,贷款明细!$G$4:$G$435,"&lt;"&amp;EDATE(A47,1))</f>
        <v>0</v>
      </c>
      <c r="P47" s="21">
        <f>SUMIFS(贷款明细!$J$4:$J$435,贷款明细!$G$4:$G$435,"&gt;="&amp;A47,贷款明细!$G$4:$G$435,"&lt;"&amp;EDATE(A47,1))</f>
        <v>0</v>
      </c>
      <c r="Q47" s="18">
        <f>(O47+P47)/D47</f>
        <v>0</v>
      </c>
      <c r="R47" s="18">
        <f>IF(B47=策略字典!$A$2,MIN(C47,O47)/D47,0)</f>
        <v>0</v>
      </c>
      <c r="S47" s="18">
        <f>IF(ROW()=7,0,AC46)</f>
        <v>2169.953488372139</v>
      </c>
      <c r="T47" s="18">
        <f>S47+N47+K47</f>
        <v>2244.953488372139</v>
      </c>
      <c r="U47" s="18">
        <f>MIN(T47,MAX(0,Q47-R47))</f>
        <v>0</v>
      </c>
      <c r="V47" s="18">
        <f>MAX(0,Q47-R47-U47)</f>
        <v>0</v>
      </c>
      <c r="W47" s="23">
        <f>IF(B47=策略字典!$A$3,MIN(L47+H47,CEILING(V47/(F47*(1-参数设置!$B$23)),G47)),0)</f>
        <v>0</v>
      </c>
      <c r="X47" s="18">
        <f>W47*F47</f>
        <v>0</v>
      </c>
      <c r="Y47" s="18">
        <f>X47*参数设置!$B$23</f>
        <v>0</v>
      </c>
      <c r="Z47" s="18">
        <f>X47-Y47</f>
        <v>0</v>
      </c>
      <c r="AA47" s="18">
        <f>MAX(0,V47-Z47)</f>
        <v>0</v>
      </c>
      <c r="AB47" s="18">
        <f>MAX(0,Z47-V47)</f>
        <v>0</v>
      </c>
      <c r="AC47" s="18">
        <f>T47-U47+AB47</f>
        <v>2244.953488372139</v>
      </c>
      <c r="AD47" s="23">
        <f>MAX(0,L47+H47-W47)</f>
        <v>1500</v>
      </c>
      <c r="AE47" s="18">
        <f>AD47*F47</f>
        <v>15000</v>
      </c>
      <c r="AF47" s="21">
        <f>SUM($C$7:C47)-SUM($O$7:O47)</f>
        <v>0</v>
      </c>
      <c r="AG47" s="18">
        <f>AF47/D47</f>
        <v>0</v>
      </c>
      <c r="AH47" s="18">
        <f>AE47+AC47</f>
        <v>17244.953488372139</v>
      </c>
      <c r="AI47" s="18">
        <f>AH47-AG47-SUM($AA$7:AA47)</f>
        <v>17244.953488372139</v>
      </c>
      <c r="AJ47" s="24">
        <f>R47+U47+MIN(Z47,V47)+AA47-Q47</f>
        <v>0</v>
      </c>
    </row>
    <row r="48" spans="1:36" ht="15" customHeight="1">
      <c r="A48" s="15">
        <f>EDATE(DATE(YEAR(参数设置!$B$4),MONTH(参数设置!$B$4),1),ROW()-7)</f>
        <v>47484</v>
      </c>
      <c r="B48" s="4" t="s">
        <v>96</v>
      </c>
      <c r="C48" s="21">
        <f>IF(AND(ROW()-6&lt;=参数设置!$B$6,OR(B48=策略字典!$A$1,B48=策略字典!$A$2)),参数设置!$B$5,0)</f>
        <v>0</v>
      </c>
      <c r="D48" s="9">
        <f>参数设置!$B$7</f>
        <v>0.86</v>
      </c>
      <c r="E48" s="18">
        <f>IF(B48=策略字典!$A$1,C48/D48,0)</f>
        <v>0</v>
      </c>
      <c r="F48" s="18">
        <f>参数设置!$B$18</f>
        <v>10</v>
      </c>
      <c r="G48">
        <f>参数设置!$B$19</f>
        <v>500</v>
      </c>
      <c r="H48" s="23">
        <f>IF(E48=0,0,FLOOR(E48/(F48*(1+参数设置!$B$22)),G48))</f>
        <v>0</v>
      </c>
      <c r="I48" s="18">
        <f>H48*F48</f>
        <v>0</v>
      </c>
      <c r="J48" s="18">
        <f>I48*参数设置!$B$22</f>
        <v>0</v>
      </c>
      <c r="K48" s="18">
        <f>MAX(0,E48-I48-J48)</f>
        <v>0</v>
      </c>
      <c r="L48" s="23">
        <f>IF(ROW()=7,0,AD47)</f>
        <v>1500</v>
      </c>
      <c r="M48" s="18">
        <f>(L48+H48)*参数设置!$B$20</f>
        <v>75</v>
      </c>
      <c r="N48" s="18">
        <f>M47</f>
        <v>75</v>
      </c>
      <c r="O48" s="21">
        <f>SUMIFS(贷款明细!$I$4:$I$435,贷款明细!$G$4:$G$435,"&gt;="&amp;A48,贷款明细!$G$4:$G$435,"&lt;"&amp;EDATE(A48,1))</f>
        <v>0</v>
      </c>
      <c r="P48" s="21">
        <f>SUMIFS(贷款明细!$J$4:$J$435,贷款明细!$G$4:$G$435,"&gt;="&amp;A48,贷款明细!$G$4:$G$435,"&lt;"&amp;EDATE(A48,1))</f>
        <v>0</v>
      </c>
      <c r="Q48" s="18">
        <f>(O48+P48)/D48</f>
        <v>0</v>
      </c>
      <c r="R48" s="18">
        <f>IF(B48=策略字典!$A$2,MIN(C48,O48)/D48,0)</f>
        <v>0</v>
      </c>
      <c r="S48" s="18">
        <f>IF(ROW()=7,0,AC47)</f>
        <v>2244.953488372139</v>
      </c>
      <c r="T48" s="18">
        <f>S48+N48+K48</f>
        <v>2319.953488372139</v>
      </c>
      <c r="U48" s="18">
        <f>MIN(T48,MAX(0,Q48-R48))</f>
        <v>0</v>
      </c>
      <c r="V48" s="18">
        <f>MAX(0,Q48-R48-U48)</f>
        <v>0</v>
      </c>
      <c r="W48" s="23">
        <f>IF(B48=策略字典!$A$3,MIN(L48+H48,CEILING(V48/(F48*(1-参数设置!$B$23)),G48)),0)</f>
        <v>0</v>
      </c>
      <c r="X48" s="18">
        <f>W48*F48</f>
        <v>0</v>
      </c>
      <c r="Y48" s="18">
        <f>X48*参数设置!$B$23</f>
        <v>0</v>
      </c>
      <c r="Z48" s="18">
        <f>X48-Y48</f>
        <v>0</v>
      </c>
      <c r="AA48" s="18">
        <f>MAX(0,V48-Z48)</f>
        <v>0</v>
      </c>
      <c r="AB48" s="18">
        <f>MAX(0,Z48-V48)</f>
        <v>0</v>
      </c>
      <c r="AC48" s="18">
        <f>T48-U48+AB48</f>
        <v>2319.953488372139</v>
      </c>
      <c r="AD48" s="23">
        <f>MAX(0,L48+H48-W48)</f>
        <v>1500</v>
      </c>
      <c r="AE48" s="18">
        <f>AD48*F48</f>
        <v>15000</v>
      </c>
      <c r="AF48" s="21">
        <f>SUM($C$7:C48)-SUM($O$7:O48)</f>
        <v>0</v>
      </c>
      <c r="AG48" s="18">
        <f>AF48/D48</f>
        <v>0</v>
      </c>
      <c r="AH48" s="18">
        <f>AE48+AC48</f>
        <v>17319.953488372139</v>
      </c>
      <c r="AI48" s="18">
        <f>AH48-AG48-SUM($AA$7:AA48)</f>
        <v>17319.953488372139</v>
      </c>
      <c r="AJ48" s="24">
        <f>R48+U48+MIN(Z48,V48)+AA48-Q48</f>
        <v>0</v>
      </c>
    </row>
    <row r="49" spans="1:36" ht="15" customHeight="1">
      <c r="A49" s="15">
        <f>EDATE(DATE(YEAR(参数设置!$B$4),MONTH(参数设置!$B$4),1),ROW()-7)</f>
        <v>47515</v>
      </c>
      <c r="B49" s="4" t="s">
        <v>96</v>
      </c>
      <c r="C49" s="21">
        <f>IF(AND(ROW()-6&lt;=参数设置!$B$6,OR(B49=策略字典!$A$1,B49=策略字典!$A$2)),参数设置!$B$5,0)</f>
        <v>0</v>
      </c>
      <c r="D49" s="9">
        <f>参数设置!$B$7</f>
        <v>0.86</v>
      </c>
      <c r="E49" s="18">
        <f>IF(B49=策略字典!$A$1,C49/D49,0)</f>
        <v>0</v>
      </c>
      <c r="F49" s="18">
        <f>参数设置!$B$18</f>
        <v>10</v>
      </c>
      <c r="G49">
        <f>参数设置!$B$19</f>
        <v>500</v>
      </c>
      <c r="H49" s="23">
        <f>IF(E49=0,0,FLOOR(E49/(F49*(1+参数设置!$B$22)),G49))</f>
        <v>0</v>
      </c>
      <c r="I49" s="18">
        <f>H49*F49</f>
        <v>0</v>
      </c>
      <c r="J49" s="18">
        <f>I49*参数设置!$B$22</f>
        <v>0</v>
      </c>
      <c r="K49" s="18">
        <f>MAX(0,E49-I49-J49)</f>
        <v>0</v>
      </c>
      <c r="L49" s="23">
        <f>IF(ROW()=7,0,AD48)</f>
        <v>1500</v>
      </c>
      <c r="M49" s="18">
        <f>(L49+H49)*参数设置!$B$20</f>
        <v>75</v>
      </c>
      <c r="N49" s="18">
        <f>M48</f>
        <v>75</v>
      </c>
      <c r="O49" s="21">
        <f>SUMIFS(贷款明细!$I$4:$I$435,贷款明细!$G$4:$G$435,"&gt;="&amp;A49,贷款明细!$G$4:$G$435,"&lt;"&amp;EDATE(A49,1))</f>
        <v>0</v>
      </c>
      <c r="P49" s="21">
        <f>SUMIFS(贷款明细!$J$4:$J$435,贷款明细!$G$4:$G$435,"&gt;="&amp;A49,贷款明细!$G$4:$G$435,"&lt;"&amp;EDATE(A49,1))</f>
        <v>0</v>
      </c>
      <c r="Q49" s="18">
        <f>(O49+P49)/D49</f>
        <v>0</v>
      </c>
      <c r="R49" s="18">
        <f>IF(B49=策略字典!$A$2,MIN(C49,O49)/D49,0)</f>
        <v>0</v>
      </c>
      <c r="S49" s="18">
        <f>IF(ROW()=7,0,AC48)</f>
        <v>2319.953488372139</v>
      </c>
      <c r="T49" s="18">
        <f>S49+N49+K49</f>
        <v>2394.953488372139</v>
      </c>
      <c r="U49" s="18">
        <f>MIN(T49,MAX(0,Q49-R49))</f>
        <v>0</v>
      </c>
      <c r="V49" s="18">
        <f>MAX(0,Q49-R49-U49)</f>
        <v>0</v>
      </c>
      <c r="W49" s="23">
        <f>IF(B49=策略字典!$A$3,MIN(L49+H49,CEILING(V49/(F49*(1-参数设置!$B$23)),G49)),0)</f>
        <v>0</v>
      </c>
      <c r="X49" s="18">
        <f>W49*F49</f>
        <v>0</v>
      </c>
      <c r="Y49" s="18">
        <f>X49*参数设置!$B$23</f>
        <v>0</v>
      </c>
      <c r="Z49" s="18">
        <f>X49-Y49</f>
        <v>0</v>
      </c>
      <c r="AA49" s="18">
        <f>MAX(0,V49-Z49)</f>
        <v>0</v>
      </c>
      <c r="AB49" s="18">
        <f>MAX(0,Z49-V49)</f>
        <v>0</v>
      </c>
      <c r="AC49" s="18">
        <f>T49-U49+AB49</f>
        <v>2394.953488372139</v>
      </c>
      <c r="AD49" s="23">
        <f>MAX(0,L49+H49-W49)</f>
        <v>1500</v>
      </c>
      <c r="AE49" s="18">
        <f>AD49*F49</f>
        <v>15000</v>
      </c>
      <c r="AF49" s="21">
        <f>SUM($C$7:C49)-SUM($O$7:O49)</f>
        <v>0</v>
      </c>
      <c r="AG49" s="18">
        <f>AF49/D49</f>
        <v>0</v>
      </c>
      <c r="AH49" s="18">
        <f>AE49+AC49</f>
        <v>17394.953488372139</v>
      </c>
      <c r="AI49" s="18">
        <f>AH49-AG49-SUM($AA$7:AA49)</f>
        <v>17394.953488372139</v>
      </c>
      <c r="AJ49" s="24">
        <f>R49+U49+MIN(Z49,V49)+AA49-Q49</f>
        <v>0</v>
      </c>
    </row>
    <row r="50" spans="1:36" ht="15" customHeight="1">
      <c r="A50" s="15">
        <f>EDATE(DATE(YEAR(参数设置!$B$4),MONTH(参数设置!$B$4),1),ROW()-7)</f>
        <v>47543</v>
      </c>
      <c r="B50" s="4" t="s">
        <v>96</v>
      </c>
      <c r="C50" s="21">
        <f>IF(AND(ROW()-6&lt;=参数设置!$B$6,OR(B50=策略字典!$A$1,B50=策略字典!$A$2)),参数设置!$B$5,0)</f>
        <v>0</v>
      </c>
      <c r="D50" s="9">
        <f>参数设置!$B$7</f>
        <v>0.86</v>
      </c>
      <c r="E50" s="18">
        <f>IF(B50=策略字典!$A$1,C50/D50,0)</f>
        <v>0</v>
      </c>
      <c r="F50" s="18">
        <f>参数设置!$B$18</f>
        <v>10</v>
      </c>
      <c r="G50">
        <f>参数设置!$B$19</f>
        <v>500</v>
      </c>
      <c r="H50" s="23">
        <f>IF(E50=0,0,FLOOR(E50/(F50*(1+参数设置!$B$22)),G50))</f>
        <v>0</v>
      </c>
      <c r="I50" s="18">
        <f>H50*F50</f>
        <v>0</v>
      </c>
      <c r="J50" s="18">
        <f>I50*参数设置!$B$22</f>
        <v>0</v>
      </c>
      <c r="K50" s="18">
        <f>MAX(0,E50-I50-J50)</f>
        <v>0</v>
      </c>
      <c r="L50" s="23">
        <f>IF(ROW()=7,0,AD49)</f>
        <v>1500</v>
      </c>
      <c r="M50" s="18">
        <f>(L50+H50)*参数设置!$B$20</f>
        <v>75</v>
      </c>
      <c r="N50" s="18">
        <f>M49</f>
        <v>75</v>
      </c>
      <c r="O50" s="21">
        <f>SUMIFS(贷款明细!$I$4:$I$435,贷款明细!$G$4:$G$435,"&gt;="&amp;A50,贷款明细!$G$4:$G$435,"&lt;"&amp;EDATE(A50,1))</f>
        <v>0</v>
      </c>
      <c r="P50" s="21">
        <f>SUMIFS(贷款明细!$J$4:$J$435,贷款明细!$G$4:$G$435,"&gt;="&amp;A50,贷款明细!$G$4:$G$435,"&lt;"&amp;EDATE(A50,1))</f>
        <v>0</v>
      </c>
      <c r="Q50" s="18">
        <f>(O50+P50)/D50</f>
        <v>0</v>
      </c>
      <c r="R50" s="18">
        <f>IF(B50=策略字典!$A$2,MIN(C50,O50)/D50,0)</f>
        <v>0</v>
      </c>
      <c r="S50" s="18">
        <f>IF(ROW()=7,0,AC49)</f>
        <v>2394.953488372139</v>
      </c>
      <c r="T50" s="18">
        <f>S50+N50+K50</f>
        <v>2469.953488372139</v>
      </c>
      <c r="U50" s="18">
        <f>MIN(T50,MAX(0,Q50-R50))</f>
        <v>0</v>
      </c>
      <c r="V50" s="18">
        <f>MAX(0,Q50-R50-U50)</f>
        <v>0</v>
      </c>
      <c r="W50" s="23">
        <f>IF(B50=策略字典!$A$3,MIN(L50+H50,CEILING(V50/(F50*(1-参数设置!$B$23)),G50)),0)</f>
        <v>0</v>
      </c>
      <c r="X50" s="18">
        <f>W50*F50</f>
        <v>0</v>
      </c>
      <c r="Y50" s="18">
        <f>X50*参数设置!$B$23</f>
        <v>0</v>
      </c>
      <c r="Z50" s="18">
        <f>X50-Y50</f>
        <v>0</v>
      </c>
      <c r="AA50" s="18">
        <f>MAX(0,V50-Z50)</f>
        <v>0</v>
      </c>
      <c r="AB50" s="18">
        <f>MAX(0,Z50-V50)</f>
        <v>0</v>
      </c>
      <c r="AC50" s="18">
        <f>T50-U50+AB50</f>
        <v>2469.953488372139</v>
      </c>
      <c r="AD50" s="23">
        <f>MAX(0,L50+H50-W50)</f>
        <v>1500</v>
      </c>
      <c r="AE50" s="18">
        <f>AD50*F50</f>
        <v>15000</v>
      </c>
      <c r="AF50" s="21">
        <f>SUM($C$7:C50)-SUM($O$7:O50)</f>
        <v>0</v>
      </c>
      <c r="AG50" s="18">
        <f>AF50/D50</f>
        <v>0</v>
      </c>
      <c r="AH50" s="18">
        <f>AE50+AC50</f>
        <v>17469.953488372139</v>
      </c>
      <c r="AI50" s="18">
        <f>AH50-AG50-SUM($AA$7:AA50)</f>
        <v>17469.953488372139</v>
      </c>
      <c r="AJ50" s="24">
        <f>R50+U50+MIN(Z50,V50)+AA50-Q50</f>
        <v>0</v>
      </c>
    </row>
    <row r="51" spans="1:36" ht="15" customHeight="1">
      <c r="A51" s="15">
        <f>EDATE(DATE(YEAR(参数设置!$B$4),MONTH(参数设置!$B$4),1),ROW()-7)</f>
        <v>47574</v>
      </c>
      <c r="B51" s="4" t="s">
        <v>96</v>
      </c>
      <c r="C51" s="21">
        <f>IF(AND(ROW()-6&lt;=参数设置!$B$6,OR(B51=策略字典!$A$1,B51=策略字典!$A$2)),参数设置!$B$5,0)</f>
        <v>0</v>
      </c>
      <c r="D51" s="9">
        <f>参数设置!$B$7</f>
        <v>0.86</v>
      </c>
      <c r="E51" s="18">
        <f>IF(B51=策略字典!$A$1,C51/D51,0)</f>
        <v>0</v>
      </c>
      <c r="F51" s="18">
        <f>参数设置!$B$18</f>
        <v>10</v>
      </c>
      <c r="G51">
        <f>参数设置!$B$19</f>
        <v>500</v>
      </c>
      <c r="H51" s="23">
        <f>IF(E51=0,0,FLOOR(E51/(F51*(1+参数设置!$B$22)),G51))</f>
        <v>0</v>
      </c>
      <c r="I51" s="18">
        <f>H51*F51</f>
        <v>0</v>
      </c>
      <c r="J51" s="18">
        <f>I51*参数设置!$B$22</f>
        <v>0</v>
      </c>
      <c r="K51" s="18">
        <f>MAX(0,E51-I51-J51)</f>
        <v>0</v>
      </c>
      <c r="L51" s="23">
        <f>IF(ROW()=7,0,AD50)</f>
        <v>1500</v>
      </c>
      <c r="M51" s="18">
        <f>(L51+H51)*参数设置!$B$20</f>
        <v>75</v>
      </c>
      <c r="N51" s="18">
        <f>M50</f>
        <v>75</v>
      </c>
      <c r="O51" s="21">
        <f>SUMIFS(贷款明细!$I$4:$I$435,贷款明细!$G$4:$G$435,"&gt;="&amp;A51,贷款明细!$G$4:$G$435,"&lt;"&amp;EDATE(A51,1))</f>
        <v>0</v>
      </c>
      <c r="P51" s="21">
        <f>SUMIFS(贷款明细!$J$4:$J$435,贷款明细!$G$4:$G$435,"&gt;="&amp;A51,贷款明细!$G$4:$G$435,"&lt;"&amp;EDATE(A51,1))</f>
        <v>0</v>
      </c>
      <c r="Q51" s="18">
        <f>(O51+P51)/D51</f>
        <v>0</v>
      </c>
      <c r="R51" s="18">
        <f>IF(B51=策略字典!$A$2,MIN(C51,O51)/D51,0)</f>
        <v>0</v>
      </c>
      <c r="S51" s="18">
        <f>IF(ROW()=7,0,AC50)</f>
        <v>2469.953488372139</v>
      </c>
      <c r="T51" s="18">
        <f>S51+N51+K51</f>
        <v>2544.953488372139</v>
      </c>
      <c r="U51" s="18">
        <f>MIN(T51,MAX(0,Q51-R51))</f>
        <v>0</v>
      </c>
      <c r="V51" s="18">
        <f>MAX(0,Q51-R51-U51)</f>
        <v>0</v>
      </c>
      <c r="W51" s="23">
        <f>IF(B51=策略字典!$A$3,MIN(L51+H51,CEILING(V51/(F51*(1-参数设置!$B$23)),G51)),0)</f>
        <v>0</v>
      </c>
      <c r="X51" s="18">
        <f>W51*F51</f>
        <v>0</v>
      </c>
      <c r="Y51" s="18">
        <f>X51*参数设置!$B$23</f>
        <v>0</v>
      </c>
      <c r="Z51" s="18">
        <f>X51-Y51</f>
        <v>0</v>
      </c>
      <c r="AA51" s="18">
        <f>MAX(0,V51-Z51)</f>
        <v>0</v>
      </c>
      <c r="AB51" s="18">
        <f>MAX(0,Z51-V51)</f>
        <v>0</v>
      </c>
      <c r="AC51" s="18">
        <f>T51-U51+AB51</f>
        <v>2544.953488372139</v>
      </c>
      <c r="AD51" s="23">
        <f>MAX(0,L51+H51-W51)</f>
        <v>1500</v>
      </c>
      <c r="AE51" s="18">
        <f>AD51*F51</f>
        <v>15000</v>
      </c>
      <c r="AF51" s="21">
        <f>SUM($C$7:C51)-SUM($O$7:O51)</f>
        <v>0</v>
      </c>
      <c r="AG51" s="18">
        <f>AF51/D51</f>
        <v>0</v>
      </c>
      <c r="AH51" s="18">
        <f>AE51+AC51</f>
        <v>17544.953488372139</v>
      </c>
      <c r="AI51" s="18">
        <f>AH51-AG51-SUM($AA$7:AA51)</f>
        <v>17544.953488372139</v>
      </c>
      <c r="AJ51" s="24">
        <f>R51+U51+MIN(Z51,V51)+AA51-Q51</f>
        <v>0</v>
      </c>
    </row>
    <row r="52" spans="1:36" ht="15" customHeight="1">
      <c r="A52" s="15">
        <f>EDATE(DATE(YEAR(参数设置!$B$4),MONTH(参数设置!$B$4),1),ROW()-7)</f>
        <v>47604</v>
      </c>
      <c r="B52" s="4" t="s">
        <v>96</v>
      </c>
      <c r="C52" s="21">
        <f>IF(AND(ROW()-6&lt;=参数设置!$B$6,OR(B52=策略字典!$A$1,B52=策略字典!$A$2)),参数设置!$B$5,0)</f>
        <v>0</v>
      </c>
      <c r="D52" s="9">
        <f>参数设置!$B$7</f>
        <v>0.86</v>
      </c>
      <c r="E52" s="18">
        <f>IF(B52=策略字典!$A$1,C52/D52,0)</f>
        <v>0</v>
      </c>
      <c r="F52" s="18">
        <f>参数设置!$B$18</f>
        <v>10</v>
      </c>
      <c r="G52">
        <f>参数设置!$B$19</f>
        <v>500</v>
      </c>
      <c r="H52" s="23">
        <f>IF(E52=0,0,FLOOR(E52/(F52*(1+参数设置!$B$22)),G52))</f>
        <v>0</v>
      </c>
      <c r="I52" s="18">
        <f>H52*F52</f>
        <v>0</v>
      </c>
      <c r="J52" s="18">
        <f>I52*参数设置!$B$22</f>
        <v>0</v>
      </c>
      <c r="K52" s="18">
        <f>MAX(0,E52-I52-J52)</f>
        <v>0</v>
      </c>
      <c r="L52" s="23">
        <f>IF(ROW()=7,0,AD51)</f>
        <v>1500</v>
      </c>
      <c r="M52" s="18">
        <f>(L52+H52)*参数设置!$B$20</f>
        <v>75</v>
      </c>
      <c r="N52" s="18">
        <f>M51</f>
        <v>75</v>
      </c>
      <c r="O52" s="21">
        <f>SUMIFS(贷款明细!$I$4:$I$435,贷款明细!$G$4:$G$435,"&gt;="&amp;A52,贷款明细!$G$4:$G$435,"&lt;"&amp;EDATE(A52,1))</f>
        <v>0</v>
      </c>
      <c r="P52" s="21">
        <f>SUMIFS(贷款明细!$J$4:$J$435,贷款明细!$G$4:$G$435,"&gt;="&amp;A52,贷款明细!$G$4:$G$435,"&lt;"&amp;EDATE(A52,1))</f>
        <v>0</v>
      </c>
      <c r="Q52" s="18">
        <f>(O52+P52)/D52</f>
        <v>0</v>
      </c>
      <c r="R52" s="18">
        <f>IF(B52=策略字典!$A$2,MIN(C52,O52)/D52,0)</f>
        <v>0</v>
      </c>
      <c r="S52" s="18">
        <f>IF(ROW()=7,0,AC51)</f>
        <v>2544.953488372139</v>
      </c>
      <c r="T52" s="18">
        <f>S52+N52+K52</f>
        <v>2619.953488372139</v>
      </c>
      <c r="U52" s="18">
        <f>MIN(T52,MAX(0,Q52-R52))</f>
        <v>0</v>
      </c>
      <c r="V52" s="18">
        <f>MAX(0,Q52-R52-U52)</f>
        <v>0</v>
      </c>
      <c r="W52" s="23">
        <f>IF(B52=策略字典!$A$3,MIN(L52+H52,CEILING(V52/(F52*(1-参数设置!$B$23)),G52)),0)</f>
        <v>0</v>
      </c>
      <c r="X52" s="18">
        <f>W52*F52</f>
        <v>0</v>
      </c>
      <c r="Y52" s="18">
        <f>X52*参数设置!$B$23</f>
        <v>0</v>
      </c>
      <c r="Z52" s="18">
        <f>X52-Y52</f>
        <v>0</v>
      </c>
      <c r="AA52" s="18">
        <f>MAX(0,V52-Z52)</f>
        <v>0</v>
      </c>
      <c r="AB52" s="18">
        <f>MAX(0,Z52-V52)</f>
        <v>0</v>
      </c>
      <c r="AC52" s="18">
        <f>T52-U52+AB52</f>
        <v>2619.953488372139</v>
      </c>
      <c r="AD52" s="23">
        <f>MAX(0,L52+H52-W52)</f>
        <v>1500</v>
      </c>
      <c r="AE52" s="18">
        <f>AD52*F52</f>
        <v>15000</v>
      </c>
      <c r="AF52" s="21">
        <f>SUM($C$7:C52)-SUM($O$7:O52)</f>
        <v>0</v>
      </c>
      <c r="AG52" s="18">
        <f>AF52/D52</f>
        <v>0</v>
      </c>
      <c r="AH52" s="18">
        <f>AE52+AC52</f>
        <v>17619.953488372139</v>
      </c>
      <c r="AI52" s="18">
        <f>AH52-AG52-SUM($AA$7:AA52)</f>
        <v>17619.953488372139</v>
      </c>
      <c r="AJ52" s="24">
        <f>R52+U52+MIN(Z52,V52)+AA52-Q52</f>
        <v>0</v>
      </c>
    </row>
    <row r="53" spans="1:36" ht="15" customHeight="1">
      <c r="A53" s="15">
        <f>EDATE(DATE(YEAR(参数设置!$B$4),MONTH(参数设置!$B$4),1),ROW()-7)</f>
        <v>47635</v>
      </c>
      <c r="B53" s="4" t="s">
        <v>96</v>
      </c>
      <c r="C53" s="21">
        <f>IF(AND(ROW()-6&lt;=参数设置!$B$6,OR(B53=策略字典!$A$1,B53=策略字典!$A$2)),参数设置!$B$5,0)</f>
        <v>0</v>
      </c>
      <c r="D53" s="9">
        <f>参数设置!$B$7</f>
        <v>0.86</v>
      </c>
      <c r="E53" s="18">
        <f>IF(B53=策略字典!$A$1,C53/D53,0)</f>
        <v>0</v>
      </c>
      <c r="F53" s="18">
        <f>参数设置!$B$18</f>
        <v>10</v>
      </c>
      <c r="G53">
        <f>参数设置!$B$19</f>
        <v>500</v>
      </c>
      <c r="H53" s="23">
        <f>IF(E53=0,0,FLOOR(E53/(F53*(1+参数设置!$B$22)),G53))</f>
        <v>0</v>
      </c>
      <c r="I53" s="18">
        <f>H53*F53</f>
        <v>0</v>
      </c>
      <c r="J53" s="18">
        <f>I53*参数设置!$B$22</f>
        <v>0</v>
      </c>
      <c r="K53" s="18">
        <f>MAX(0,E53-I53-J53)</f>
        <v>0</v>
      </c>
      <c r="L53" s="23">
        <f>IF(ROW()=7,0,AD52)</f>
        <v>1500</v>
      </c>
      <c r="M53" s="18">
        <f>(L53+H53)*参数设置!$B$20</f>
        <v>75</v>
      </c>
      <c r="N53" s="18">
        <f>M52</f>
        <v>75</v>
      </c>
      <c r="O53" s="21">
        <f>SUMIFS(贷款明细!$I$4:$I$435,贷款明细!$G$4:$G$435,"&gt;="&amp;A53,贷款明细!$G$4:$G$435,"&lt;"&amp;EDATE(A53,1))</f>
        <v>0</v>
      </c>
      <c r="P53" s="21">
        <f>SUMIFS(贷款明细!$J$4:$J$435,贷款明细!$G$4:$G$435,"&gt;="&amp;A53,贷款明细!$G$4:$G$435,"&lt;"&amp;EDATE(A53,1))</f>
        <v>0</v>
      </c>
      <c r="Q53" s="18">
        <f>(O53+P53)/D53</f>
        <v>0</v>
      </c>
      <c r="R53" s="18">
        <f>IF(B53=策略字典!$A$2,MIN(C53,O53)/D53,0)</f>
        <v>0</v>
      </c>
      <c r="S53" s="18">
        <f>IF(ROW()=7,0,AC52)</f>
        <v>2619.953488372139</v>
      </c>
      <c r="T53" s="18">
        <f>S53+N53+K53</f>
        <v>2694.953488372139</v>
      </c>
      <c r="U53" s="18">
        <f>MIN(T53,MAX(0,Q53-R53))</f>
        <v>0</v>
      </c>
      <c r="V53" s="18">
        <f>MAX(0,Q53-R53-U53)</f>
        <v>0</v>
      </c>
      <c r="W53" s="23">
        <f>IF(B53=策略字典!$A$3,MIN(L53+H53,CEILING(V53/(F53*(1-参数设置!$B$23)),G53)),0)</f>
        <v>0</v>
      </c>
      <c r="X53" s="18">
        <f>W53*F53</f>
        <v>0</v>
      </c>
      <c r="Y53" s="18">
        <f>X53*参数设置!$B$23</f>
        <v>0</v>
      </c>
      <c r="Z53" s="18">
        <f>X53-Y53</f>
        <v>0</v>
      </c>
      <c r="AA53" s="18">
        <f>MAX(0,V53-Z53)</f>
        <v>0</v>
      </c>
      <c r="AB53" s="18">
        <f>MAX(0,Z53-V53)</f>
        <v>0</v>
      </c>
      <c r="AC53" s="18">
        <f>T53-U53+AB53</f>
        <v>2694.953488372139</v>
      </c>
      <c r="AD53" s="23">
        <f>MAX(0,L53+H53-W53)</f>
        <v>1500</v>
      </c>
      <c r="AE53" s="18">
        <f>AD53*F53</f>
        <v>15000</v>
      </c>
      <c r="AF53" s="21">
        <f>SUM($C$7:C53)-SUM($O$7:O53)</f>
        <v>0</v>
      </c>
      <c r="AG53" s="18">
        <f>AF53/D53</f>
        <v>0</v>
      </c>
      <c r="AH53" s="18">
        <f>AE53+AC53</f>
        <v>17694.953488372139</v>
      </c>
      <c r="AI53" s="18">
        <f>AH53-AG53-SUM($AA$7:AA53)</f>
        <v>17694.953488372139</v>
      </c>
      <c r="AJ53" s="24">
        <f>R53+U53+MIN(Z53,V53)+AA53-Q53</f>
        <v>0</v>
      </c>
    </row>
    <row r="54" spans="1:36" ht="15" customHeight="1">
      <c r="A54" s="15">
        <f>EDATE(DATE(YEAR(参数设置!$B$4),MONTH(参数设置!$B$4),1),ROW()-7)</f>
        <v>47665</v>
      </c>
      <c r="B54" s="4" t="s">
        <v>96</v>
      </c>
      <c r="C54" s="21">
        <f>IF(AND(ROW()-6&lt;=参数设置!$B$6,OR(B54=策略字典!$A$1,B54=策略字典!$A$2)),参数设置!$B$5,0)</f>
        <v>0</v>
      </c>
      <c r="D54" s="9">
        <f>参数设置!$B$7</f>
        <v>0.86</v>
      </c>
      <c r="E54" s="18">
        <f>IF(B54=策略字典!$A$1,C54/D54,0)</f>
        <v>0</v>
      </c>
      <c r="F54" s="18">
        <f>参数设置!$B$18</f>
        <v>10</v>
      </c>
      <c r="G54">
        <f>参数设置!$B$19</f>
        <v>500</v>
      </c>
      <c r="H54" s="23">
        <f>IF(E54=0,0,FLOOR(E54/(F54*(1+参数设置!$B$22)),G54))</f>
        <v>0</v>
      </c>
      <c r="I54" s="18">
        <f>H54*F54</f>
        <v>0</v>
      </c>
      <c r="J54" s="18">
        <f>I54*参数设置!$B$22</f>
        <v>0</v>
      </c>
      <c r="K54" s="18">
        <f>MAX(0,E54-I54-J54)</f>
        <v>0</v>
      </c>
      <c r="L54" s="23">
        <f>IF(ROW()=7,0,AD53)</f>
        <v>1500</v>
      </c>
      <c r="M54" s="18">
        <f>(L54+H54)*参数设置!$B$20</f>
        <v>75</v>
      </c>
      <c r="N54" s="18">
        <f>M53</f>
        <v>75</v>
      </c>
      <c r="O54" s="21">
        <f>SUMIFS(贷款明细!$I$4:$I$435,贷款明细!$G$4:$G$435,"&gt;="&amp;A54,贷款明细!$G$4:$G$435,"&lt;"&amp;EDATE(A54,1))</f>
        <v>0</v>
      </c>
      <c r="P54" s="21">
        <f>SUMIFS(贷款明细!$J$4:$J$435,贷款明细!$G$4:$G$435,"&gt;="&amp;A54,贷款明细!$G$4:$G$435,"&lt;"&amp;EDATE(A54,1))</f>
        <v>0</v>
      </c>
      <c r="Q54" s="18">
        <f>(O54+P54)/D54</f>
        <v>0</v>
      </c>
      <c r="R54" s="18">
        <f>IF(B54=策略字典!$A$2,MIN(C54,O54)/D54,0)</f>
        <v>0</v>
      </c>
      <c r="S54" s="18">
        <f>IF(ROW()=7,0,AC53)</f>
        <v>2694.953488372139</v>
      </c>
      <c r="T54" s="18">
        <f>S54+N54+K54</f>
        <v>2769.953488372139</v>
      </c>
      <c r="U54" s="18">
        <f>MIN(T54,MAX(0,Q54-R54))</f>
        <v>0</v>
      </c>
      <c r="V54" s="18">
        <f>MAX(0,Q54-R54-U54)</f>
        <v>0</v>
      </c>
      <c r="W54" s="23">
        <f>IF(B54=策略字典!$A$3,MIN(L54+H54,CEILING(V54/(F54*(1-参数设置!$B$23)),G54)),0)</f>
        <v>0</v>
      </c>
      <c r="X54" s="18">
        <f>W54*F54</f>
        <v>0</v>
      </c>
      <c r="Y54" s="18">
        <f>X54*参数设置!$B$23</f>
        <v>0</v>
      </c>
      <c r="Z54" s="18">
        <f>X54-Y54</f>
        <v>0</v>
      </c>
      <c r="AA54" s="18">
        <f>MAX(0,V54-Z54)</f>
        <v>0</v>
      </c>
      <c r="AB54" s="18">
        <f>MAX(0,Z54-V54)</f>
        <v>0</v>
      </c>
      <c r="AC54" s="18">
        <f>T54-U54+AB54</f>
        <v>2769.953488372139</v>
      </c>
      <c r="AD54" s="23">
        <f>MAX(0,L54+H54-W54)</f>
        <v>1500</v>
      </c>
      <c r="AE54" s="18">
        <f>AD54*F54</f>
        <v>15000</v>
      </c>
      <c r="AF54" s="21">
        <f>SUM($C$7:C54)-SUM($O$7:O54)</f>
        <v>0</v>
      </c>
      <c r="AG54" s="18">
        <f>AF54/D54</f>
        <v>0</v>
      </c>
      <c r="AH54" s="18">
        <f>AE54+AC54</f>
        <v>17769.953488372139</v>
      </c>
      <c r="AI54" s="18">
        <f>AH54-AG54-SUM($AA$7:AA54)</f>
        <v>17769.953488372139</v>
      </c>
      <c r="AJ54" s="24">
        <f>R54+U54+MIN(Z54,V54)+AA54-Q54</f>
        <v>0</v>
      </c>
    </row>
  </sheetData>
  <autoFilter ref="A6:AJ54" xr:uid="{00000000-0009-0000-0000-000003000000}"/>
  <mergeCells count="1">
    <mergeCell ref="A1:AJ1"/>
  </mergeCell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300-000000000000}">
          <x14:formula1>
            <xm:f>策略字典!$A$1:$A$3</xm:f>
          </x14:formula1>
          <x14:formula2>
            <xm:f>0</xm:f>
          </x14:formula2>
          <xm:sqref>B7:B42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435"/>
  <sheetViews>
    <sheetView showGridLines="0" zoomScaleNormal="100" workbookViewId="0">
      <pane ySplit="3" topLeftCell="A4" activePane="bottomLeft" state="frozen"/>
      <selection pane="bottomLeft"/>
    </sheetView>
  </sheetViews>
  <sheetFormatPr defaultColWidth="8.7109375" defaultRowHeight="15"/>
  <cols>
    <col min="1" max="2" width="10" customWidth="1"/>
    <col min="3" max="3" width="13" customWidth="1"/>
    <col min="4" max="4" width="18" customWidth="1"/>
    <col min="5" max="5" width="8" customWidth="1"/>
    <col min="6" max="7" width="13" customWidth="1"/>
    <col min="8" max="8" width="10" customWidth="1"/>
    <col min="9" max="11" width="18" customWidth="1"/>
    <col min="12" max="12" width="13" customWidth="1"/>
    <col min="13" max="13" width="10" customWidth="1"/>
  </cols>
  <sheetData>
    <row r="1" spans="1:13" ht="24.75" customHeight="1">
      <c r="A1" s="27" t="s">
        <v>97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</row>
    <row r="3" spans="1:13" ht="27.75" customHeight="1">
      <c r="A3" s="14" t="s">
        <v>98</v>
      </c>
      <c r="B3" s="14" t="s">
        <v>99</v>
      </c>
      <c r="C3" s="14" t="s">
        <v>100</v>
      </c>
      <c r="D3" s="14" t="s">
        <v>101</v>
      </c>
      <c r="E3" s="14" t="s">
        <v>102</v>
      </c>
      <c r="F3" s="14" t="s">
        <v>103</v>
      </c>
      <c r="G3" s="14" t="s">
        <v>104</v>
      </c>
      <c r="H3" s="14" t="s">
        <v>105</v>
      </c>
      <c r="I3" s="14" t="s">
        <v>106</v>
      </c>
      <c r="J3" s="14" t="s">
        <v>107</v>
      </c>
      <c r="K3" s="14" t="s">
        <v>108</v>
      </c>
      <c r="L3" s="14" t="s">
        <v>109</v>
      </c>
      <c r="M3" s="14" t="s">
        <v>110</v>
      </c>
    </row>
    <row r="4" spans="1:13" ht="15" customHeight="1">
      <c r="A4">
        <v>1</v>
      </c>
      <c r="B4">
        <v>1</v>
      </c>
      <c r="C4" s="25">
        <f>EDATE(参数设置!$B$4,A4-1)</f>
        <v>46244</v>
      </c>
      <c r="D4" s="21">
        <f>IF(AND(A4&lt;=参数设置!$B$6,OR(INDEX(月度资金流!$B$7:$B$42,A4)=策略字典!$A$1,INDEX(月度资金流!$B$7:$B$42,A4)=策略字典!$A$2)),参数设置!$B$5,0)</f>
        <v>23400</v>
      </c>
      <c r="E4">
        <v>1</v>
      </c>
      <c r="F4" s="25">
        <f>IF(E4=1,C4,G3)</f>
        <v>46244</v>
      </c>
      <c r="G4" s="25">
        <f>IF(E4&lt;参数设置!$B$13,DATE(YEAR(EDATE(C4,E4+1)),MONTH(EDATE(C4,E4+1)),参数设置!$B$14),EDATE(C4,参数设置!$B$13))</f>
        <v>46300</v>
      </c>
      <c r="H4">
        <f>G4-F4</f>
        <v>56</v>
      </c>
      <c r="I4" s="21">
        <f>IF(E4=参数设置!$B$13,D4,0)</f>
        <v>0</v>
      </c>
      <c r="J4" s="21">
        <f>IF(M4=1,ROUND(D4*参数设置!$B$11*H4/参数设置!$B$12,参数设置!$B$15),0)</f>
        <v>120.12</v>
      </c>
      <c r="K4" s="21">
        <f>I4+J4</f>
        <v>120.12</v>
      </c>
      <c r="L4" s="25">
        <f>EDATE(C4,参数设置!$B$13)</f>
        <v>46609</v>
      </c>
      <c r="M4">
        <f>--(D4&gt;0)</f>
        <v>1</v>
      </c>
    </row>
    <row r="5" spans="1:13" ht="15" customHeight="1">
      <c r="A5">
        <v>1</v>
      </c>
      <c r="B5">
        <v>1</v>
      </c>
      <c r="C5" s="25">
        <f>EDATE(参数设置!$B$4,A5-1)</f>
        <v>46244</v>
      </c>
      <c r="D5" s="21">
        <f>IF(AND(A5&lt;=参数设置!$B$6,OR(INDEX(月度资金流!$B$7:$B$42,A5)=策略字典!$A$1,INDEX(月度资金流!$B$7:$B$42,A5)=策略字典!$A$2)),参数设置!$B$5,0)</f>
        <v>23400</v>
      </c>
      <c r="E5">
        <v>2</v>
      </c>
      <c r="F5" s="25">
        <f>IF(E5=1,C5,G4)</f>
        <v>46300</v>
      </c>
      <c r="G5" s="25">
        <f>IF(E5&lt;参数设置!$B$13,DATE(YEAR(EDATE(C5,E5+1)),MONTH(EDATE(C5,E5+1)),参数设置!$B$14),EDATE(C5,参数设置!$B$13))</f>
        <v>46331</v>
      </c>
      <c r="H5">
        <f>G5-F5</f>
        <v>31</v>
      </c>
      <c r="I5" s="21">
        <f>IF(E5=参数设置!$B$13,D5,0)</f>
        <v>0</v>
      </c>
      <c r="J5" s="21">
        <f>IF(M5=1,ROUND(D5*参数设置!$B$11*H5/参数设置!$B$12,参数设置!$B$15),0)</f>
        <v>66.5</v>
      </c>
      <c r="K5" s="21">
        <f>I5+J5</f>
        <v>66.5</v>
      </c>
      <c r="L5" s="25">
        <f>EDATE(C5,参数设置!$B$13)</f>
        <v>46609</v>
      </c>
      <c r="M5">
        <f>--(D5&gt;0)</f>
        <v>1</v>
      </c>
    </row>
    <row r="6" spans="1:13" ht="15" customHeight="1">
      <c r="A6">
        <v>1</v>
      </c>
      <c r="B6">
        <v>1</v>
      </c>
      <c r="C6" s="25">
        <f>EDATE(参数设置!$B$4,A6-1)</f>
        <v>46244</v>
      </c>
      <c r="D6" s="21">
        <f>IF(AND(A6&lt;=参数设置!$B$6,OR(INDEX(月度资金流!$B$7:$B$42,A6)=策略字典!$A$1,INDEX(月度资金流!$B$7:$B$42,A6)=策略字典!$A$2)),参数设置!$B$5,0)</f>
        <v>23400</v>
      </c>
      <c r="E6">
        <v>3</v>
      </c>
      <c r="F6" s="25">
        <f>IF(E6=1,C6,G5)</f>
        <v>46331</v>
      </c>
      <c r="G6" s="25">
        <f>IF(E6&lt;参数设置!$B$13,DATE(YEAR(EDATE(C6,E6+1)),MONTH(EDATE(C6,E6+1)),参数设置!$B$14),EDATE(C6,参数设置!$B$13))</f>
        <v>46361</v>
      </c>
      <c r="H6">
        <f>G6-F6</f>
        <v>30</v>
      </c>
      <c r="I6" s="21">
        <f>IF(E6=参数设置!$B$13,D6,0)</f>
        <v>0</v>
      </c>
      <c r="J6" s="21">
        <f>IF(M6=1,ROUND(D6*参数设置!$B$11*H6/参数设置!$B$12,参数设置!$B$15),0)</f>
        <v>64.349999999999994</v>
      </c>
      <c r="K6" s="21">
        <f>I6+J6</f>
        <v>64.349999999999994</v>
      </c>
      <c r="L6" s="25">
        <f>EDATE(C6,参数设置!$B$13)</f>
        <v>46609</v>
      </c>
      <c r="M6">
        <f>--(D6&gt;0)</f>
        <v>1</v>
      </c>
    </row>
    <row r="7" spans="1:13" ht="15" customHeight="1">
      <c r="A7">
        <v>1</v>
      </c>
      <c r="B7">
        <v>1</v>
      </c>
      <c r="C7" s="25">
        <f>EDATE(参数设置!$B$4,A7-1)</f>
        <v>46244</v>
      </c>
      <c r="D7" s="21">
        <f>IF(AND(A7&lt;=参数设置!$B$6,OR(INDEX(月度资金流!$B$7:$B$42,A7)=策略字典!$A$1,INDEX(月度资金流!$B$7:$B$42,A7)=策略字典!$A$2)),参数设置!$B$5,0)</f>
        <v>23400</v>
      </c>
      <c r="E7">
        <v>4</v>
      </c>
      <c r="F7" s="25">
        <f>IF(E7=1,C7,G6)</f>
        <v>46361</v>
      </c>
      <c r="G7" s="25">
        <f>IF(E7&lt;参数设置!$B$13,DATE(YEAR(EDATE(C7,E7+1)),MONTH(EDATE(C7,E7+1)),参数设置!$B$14),EDATE(C7,参数设置!$B$13))</f>
        <v>46392</v>
      </c>
      <c r="H7">
        <f>G7-F7</f>
        <v>31</v>
      </c>
      <c r="I7" s="21">
        <f>IF(E7=参数设置!$B$13,D7,0)</f>
        <v>0</v>
      </c>
      <c r="J7" s="21">
        <f>IF(M7=1,ROUND(D7*参数设置!$B$11*H7/参数设置!$B$12,参数设置!$B$15),0)</f>
        <v>66.5</v>
      </c>
      <c r="K7" s="21">
        <f>I7+J7</f>
        <v>66.5</v>
      </c>
      <c r="L7" s="25">
        <f>EDATE(C7,参数设置!$B$13)</f>
        <v>46609</v>
      </c>
      <c r="M7">
        <f>--(D7&gt;0)</f>
        <v>1</v>
      </c>
    </row>
    <row r="8" spans="1:13" ht="15" customHeight="1">
      <c r="A8">
        <v>1</v>
      </c>
      <c r="B8">
        <v>1</v>
      </c>
      <c r="C8" s="25">
        <f>EDATE(参数设置!$B$4,A8-1)</f>
        <v>46244</v>
      </c>
      <c r="D8" s="21">
        <f>IF(AND(A8&lt;=参数设置!$B$6,OR(INDEX(月度资金流!$B$7:$B$42,A8)=策略字典!$A$1,INDEX(月度资金流!$B$7:$B$42,A8)=策略字典!$A$2)),参数设置!$B$5,0)</f>
        <v>23400</v>
      </c>
      <c r="E8">
        <v>5</v>
      </c>
      <c r="F8" s="25">
        <f>IF(E8=1,C8,G7)</f>
        <v>46392</v>
      </c>
      <c r="G8" s="25">
        <f>IF(E8&lt;参数设置!$B$13,DATE(YEAR(EDATE(C8,E8+1)),MONTH(EDATE(C8,E8+1)),参数设置!$B$14),EDATE(C8,参数设置!$B$13))</f>
        <v>46423</v>
      </c>
      <c r="H8">
        <f>G8-F8</f>
        <v>31</v>
      </c>
      <c r="I8" s="21">
        <f>IF(E8=参数设置!$B$13,D8,0)</f>
        <v>0</v>
      </c>
      <c r="J8" s="21">
        <f>IF(M8=1,ROUND(D8*参数设置!$B$11*H8/参数设置!$B$12,参数设置!$B$15),0)</f>
        <v>66.5</v>
      </c>
      <c r="K8" s="21">
        <f>I8+J8</f>
        <v>66.5</v>
      </c>
      <c r="L8" s="25">
        <f>EDATE(C8,参数设置!$B$13)</f>
        <v>46609</v>
      </c>
      <c r="M8">
        <f>--(D8&gt;0)</f>
        <v>1</v>
      </c>
    </row>
    <row r="9" spans="1:13" ht="15" customHeight="1">
      <c r="A9">
        <v>1</v>
      </c>
      <c r="B9">
        <v>1</v>
      </c>
      <c r="C9" s="25">
        <f>EDATE(参数设置!$B$4,A9-1)</f>
        <v>46244</v>
      </c>
      <c r="D9" s="21">
        <f>IF(AND(A9&lt;=参数设置!$B$6,OR(INDEX(月度资金流!$B$7:$B$42,A9)=策略字典!$A$1,INDEX(月度资金流!$B$7:$B$42,A9)=策略字典!$A$2)),参数设置!$B$5,0)</f>
        <v>23400</v>
      </c>
      <c r="E9">
        <v>6</v>
      </c>
      <c r="F9" s="25">
        <f>IF(E9=1,C9,G8)</f>
        <v>46423</v>
      </c>
      <c r="G9" s="25">
        <f>IF(E9&lt;参数设置!$B$13,DATE(YEAR(EDATE(C9,E9+1)),MONTH(EDATE(C9,E9+1)),参数设置!$B$14),EDATE(C9,参数设置!$B$13))</f>
        <v>46451</v>
      </c>
      <c r="H9">
        <f>G9-F9</f>
        <v>28</v>
      </c>
      <c r="I9" s="21">
        <f>IF(E9=参数设置!$B$13,D9,0)</f>
        <v>0</v>
      </c>
      <c r="J9" s="21">
        <f>IF(M9=1,ROUND(D9*参数设置!$B$11*H9/参数设置!$B$12,参数设置!$B$15),0)</f>
        <v>60.06</v>
      </c>
      <c r="K9" s="21">
        <f>I9+J9</f>
        <v>60.06</v>
      </c>
      <c r="L9" s="25">
        <f>EDATE(C9,参数设置!$B$13)</f>
        <v>46609</v>
      </c>
      <c r="M9">
        <f>--(D9&gt;0)</f>
        <v>1</v>
      </c>
    </row>
    <row r="10" spans="1:13" ht="15" customHeight="1">
      <c r="A10">
        <v>1</v>
      </c>
      <c r="B10">
        <v>1</v>
      </c>
      <c r="C10" s="25">
        <f>EDATE(参数设置!$B$4,A10-1)</f>
        <v>46244</v>
      </c>
      <c r="D10" s="21">
        <f>IF(AND(A10&lt;=参数设置!$B$6,OR(INDEX(月度资金流!$B$7:$B$42,A10)=策略字典!$A$1,INDEX(月度资金流!$B$7:$B$42,A10)=策略字典!$A$2)),参数设置!$B$5,0)</f>
        <v>23400</v>
      </c>
      <c r="E10">
        <v>7</v>
      </c>
      <c r="F10" s="25">
        <f>IF(E10=1,C10,G9)</f>
        <v>46451</v>
      </c>
      <c r="G10" s="25">
        <f>IF(E10&lt;参数设置!$B$13,DATE(YEAR(EDATE(C10,E10+1)),MONTH(EDATE(C10,E10+1)),参数设置!$B$14),EDATE(C10,参数设置!$B$13))</f>
        <v>46482</v>
      </c>
      <c r="H10">
        <f>G10-F10</f>
        <v>31</v>
      </c>
      <c r="I10" s="21">
        <f>IF(E10=参数设置!$B$13,D10,0)</f>
        <v>0</v>
      </c>
      <c r="J10" s="21">
        <f>IF(M10=1,ROUND(D10*参数设置!$B$11*H10/参数设置!$B$12,参数设置!$B$15),0)</f>
        <v>66.5</v>
      </c>
      <c r="K10" s="21">
        <f>I10+J10</f>
        <v>66.5</v>
      </c>
      <c r="L10" s="25">
        <f>EDATE(C10,参数设置!$B$13)</f>
        <v>46609</v>
      </c>
      <c r="M10">
        <f>--(D10&gt;0)</f>
        <v>1</v>
      </c>
    </row>
    <row r="11" spans="1:13" ht="15" customHeight="1">
      <c r="A11">
        <v>1</v>
      </c>
      <c r="B11">
        <v>1</v>
      </c>
      <c r="C11" s="25">
        <f>EDATE(参数设置!$B$4,A11-1)</f>
        <v>46244</v>
      </c>
      <c r="D11" s="21">
        <f>IF(AND(A11&lt;=参数设置!$B$6,OR(INDEX(月度资金流!$B$7:$B$42,A11)=策略字典!$A$1,INDEX(月度资金流!$B$7:$B$42,A11)=策略字典!$A$2)),参数设置!$B$5,0)</f>
        <v>23400</v>
      </c>
      <c r="E11">
        <v>8</v>
      </c>
      <c r="F11" s="25">
        <f>IF(E11=1,C11,G10)</f>
        <v>46482</v>
      </c>
      <c r="G11" s="25">
        <f>IF(E11&lt;参数设置!$B$13,DATE(YEAR(EDATE(C11,E11+1)),MONTH(EDATE(C11,E11+1)),参数设置!$B$14),EDATE(C11,参数设置!$B$13))</f>
        <v>46512</v>
      </c>
      <c r="H11">
        <f>G11-F11</f>
        <v>30</v>
      </c>
      <c r="I11" s="21">
        <f>IF(E11=参数设置!$B$13,D11,0)</f>
        <v>0</v>
      </c>
      <c r="J11" s="21">
        <f>IF(M11=1,ROUND(D11*参数设置!$B$11*H11/参数设置!$B$12,参数设置!$B$15),0)</f>
        <v>64.349999999999994</v>
      </c>
      <c r="K11" s="21">
        <f>I11+J11</f>
        <v>64.349999999999994</v>
      </c>
      <c r="L11" s="25">
        <f>EDATE(C11,参数设置!$B$13)</f>
        <v>46609</v>
      </c>
      <c r="M11">
        <f>--(D11&gt;0)</f>
        <v>1</v>
      </c>
    </row>
    <row r="12" spans="1:13" ht="15" customHeight="1">
      <c r="A12">
        <v>1</v>
      </c>
      <c r="B12">
        <v>1</v>
      </c>
      <c r="C12" s="25">
        <f>EDATE(参数设置!$B$4,A12-1)</f>
        <v>46244</v>
      </c>
      <c r="D12" s="21">
        <f>IF(AND(A12&lt;=参数设置!$B$6,OR(INDEX(月度资金流!$B$7:$B$42,A12)=策略字典!$A$1,INDEX(月度资金流!$B$7:$B$42,A12)=策略字典!$A$2)),参数设置!$B$5,0)</f>
        <v>23400</v>
      </c>
      <c r="E12">
        <v>9</v>
      </c>
      <c r="F12" s="25">
        <f>IF(E12=1,C12,G11)</f>
        <v>46512</v>
      </c>
      <c r="G12" s="25">
        <f>IF(E12&lt;参数设置!$B$13,DATE(YEAR(EDATE(C12,E12+1)),MONTH(EDATE(C12,E12+1)),参数设置!$B$14),EDATE(C12,参数设置!$B$13))</f>
        <v>46543</v>
      </c>
      <c r="H12">
        <f>G12-F12</f>
        <v>31</v>
      </c>
      <c r="I12" s="21">
        <f>IF(E12=参数设置!$B$13,D12,0)</f>
        <v>0</v>
      </c>
      <c r="J12" s="21">
        <f>IF(M12=1,ROUND(D12*参数设置!$B$11*H12/参数设置!$B$12,参数设置!$B$15),0)</f>
        <v>66.5</v>
      </c>
      <c r="K12" s="21">
        <f>I12+J12</f>
        <v>66.5</v>
      </c>
      <c r="L12" s="25">
        <f>EDATE(C12,参数设置!$B$13)</f>
        <v>46609</v>
      </c>
      <c r="M12">
        <f>--(D12&gt;0)</f>
        <v>1</v>
      </c>
    </row>
    <row r="13" spans="1:13" ht="15" customHeight="1">
      <c r="A13">
        <v>1</v>
      </c>
      <c r="B13">
        <v>1</v>
      </c>
      <c r="C13" s="25">
        <f>EDATE(参数设置!$B$4,A13-1)</f>
        <v>46244</v>
      </c>
      <c r="D13" s="21">
        <f>IF(AND(A13&lt;=参数设置!$B$6,OR(INDEX(月度资金流!$B$7:$B$42,A13)=策略字典!$A$1,INDEX(月度资金流!$B$7:$B$42,A13)=策略字典!$A$2)),参数设置!$B$5,0)</f>
        <v>23400</v>
      </c>
      <c r="E13">
        <v>10</v>
      </c>
      <c r="F13" s="25">
        <f>IF(E13=1,C13,G12)</f>
        <v>46543</v>
      </c>
      <c r="G13" s="25">
        <f>IF(E13&lt;参数设置!$B$13,DATE(YEAR(EDATE(C13,E13+1)),MONTH(EDATE(C13,E13+1)),参数设置!$B$14),EDATE(C13,参数设置!$B$13))</f>
        <v>46573</v>
      </c>
      <c r="H13">
        <f>G13-F13</f>
        <v>30</v>
      </c>
      <c r="I13" s="21">
        <f>IF(E13=参数设置!$B$13,D13,0)</f>
        <v>0</v>
      </c>
      <c r="J13" s="21">
        <f>IF(M13=1,ROUND(D13*参数设置!$B$11*H13/参数设置!$B$12,参数设置!$B$15),0)</f>
        <v>64.349999999999994</v>
      </c>
      <c r="K13" s="21">
        <f>I13+J13</f>
        <v>64.349999999999994</v>
      </c>
      <c r="L13" s="25">
        <f>EDATE(C13,参数设置!$B$13)</f>
        <v>46609</v>
      </c>
      <c r="M13">
        <f>--(D13&gt;0)</f>
        <v>1</v>
      </c>
    </row>
    <row r="14" spans="1:13" ht="15" customHeight="1">
      <c r="A14">
        <v>1</v>
      </c>
      <c r="B14">
        <v>1</v>
      </c>
      <c r="C14" s="25">
        <f>EDATE(参数设置!$B$4,A14-1)</f>
        <v>46244</v>
      </c>
      <c r="D14" s="21">
        <f>IF(AND(A14&lt;=参数设置!$B$6,OR(INDEX(月度资金流!$B$7:$B$42,A14)=策略字典!$A$1,INDEX(月度资金流!$B$7:$B$42,A14)=策略字典!$A$2)),参数设置!$B$5,0)</f>
        <v>23400</v>
      </c>
      <c r="E14">
        <v>11</v>
      </c>
      <c r="F14" s="25">
        <f>IF(E14=1,C14,G13)</f>
        <v>46573</v>
      </c>
      <c r="G14" s="25">
        <f>IF(E14&lt;参数设置!$B$13,DATE(YEAR(EDATE(C14,E14+1)),MONTH(EDATE(C14,E14+1)),参数设置!$B$14),EDATE(C14,参数设置!$B$13))</f>
        <v>46604</v>
      </c>
      <c r="H14">
        <f>G14-F14</f>
        <v>31</v>
      </c>
      <c r="I14" s="21">
        <f>IF(E14=参数设置!$B$13,D14,0)</f>
        <v>0</v>
      </c>
      <c r="J14" s="21">
        <f>IF(M14=1,ROUND(D14*参数设置!$B$11*H14/参数设置!$B$12,参数设置!$B$15),0)</f>
        <v>66.5</v>
      </c>
      <c r="K14" s="21">
        <f>I14+J14</f>
        <v>66.5</v>
      </c>
      <c r="L14" s="25">
        <f>EDATE(C14,参数设置!$B$13)</f>
        <v>46609</v>
      </c>
      <c r="M14">
        <f>--(D14&gt;0)</f>
        <v>1</v>
      </c>
    </row>
    <row r="15" spans="1:13" ht="15" customHeight="1">
      <c r="A15">
        <v>1</v>
      </c>
      <c r="B15">
        <v>1</v>
      </c>
      <c r="C15" s="25">
        <f>EDATE(参数设置!$B$4,A15-1)</f>
        <v>46244</v>
      </c>
      <c r="D15" s="21">
        <f>IF(AND(A15&lt;=参数设置!$B$6,OR(INDEX(月度资金流!$B$7:$B$42,A15)=策略字典!$A$1,INDEX(月度资金流!$B$7:$B$42,A15)=策略字典!$A$2)),参数设置!$B$5,0)</f>
        <v>23400</v>
      </c>
      <c r="E15">
        <v>12</v>
      </c>
      <c r="F15" s="25">
        <f>IF(E15=1,C15,G14)</f>
        <v>46604</v>
      </c>
      <c r="G15" s="25">
        <f>IF(E15&lt;参数设置!$B$13,DATE(YEAR(EDATE(C15,E15+1)),MONTH(EDATE(C15,E15+1)),参数设置!$B$14),EDATE(C15,参数设置!$B$13))</f>
        <v>46609</v>
      </c>
      <c r="H15">
        <f>G15-F15</f>
        <v>5</v>
      </c>
      <c r="I15" s="21">
        <f>IF(E15=参数设置!$B$13,D15,0)</f>
        <v>23400</v>
      </c>
      <c r="J15" s="21">
        <f>IF(M15=1,ROUND(D15*参数设置!$B$11*H15/参数设置!$B$12,参数设置!$B$15),0)</f>
        <v>10.73</v>
      </c>
      <c r="K15" s="21">
        <f>I15+J15</f>
        <v>23410.73</v>
      </c>
      <c r="L15" s="25">
        <f>EDATE(C15,参数设置!$B$13)</f>
        <v>46609</v>
      </c>
      <c r="M15">
        <f>--(D15&gt;0)</f>
        <v>1</v>
      </c>
    </row>
    <row r="16" spans="1:13" ht="15" customHeight="1">
      <c r="A16">
        <v>2</v>
      </c>
      <c r="B16">
        <v>2</v>
      </c>
      <c r="C16" s="25">
        <f>EDATE(参数设置!$B$4,A16-1)</f>
        <v>46275</v>
      </c>
      <c r="D16" s="21">
        <f>IF(AND(A16&lt;=参数设置!$B$6,OR(INDEX(月度资金流!$B$7:$B$42,A16)=策略字典!$A$1,INDEX(月度资金流!$B$7:$B$42,A16)=策略字典!$A$2)),参数设置!$B$5,0)</f>
        <v>23400</v>
      </c>
      <c r="E16">
        <v>1</v>
      </c>
      <c r="F16" s="25">
        <f>IF(E16=1,C16,G15)</f>
        <v>46275</v>
      </c>
      <c r="G16" s="25">
        <f>IF(E16&lt;参数设置!$B$13,DATE(YEAR(EDATE(C16,E16+1)),MONTH(EDATE(C16,E16+1)),参数设置!$B$14),EDATE(C16,参数设置!$B$13))</f>
        <v>46331</v>
      </c>
      <c r="H16">
        <f>G16-F16</f>
        <v>56</v>
      </c>
      <c r="I16" s="21">
        <f>IF(E16=参数设置!$B$13,D16,0)</f>
        <v>0</v>
      </c>
      <c r="J16" s="21">
        <f>IF(M16=1,ROUND(D16*参数设置!$B$11*H16/参数设置!$B$12,参数设置!$B$15),0)</f>
        <v>120.12</v>
      </c>
      <c r="K16" s="21">
        <f>I16+J16</f>
        <v>120.12</v>
      </c>
      <c r="L16" s="25">
        <f>EDATE(C16,参数设置!$B$13)</f>
        <v>46640</v>
      </c>
      <c r="M16">
        <f>--(D16&gt;0)</f>
        <v>1</v>
      </c>
    </row>
    <row r="17" spans="1:13" ht="15" customHeight="1">
      <c r="A17">
        <v>2</v>
      </c>
      <c r="B17">
        <v>2</v>
      </c>
      <c r="C17" s="25">
        <f>EDATE(参数设置!$B$4,A17-1)</f>
        <v>46275</v>
      </c>
      <c r="D17" s="21">
        <f>IF(AND(A17&lt;=参数设置!$B$6,OR(INDEX(月度资金流!$B$7:$B$42,A17)=策略字典!$A$1,INDEX(月度资金流!$B$7:$B$42,A17)=策略字典!$A$2)),参数设置!$B$5,0)</f>
        <v>23400</v>
      </c>
      <c r="E17">
        <v>2</v>
      </c>
      <c r="F17" s="25">
        <f>IF(E17=1,C17,G16)</f>
        <v>46331</v>
      </c>
      <c r="G17" s="25">
        <f>IF(E17&lt;参数设置!$B$13,DATE(YEAR(EDATE(C17,E17+1)),MONTH(EDATE(C17,E17+1)),参数设置!$B$14),EDATE(C17,参数设置!$B$13))</f>
        <v>46361</v>
      </c>
      <c r="H17">
        <f>G17-F17</f>
        <v>30</v>
      </c>
      <c r="I17" s="21">
        <f>IF(E17=参数设置!$B$13,D17,0)</f>
        <v>0</v>
      </c>
      <c r="J17" s="21">
        <f>IF(M17=1,ROUND(D17*参数设置!$B$11*H17/参数设置!$B$12,参数设置!$B$15),0)</f>
        <v>64.349999999999994</v>
      </c>
      <c r="K17" s="21">
        <f>I17+J17</f>
        <v>64.349999999999994</v>
      </c>
      <c r="L17" s="25">
        <f>EDATE(C17,参数设置!$B$13)</f>
        <v>46640</v>
      </c>
      <c r="M17">
        <f>--(D17&gt;0)</f>
        <v>1</v>
      </c>
    </row>
    <row r="18" spans="1:13" ht="15" customHeight="1">
      <c r="A18">
        <v>2</v>
      </c>
      <c r="B18">
        <v>2</v>
      </c>
      <c r="C18" s="25">
        <f>EDATE(参数设置!$B$4,A18-1)</f>
        <v>46275</v>
      </c>
      <c r="D18" s="21">
        <f>IF(AND(A18&lt;=参数设置!$B$6,OR(INDEX(月度资金流!$B$7:$B$42,A18)=策略字典!$A$1,INDEX(月度资金流!$B$7:$B$42,A18)=策略字典!$A$2)),参数设置!$B$5,0)</f>
        <v>23400</v>
      </c>
      <c r="E18">
        <v>3</v>
      </c>
      <c r="F18" s="25">
        <f>IF(E18=1,C18,G17)</f>
        <v>46361</v>
      </c>
      <c r="G18" s="25">
        <f>IF(E18&lt;参数设置!$B$13,DATE(YEAR(EDATE(C18,E18+1)),MONTH(EDATE(C18,E18+1)),参数设置!$B$14),EDATE(C18,参数设置!$B$13))</f>
        <v>46392</v>
      </c>
      <c r="H18">
        <f>G18-F18</f>
        <v>31</v>
      </c>
      <c r="I18" s="21">
        <f>IF(E18=参数设置!$B$13,D18,0)</f>
        <v>0</v>
      </c>
      <c r="J18" s="21">
        <f>IF(M18=1,ROUND(D18*参数设置!$B$11*H18/参数设置!$B$12,参数设置!$B$15),0)</f>
        <v>66.5</v>
      </c>
      <c r="K18" s="21">
        <f>I18+J18</f>
        <v>66.5</v>
      </c>
      <c r="L18" s="25">
        <f>EDATE(C18,参数设置!$B$13)</f>
        <v>46640</v>
      </c>
      <c r="M18">
        <f>--(D18&gt;0)</f>
        <v>1</v>
      </c>
    </row>
    <row r="19" spans="1:13" ht="15" customHeight="1">
      <c r="A19">
        <v>2</v>
      </c>
      <c r="B19">
        <v>2</v>
      </c>
      <c r="C19" s="25">
        <f>EDATE(参数设置!$B$4,A19-1)</f>
        <v>46275</v>
      </c>
      <c r="D19" s="21">
        <f>IF(AND(A19&lt;=参数设置!$B$6,OR(INDEX(月度资金流!$B$7:$B$42,A19)=策略字典!$A$1,INDEX(月度资金流!$B$7:$B$42,A19)=策略字典!$A$2)),参数设置!$B$5,0)</f>
        <v>23400</v>
      </c>
      <c r="E19">
        <v>4</v>
      </c>
      <c r="F19" s="25">
        <f>IF(E19=1,C19,G18)</f>
        <v>46392</v>
      </c>
      <c r="G19" s="25">
        <f>IF(E19&lt;参数设置!$B$13,DATE(YEAR(EDATE(C19,E19+1)),MONTH(EDATE(C19,E19+1)),参数设置!$B$14),EDATE(C19,参数设置!$B$13))</f>
        <v>46423</v>
      </c>
      <c r="H19">
        <f>G19-F19</f>
        <v>31</v>
      </c>
      <c r="I19" s="21">
        <f>IF(E19=参数设置!$B$13,D19,0)</f>
        <v>0</v>
      </c>
      <c r="J19" s="21">
        <f>IF(M19=1,ROUND(D19*参数设置!$B$11*H19/参数设置!$B$12,参数设置!$B$15),0)</f>
        <v>66.5</v>
      </c>
      <c r="K19" s="21">
        <f>I19+J19</f>
        <v>66.5</v>
      </c>
      <c r="L19" s="25">
        <f>EDATE(C19,参数设置!$B$13)</f>
        <v>46640</v>
      </c>
      <c r="M19">
        <f>--(D19&gt;0)</f>
        <v>1</v>
      </c>
    </row>
    <row r="20" spans="1:13" ht="15" customHeight="1">
      <c r="A20">
        <v>2</v>
      </c>
      <c r="B20">
        <v>2</v>
      </c>
      <c r="C20" s="25">
        <f>EDATE(参数设置!$B$4,A20-1)</f>
        <v>46275</v>
      </c>
      <c r="D20" s="21">
        <f>IF(AND(A20&lt;=参数设置!$B$6,OR(INDEX(月度资金流!$B$7:$B$42,A20)=策略字典!$A$1,INDEX(月度资金流!$B$7:$B$42,A20)=策略字典!$A$2)),参数设置!$B$5,0)</f>
        <v>23400</v>
      </c>
      <c r="E20">
        <v>5</v>
      </c>
      <c r="F20" s="25">
        <f>IF(E20=1,C20,G19)</f>
        <v>46423</v>
      </c>
      <c r="G20" s="25">
        <f>IF(E20&lt;参数设置!$B$13,DATE(YEAR(EDATE(C20,E20+1)),MONTH(EDATE(C20,E20+1)),参数设置!$B$14),EDATE(C20,参数设置!$B$13))</f>
        <v>46451</v>
      </c>
      <c r="H20">
        <f>G20-F20</f>
        <v>28</v>
      </c>
      <c r="I20" s="21">
        <f>IF(E20=参数设置!$B$13,D20,0)</f>
        <v>0</v>
      </c>
      <c r="J20" s="21">
        <f>IF(M20=1,ROUND(D20*参数设置!$B$11*H20/参数设置!$B$12,参数设置!$B$15),0)</f>
        <v>60.06</v>
      </c>
      <c r="K20" s="21">
        <f>I20+J20</f>
        <v>60.06</v>
      </c>
      <c r="L20" s="25">
        <f>EDATE(C20,参数设置!$B$13)</f>
        <v>46640</v>
      </c>
      <c r="M20">
        <f>--(D20&gt;0)</f>
        <v>1</v>
      </c>
    </row>
    <row r="21" spans="1:13" ht="15" customHeight="1">
      <c r="A21">
        <v>2</v>
      </c>
      <c r="B21">
        <v>2</v>
      </c>
      <c r="C21" s="25">
        <f>EDATE(参数设置!$B$4,A21-1)</f>
        <v>46275</v>
      </c>
      <c r="D21" s="21">
        <f>IF(AND(A21&lt;=参数设置!$B$6,OR(INDEX(月度资金流!$B$7:$B$42,A21)=策略字典!$A$1,INDEX(月度资金流!$B$7:$B$42,A21)=策略字典!$A$2)),参数设置!$B$5,0)</f>
        <v>23400</v>
      </c>
      <c r="E21">
        <v>6</v>
      </c>
      <c r="F21" s="25">
        <f>IF(E21=1,C21,G20)</f>
        <v>46451</v>
      </c>
      <c r="G21" s="25">
        <f>IF(E21&lt;参数设置!$B$13,DATE(YEAR(EDATE(C21,E21+1)),MONTH(EDATE(C21,E21+1)),参数设置!$B$14),EDATE(C21,参数设置!$B$13))</f>
        <v>46482</v>
      </c>
      <c r="H21">
        <f>G21-F21</f>
        <v>31</v>
      </c>
      <c r="I21" s="21">
        <f>IF(E21=参数设置!$B$13,D21,0)</f>
        <v>0</v>
      </c>
      <c r="J21" s="21">
        <f>IF(M21=1,ROUND(D21*参数设置!$B$11*H21/参数设置!$B$12,参数设置!$B$15),0)</f>
        <v>66.5</v>
      </c>
      <c r="K21" s="21">
        <f>I21+J21</f>
        <v>66.5</v>
      </c>
      <c r="L21" s="25">
        <f>EDATE(C21,参数设置!$B$13)</f>
        <v>46640</v>
      </c>
      <c r="M21">
        <f>--(D21&gt;0)</f>
        <v>1</v>
      </c>
    </row>
    <row r="22" spans="1:13" ht="15" customHeight="1">
      <c r="A22">
        <v>2</v>
      </c>
      <c r="B22">
        <v>2</v>
      </c>
      <c r="C22" s="25">
        <f>EDATE(参数设置!$B$4,A22-1)</f>
        <v>46275</v>
      </c>
      <c r="D22" s="21">
        <f>IF(AND(A22&lt;=参数设置!$B$6,OR(INDEX(月度资金流!$B$7:$B$42,A22)=策略字典!$A$1,INDEX(月度资金流!$B$7:$B$42,A22)=策略字典!$A$2)),参数设置!$B$5,0)</f>
        <v>23400</v>
      </c>
      <c r="E22">
        <v>7</v>
      </c>
      <c r="F22" s="25">
        <f>IF(E22=1,C22,G21)</f>
        <v>46482</v>
      </c>
      <c r="G22" s="25">
        <f>IF(E22&lt;参数设置!$B$13,DATE(YEAR(EDATE(C22,E22+1)),MONTH(EDATE(C22,E22+1)),参数设置!$B$14),EDATE(C22,参数设置!$B$13))</f>
        <v>46512</v>
      </c>
      <c r="H22">
        <f>G22-F22</f>
        <v>30</v>
      </c>
      <c r="I22" s="21">
        <f>IF(E22=参数设置!$B$13,D22,0)</f>
        <v>0</v>
      </c>
      <c r="J22" s="21">
        <f>IF(M22=1,ROUND(D22*参数设置!$B$11*H22/参数设置!$B$12,参数设置!$B$15),0)</f>
        <v>64.349999999999994</v>
      </c>
      <c r="K22" s="21">
        <f>I22+J22</f>
        <v>64.349999999999994</v>
      </c>
      <c r="L22" s="25">
        <f>EDATE(C22,参数设置!$B$13)</f>
        <v>46640</v>
      </c>
      <c r="M22">
        <f>--(D22&gt;0)</f>
        <v>1</v>
      </c>
    </row>
    <row r="23" spans="1:13" ht="15" customHeight="1">
      <c r="A23">
        <v>2</v>
      </c>
      <c r="B23">
        <v>2</v>
      </c>
      <c r="C23" s="25">
        <f>EDATE(参数设置!$B$4,A23-1)</f>
        <v>46275</v>
      </c>
      <c r="D23" s="21">
        <f>IF(AND(A23&lt;=参数设置!$B$6,OR(INDEX(月度资金流!$B$7:$B$42,A23)=策略字典!$A$1,INDEX(月度资金流!$B$7:$B$42,A23)=策略字典!$A$2)),参数设置!$B$5,0)</f>
        <v>23400</v>
      </c>
      <c r="E23">
        <v>8</v>
      </c>
      <c r="F23" s="25">
        <f>IF(E23=1,C23,G22)</f>
        <v>46512</v>
      </c>
      <c r="G23" s="25">
        <f>IF(E23&lt;参数设置!$B$13,DATE(YEAR(EDATE(C23,E23+1)),MONTH(EDATE(C23,E23+1)),参数设置!$B$14),EDATE(C23,参数设置!$B$13))</f>
        <v>46543</v>
      </c>
      <c r="H23">
        <f>G23-F23</f>
        <v>31</v>
      </c>
      <c r="I23" s="21">
        <f>IF(E23=参数设置!$B$13,D23,0)</f>
        <v>0</v>
      </c>
      <c r="J23" s="21">
        <f>IF(M23=1,ROUND(D23*参数设置!$B$11*H23/参数设置!$B$12,参数设置!$B$15),0)</f>
        <v>66.5</v>
      </c>
      <c r="K23" s="21">
        <f>I23+J23</f>
        <v>66.5</v>
      </c>
      <c r="L23" s="25">
        <f>EDATE(C23,参数设置!$B$13)</f>
        <v>46640</v>
      </c>
      <c r="M23">
        <f>--(D23&gt;0)</f>
        <v>1</v>
      </c>
    </row>
    <row r="24" spans="1:13" ht="15" customHeight="1">
      <c r="A24">
        <v>2</v>
      </c>
      <c r="B24">
        <v>2</v>
      </c>
      <c r="C24" s="25">
        <f>EDATE(参数设置!$B$4,A24-1)</f>
        <v>46275</v>
      </c>
      <c r="D24" s="21">
        <f>IF(AND(A24&lt;=参数设置!$B$6,OR(INDEX(月度资金流!$B$7:$B$42,A24)=策略字典!$A$1,INDEX(月度资金流!$B$7:$B$42,A24)=策略字典!$A$2)),参数设置!$B$5,0)</f>
        <v>23400</v>
      </c>
      <c r="E24">
        <v>9</v>
      </c>
      <c r="F24" s="25">
        <f>IF(E24=1,C24,G23)</f>
        <v>46543</v>
      </c>
      <c r="G24" s="25">
        <f>IF(E24&lt;参数设置!$B$13,DATE(YEAR(EDATE(C24,E24+1)),MONTH(EDATE(C24,E24+1)),参数设置!$B$14),EDATE(C24,参数设置!$B$13))</f>
        <v>46573</v>
      </c>
      <c r="H24">
        <f>G24-F24</f>
        <v>30</v>
      </c>
      <c r="I24" s="21">
        <f>IF(E24=参数设置!$B$13,D24,0)</f>
        <v>0</v>
      </c>
      <c r="J24" s="21">
        <f>IF(M24=1,ROUND(D24*参数设置!$B$11*H24/参数设置!$B$12,参数设置!$B$15),0)</f>
        <v>64.349999999999994</v>
      </c>
      <c r="K24" s="21">
        <f>I24+J24</f>
        <v>64.349999999999994</v>
      </c>
      <c r="L24" s="25">
        <f>EDATE(C24,参数设置!$B$13)</f>
        <v>46640</v>
      </c>
      <c r="M24">
        <f>--(D24&gt;0)</f>
        <v>1</v>
      </c>
    </row>
    <row r="25" spans="1:13" ht="15" customHeight="1">
      <c r="A25">
        <v>2</v>
      </c>
      <c r="B25">
        <v>2</v>
      </c>
      <c r="C25" s="25">
        <f>EDATE(参数设置!$B$4,A25-1)</f>
        <v>46275</v>
      </c>
      <c r="D25" s="21">
        <f>IF(AND(A25&lt;=参数设置!$B$6,OR(INDEX(月度资金流!$B$7:$B$42,A25)=策略字典!$A$1,INDEX(月度资金流!$B$7:$B$42,A25)=策略字典!$A$2)),参数设置!$B$5,0)</f>
        <v>23400</v>
      </c>
      <c r="E25">
        <v>10</v>
      </c>
      <c r="F25" s="25">
        <f>IF(E25=1,C25,G24)</f>
        <v>46573</v>
      </c>
      <c r="G25" s="25">
        <f>IF(E25&lt;参数设置!$B$13,DATE(YEAR(EDATE(C25,E25+1)),MONTH(EDATE(C25,E25+1)),参数设置!$B$14),EDATE(C25,参数设置!$B$13))</f>
        <v>46604</v>
      </c>
      <c r="H25">
        <f>G25-F25</f>
        <v>31</v>
      </c>
      <c r="I25" s="21">
        <f>IF(E25=参数设置!$B$13,D25,0)</f>
        <v>0</v>
      </c>
      <c r="J25" s="21">
        <f>IF(M25=1,ROUND(D25*参数设置!$B$11*H25/参数设置!$B$12,参数设置!$B$15),0)</f>
        <v>66.5</v>
      </c>
      <c r="K25" s="21">
        <f>I25+J25</f>
        <v>66.5</v>
      </c>
      <c r="L25" s="25">
        <f>EDATE(C25,参数设置!$B$13)</f>
        <v>46640</v>
      </c>
      <c r="M25">
        <f>--(D25&gt;0)</f>
        <v>1</v>
      </c>
    </row>
    <row r="26" spans="1:13" ht="15" customHeight="1">
      <c r="A26">
        <v>2</v>
      </c>
      <c r="B26">
        <v>2</v>
      </c>
      <c r="C26" s="25">
        <f>EDATE(参数设置!$B$4,A26-1)</f>
        <v>46275</v>
      </c>
      <c r="D26" s="21">
        <f>IF(AND(A26&lt;=参数设置!$B$6,OR(INDEX(月度资金流!$B$7:$B$42,A26)=策略字典!$A$1,INDEX(月度资金流!$B$7:$B$42,A26)=策略字典!$A$2)),参数设置!$B$5,0)</f>
        <v>23400</v>
      </c>
      <c r="E26">
        <v>11</v>
      </c>
      <c r="F26" s="25">
        <f>IF(E26=1,C26,G25)</f>
        <v>46604</v>
      </c>
      <c r="G26" s="25">
        <f>IF(E26&lt;参数设置!$B$13,DATE(YEAR(EDATE(C26,E26+1)),MONTH(EDATE(C26,E26+1)),参数设置!$B$14),EDATE(C26,参数设置!$B$13))</f>
        <v>46635</v>
      </c>
      <c r="H26">
        <f>G26-F26</f>
        <v>31</v>
      </c>
      <c r="I26" s="21">
        <f>IF(E26=参数设置!$B$13,D26,0)</f>
        <v>0</v>
      </c>
      <c r="J26" s="21">
        <f>IF(M26=1,ROUND(D26*参数设置!$B$11*H26/参数设置!$B$12,参数设置!$B$15),0)</f>
        <v>66.5</v>
      </c>
      <c r="K26" s="21">
        <f>I26+J26</f>
        <v>66.5</v>
      </c>
      <c r="L26" s="25">
        <f>EDATE(C26,参数设置!$B$13)</f>
        <v>46640</v>
      </c>
      <c r="M26">
        <f>--(D26&gt;0)</f>
        <v>1</v>
      </c>
    </row>
    <row r="27" spans="1:13" ht="15" customHeight="1">
      <c r="A27">
        <v>2</v>
      </c>
      <c r="B27">
        <v>2</v>
      </c>
      <c r="C27" s="25">
        <f>EDATE(参数设置!$B$4,A27-1)</f>
        <v>46275</v>
      </c>
      <c r="D27" s="21">
        <f>IF(AND(A27&lt;=参数设置!$B$6,OR(INDEX(月度资金流!$B$7:$B$42,A27)=策略字典!$A$1,INDEX(月度资金流!$B$7:$B$42,A27)=策略字典!$A$2)),参数设置!$B$5,0)</f>
        <v>23400</v>
      </c>
      <c r="E27">
        <v>12</v>
      </c>
      <c r="F27" s="25">
        <f>IF(E27=1,C27,G26)</f>
        <v>46635</v>
      </c>
      <c r="G27" s="25">
        <f>IF(E27&lt;参数设置!$B$13,DATE(YEAR(EDATE(C27,E27+1)),MONTH(EDATE(C27,E27+1)),参数设置!$B$14),EDATE(C27,参数设置!$B$13))</f>
        <v>46640</v>
      </c>
      <c r="H27">
        <f>G27-F27</f>
        <v>5</v>
      </c>
      <c r="I27" s="21">
        <f>IF(E27=参数设置!$B$13,D27,0)</f>
        <v>23400</v>
      </c>
      <c r="J27" s="21">
        <f>IF(M27=1,ROUND(D27*参数设置!$B$11*H27/参数设置!$B$12,参数设置!$B$15),0)</f>
        <v>10.73</v>
      </c>
      <c r="K27" s="21">
        <f>I27+J27</f>
        <v>23410.73</v>
      </c>
      <c r="L27" s="25">
        <f>EDATE(C27,参数设置!$B$13)</f>
        <v>46640</v>
      </c>
      <c r="M27">
        <f>--(D27&gt;0)</f>
        <v>1</v>
      </c>
    </row>
    <row r="28" spans="1:13" ht="15" customHeight="1">
      <c r="A28">
        <v>3</v>
      </c>
      <c r="B28">
        <v>3</v>
      </c>
      <c r="C28" s="25">
        <f>EDATE(参数设置!$B$4,A28-1)</f>
        <v>46305</v>
      </c>
      <c r="D28" s="21">
        <f>IF(AND(A28&lt;=参数设置!$B$6,OR(INDEX(月度资金流!$B$7:$B$42,A28)=策略字典!$A$1,INDEX(月度资金流!$B$7:$B$42,A28)=策略字典!$A$2)),参数设置!$B$5,0)</f>
        <v>23400</v>
      </c>
      <c r="E28">
        <v>1</v>
      </c>
      <c r="F28" s="25">
        <f>IF(E28=1,C28,G27)</f>
        <v>46305</v>
      </c>
      <c r="G28" s="25">
        <f>IF(E28&lt;参数设置!$B$13,DATE(YEAR(EDATE(C28,E28+1)),MONTH(EDATE(C28,E28+1)),参数设置!$B$14),EDATE(C28,参数设置!$B$13))</f>
        <v>46361</v>
      </c>
      <c r="H28">
        <f>G28-F28</f>
        <v>56</v>
      </c>
      <c r="I28" s="21">
        <f>IF(E28=参数设置!$B$13,D28,0)</f>
        <v>0</v>
      </c>
      <c r="J28" s="21">
        <f>IF(M28=1,ROUND(D28*参数设置!$B$11*H28/参数设置!$B$12,参数设置!$B$15),0)</f>
        <v>120.12</v>
      </c>
      <c r="K28" s="21">
        <f>I28+J28</f>
        <v>120.12</v>
      </c>
      <c r="L28" s="25">
        <f>EDATE(C28,参数设置!$B$13)</f>
        <v>46670</v>
      </c>
      <c r="M28">
        <f>--(D28&gt;0)</f>
        <v>1</v>
      </c>
    </row>
    <row r="29" spans="1:13" ht="15" customHeight="1">
      <c r="A29">
        <v>3</v>
      </c>
      <c r="B29">
        <v>3</v>
      </c>
      <c r="C29" s="25">
        <f>EDATE(参数设置!$B$4,A29-1)</f>
        <v>46305</v>
      </c>
      <c r="D29" s="21">
        <f>IF(AND(A29&lt;=参数设置!$B$6,OR(INDEX(月度资金流!$B$7:$B$42,A29)=策略字典!$A$1,INDEX(月度资金流!$B$7:$B$42,A29)=策略字典!$A$2)),参数设置!$B$5,0)</f>
        <v>23400</v>
      </c>
      <c r="E29">
        <v>2</v>
      </c>
      <c r="F29" s="25">
        <f>IF(E29=1,C29,G28)</f>
        <v>46361</v>
      </c>
      <c r="G29" s="25">
        <f>IF(E29&lt;参数设置!$B$13,DATE(YEAR(EDATE(C29,E29+1)),MONTH(EDATE(C29,E29+1)),参数设置!$B$14),EDATE(C29,参数设置!$B$13))</f>
        <v>46392</v>
      </c>
      <c r="H29">
        <f>G29-F29</f>
        <v>31</v>
      </c>
      <c r="I29" s="21">
        <f>IF(E29=参数设置!$B$13,D29,0)</f>
        <v>0</v>
      </c>
      <c r="J29" s="21">
        <f>IF(M29=1,ROUND(D29*参数设置!$B$11*H29/参数设置!$B$12,参数设置!$B$15),0)</f>
        <v>66.5</v>
      </c>
      <c r="K29" s="21">
        <f>I29+J29</f>
        <v>66.5</v>
      </c>
      <c r="L29" s="25">
        <f>EDATE(C29,参数设置!$B$13)</f>
        <v>46670</v>
      </c>
      <c r="M29">
        <f>--(D29&gt;0)</f>
        <v>1</v>
      </c>
    </row>
    <row r="30" spans="1:13" ht="15" customHeight="1">
      <c r="A30">
        <v>3</v>
      </c>
      <c r="B30">
        <v>3</v>
      </c>
      <c r="C30" s="25">
        <f>EDATE(参数设置!$B$4,A30-1)</f>
        <v>46305</v>
      </c>
      <c r="D30" s="21">
        <f>IF(AND(A30&lt;=参数设置!$B$6,OR(INDEX(月度资金流!$B$7:$B$42,A30)=策略字典!$A$1,INDEX(月度资金流!$B$7:$B$42,A30)=策略字典!$A$2)),参数设置!$B$5,0)</f>
        <v>23400</v>
      </c>
      <c r="E30">
        <v>3</v>
      </c>
      <c r="F30" s="25">
        <f>IF(E30=1,C30,G29)</f>
        <v>46392</v>
      </c>
      <c r="G30" s="25">
        <f>IF(E30&lt;参数设置!$B$13,DATE(YEAR(EDATE(C30,E30+1)),MONTH(EDATE(C30,E30+1)),参数设置!$B$14),EDATE(C30,参数设置!$B$13))</f>
        <v>46423</v>
      </c>
      <c r="H30">
        <f>G30-F30</f>
        <v>31</v>
      </c>
      <c r="I30" s="21">
        <f>IF(E30=参数设置!$B$13,D30,0)</f>
        <v>0</v>
      </c>
      <c r="J30" s="21">
        <f>IF(M30=1,ROUND(D30*参数设置!$B$11*H30/参数设置!$B$12,参数设置!$B$15),0)</f>
        <v>66.5</v>
      </c>
      <c r="K30" s="21">
        <f>I30+J30</f>
        <v>66.5</v>
      </c>
      <c r="L30" s="25">
        <f>EDATE(C30,参数设置!$B$13)</f>
        <v>46670</v>
      </c>
      <c r="M30">
        <f>--(D30&gt;0)</f>
        <v>1</v>
      </c>
    </row>
    <row r="31" spans="1:13" ht="15" customHeight="1">
      <c r="A31">
        <v>3</v>
      </c>
      <c r="B31">
        <v>3</v>
      </c>
      <c r="C31" s="25">
        <f>EDATE(参数设置!$B$4,A31-1)</f>
        <v>46305</v>
      </c>
      <c r="D31" s="21">
        <f>IF(AND(A31&lt;=参数设置!$B$6,OR(INDEX(月度资金流!$B$7:$B$42,A31)=策略字典!$A$1,INDEX(月度资金流!$B$7:$B$42,A31)=策略字典!$A$2)),参数设置!$B$5,0)</f>
        <v>23400</v>
      </c>
      <c r="E31">
        <v>4</v>
      </c>
      <c r="F31" s="25">
        <f>IF(E31=1,C31,G30)</f>
        <v>46423</v>
      </c>
      <c r="G31" s="25">
        <f>IF(E31&lt;参数设置!$B$13,DATE(YEAR(EDATE(C31,E31+1)),MONTH(EDATE(C31,E31+1)),参数设置!$B$14),EDATE(C31,参数设置!$B$13))</f>
        <v>46451</v>
      </c>
      <c r="H31">
        <f>G31-F31</f>
        <v>28</v>
      </c>
      <c r="I31" s="21">
        <f>IF(E31=参数设置!$B$13,D31,0)</f>
        <v>0</v>
      </c>
      <c r="J31" s="21">
        <f>IF(M31=1,ROUND(D31*参数设置!$B$11*H31/参数设置!$B$12,参数设置!$B$15),0)</f>
        <v>60.06</v>
      </c>
      <c r="K31" s="21">
        <f>I31+J31</f>
        <v>60.06</v>
      </c>
      <c r="L31" s="25">
        <f>EDATE(C31,参数设置!$B$13)</f>
        <v>46670</v>
      </c>
      <c r="M31">
        <f>--(D31&gt;0)</f>
        <v>1</v>
      </c>
    </row>
    <row r="32" spans="1:13" ht="15" customHeight="1">
      <c r="A32">
        <v>3</v>
      </c>
      <c r="B32">
        <v>3</v>
      </c>
      <c r="C32" s="25">
        <f>EDATE(参数设置!$B$4,A32-1)</f>
        <v>46305</v>
      </c>
      <c r="D32" s="21">
        <f>IF(AND(A32&lt;=参数设置!$B$6,OR(INDEX(月度资金流!$B$7:$B$42,A32)=策略字典!$A$1,INDEX(月度资金流!$B$7:$B$42,A32)=策略字典!$A$2)),参数设置!$B$5,0)</f>
        <v>23400</v>
      </c>
      <c r="E32">
        <v>5</v>
      </c>
      <c r="F32" s="25">
        <f>IF(E32=1,C32,G31)</f>
        <v>46451</v>
      </c>
      <c r="G32" s="25">
        <f>IF(E32&lt;参数设置!$B$13,DATE(YEAR(EDATE(C32,E32+1)),MONTH(EDATE(C32,E32+1)),参数设置!$B$14),EDATE(C32,参数设置!$B$13))</f>
        <v>46482</v>
      </c>
      <c r="H32">
        <f>G32-F32</f>
        <v>31</v>
      </c>
      <c r="I32" s="21">
        <f>IF(E32=参数设置!$B$13,D32,0)</f>
        <v>0</v>
      </c>
      <c r="J32" s="21">
        <f>IF(M32=1,ROUND(D32*参数设置!$B$11*H32/参数设置!$B$12,参数设置!$B$15),0)</f>
        <v>66.5</v>
      </c>
      <c r="K32" s="21">
        <f>I32+J32</f>
        <v>66.5</v>
      </c>
      <c r="L32" s="25">
        <f>EDATE(C32,参数设置!$B$13)</f>
        <v>46670</v>
      </c>
      <c r="M32">
        <f>--(D32&gt;0)</f>
        <v>1</v>
      </c>
    </row>
    <row r="33" spans="1:13" ht="15" customHeight="1">
      <c r="A33">
        <v>3</v>
      </c>
      <c r="B33">
        <v>3</v>
      </c>
      <c r="C33" s="25">
        <f>EDATE(参数设置!$B$4,A33-1)</f>
        <v>46305</v>
      </c>
      <c r="D33" s="21">
        <f>IF(AND(A33&lt;=参数设置!$B$6,OR(INDEX(月度资金流!$B$7:$B$42,A33)=策略字典!$A$1,INDEX(月度资金流!$B$7:$B$42,A33)=策略字典!$A$2)),参数设置!$B$5,0)</f>
        <v>23400</v>
      </c>
      <c r="E33">
        <v>6</v>
      </c>
      <c r="F33" s="25">
        <f>IF(E33=1,C33,G32)</f>
        <v>46482</v>
      </c>
      <c r="G33" s="25">
        <f>IF(E33&lt;参数设置!$B$13,DATE(YEAR(EDATE(C33,E33+1)),MONTH(EDATE(C33,E33+1)),参数设置!$B$14),EDATE(C33,参数设置!$B$13))</f>
        <v>46512</v>
      </c>
      <c r="H33">
        <f>G33-F33</f>
        <v>30</v>
      </c>
      <c r="I33" s="21">
        <f>IF(E33=参数设置!$B$13,D33,0)</f>
        <v>0</v>
      </c>
      <c r="J33" s="21">
        <f>IF(M33=1,ROUND(D33*参数设置!$B$11*H33/参数设置!$B$12,参数设置!$B$15),0)</f>
        <v>64.349999999999994</v>
      </c>
      <c r="K33" s="21">
        <f>I33+J33</f>
        <v>64.349999999999994</v>
      </c>
      <c r="L33" s="25">
        <f>EDATE(C33,参数设置!$B$13)</f>
        <v>46670</v>
      </c>
      <c r="M33">
        <f>--(D33&gt;0)</f>
        <v>1</v>
      </c>
    </row>
    <row r="34" spans="1:13" ht="15" customHeight="1">
      <c r="A34">
        <v>3</v>
      </c>
      <c r="B34">
        <v>3</v>
      </c>
      <c r="C34" s="25">
        <f>EDATE(参数设置!$B$4,A34-1)</f>
        <v>46305</v>
      </c>
      <c r="D34" s="21">
        <f>IF(AND(A34&lt;=参数设置!$B$6,OR(INDEX(月度资金流!$B$7:$B$42,A34)=策略字典!$A$1,INDEX(月度资金流!$B$7:$B$42,A34)=策略字典!$A$2)),参数设置!$B$5,0)</f>
        <v>23400</v>
      </c>
      <c r="E34">
        <v>7</v>
      </c>
      <c r="F34" s="25">
        <f>IF(E34=1,C34,G33)</f>
        <v>46512</v>
      </c>
      <c r="G34" s="25">
        <f>IF(E34&lt;参数设置!$B$13,DATE(YEAR(EDATE(C34,E34+1)),MONTH(EDATE(C34,E34+1)),参数设置!$B$14),EDATE(C34,参数设置!$B$13))</f>
        <v>46543</v>
      </c>
      <c r="H34">
        <f>G34-F34</f>
        <v>31</v>
      </c>
      <c r="I34" s="21">
        <f>IF(E34=参数设置!$B$13,D34,0)</f>
        <v>0</v>
      </c>
      <c r="J34" s="21">
        <f>IF(M34=1,ROUND(D34*参数设置!$B$11*H34/参数设置!$B$12,参数设置!$B$15),0)</f>
        <v>66.5</v>
      </c>
      <c r="K34" s="21">
        <f>I34+J34</f>
        <v>66.5</v>
      </c>
      <c r="L34" s="25">
        <f>EDATE(C34,参数设置!$B$13)</f>
        <v>46670</v>
      </c>
      <c r="M34">
        <f>--(D34&gt;0)</f>
        <v>1</v>
      </c>
    </row>
    <row r="35" spans="1:13" ht="15" customHeight="1">
      <c r="A35">
        <v>3</v>
      </c>
      <c r="B35">
        <v>3</v>
      </c>
      <c r="C35" s="25">
        <f>EDATE(参数设置!$B$4,A35-1)</f>
        <v>46305</v>
      </c>
      <c r="D35" s="21">
        <f>IF(AND(A35&lt;=参数设置!$B$6,OR(INDEX(月度资金流!$B$7:$B$42,A35)=策略字典!$A$1,INDEX(月度资金流!$B$7:$B$42,A35)=策略字典!$A$2)),参数设置!$B$5,0)</f>
        <v>23400</v>
      </c>
      <c r="E35">
        <v>8</v>
      </c>
      <c r="F35" s="25">
        <f>IF(E35=1,C35,G34)</f>
        <v>46543</v>
      </c>
      <c r="G35" s="25">
        <f>IF(E35&lt;参数设置!$B$13,DATE(YEAR(EDATE(C35,E35+1)),MONTH(EDATE(C35,E35+1)),参数设置!$B$14),EDATE(C35,参数设置!$B$13))</f>
        <v>46573</v>
      </c>
      <c r="H35">
        <f>G35-F35</f>
        <v>30</v>
      </c>
      <c r="I35" s="21">
        <f>IF(E35=参数设置!$B$13,D35,0)</f>
        <v>0</v>
      </c>
      <c r="J35" s="21">
        <f>IF(M35=1,ROUND(D35*参数设置!$B$11*H35/参数设置!$B$12,参数设置!$B$15),0)</f>
        <v>64.349999999999994</v>
      </c>
      <c r="K35" s="21">
        <f>I35+J35</f>
        <v>64.349999999999994</v>
      </c>
      <c r="L35" s="25">
        <f>EDATE(C35,参数设置!$B$13)</f>
        <v>46670</v>
      </c>
      <c r="M35">
        <f>--(D35&gt;0)</f>
        <v>1</v>
      </c>
    </row>
    <row r="36" spans="1:13" ht="15" customHeight="1">
      <c r="A36">
        <v>3</v>
      </c>
      <c r="B36">
        <v>3</v>
      </c>
      <c r="C36" s="25">
        <f>EDATE(参数设置!$B$4,A36-1)</f>
        <v>46305</v>
      </c>
      <c r="D36" s="21">
        <f>IF(AND(A36&lt;=参数设置!$B$6,OR(INDEX(月度资金流!$B$7:$B$42,A36)=策略字典!$A$1,INDEX(月度资金流!$B$7:$B$42,A36)=策略字典!$A$2)),参数设置!$B$5,0)</f>
        <v>23400</v>
      </c>
      <c r="E36">
        <v>9</v>
      </c>
      <c r="F36" s="25">
        <f>IF(E36=1,C36,G35)</f>
        <v>46573</v>
      </c>
      <c r="G36" s="25">
        <f>IF(E36&lt;参数设置!$B$13,DATE(YEAR(EDATE(C36,E36+1)),MONTH(EDATE(C36,E36+1)),参数设置!$B$14),EDATE(C36,参数设置!$B$13))</f>
        <v>46604</v>
      </c>
      <c r="H36">
        <f>G36-F36</f>
        <v>31</v>
      </c>
      <c r="I36" s="21">
        <f>IF(E36=参数设置!$B$13,D36,0)</f>
        <v>0</v>
      </c>
      <c r="J36" s="21">
        <f>IF(M36=1,ROUND(D36*参数设置!$B$11*H36/参数设置!$B$12,参数设置!$B$15),0)</f>
        <v>66.5</v>
      </c>
      <c r="K36" s="21">
        <f>I36+J36</f>
        <v>66.5</v>
      </c>
      <c r="L36" s="25">
        <f>EDATE(C36,参数设置!$B$13)</f>
        <v>46670</v>
      </c>
      <c r="M36">
        <f>--(D36&gt;0)</f>
        <v>1</v>
      </c>
    </row>
    <row r="37" spans="1:13" ht="15" customHeight="1">
      <c r="A37">
        <v>3</v>
      </c>
      <c r="B37">
        <v>3</v>
      </c>
      <c r="C37" s="25">
        <f>EDATE(参数设置!$B$4,A37-1)</f>
        <v>46305</v>
      </c>
      <c r="D37" s="21">
        <f>IF(AND(A37&lt;=参数设置!$B$6,OR(INDEX(月度资金流!$B$7:$B$42,A37)=策略字典!$A$1,INDEX(月度资金流!$B$7:$B$42,A37)=策略字典!$A$2)),参数设置!$B$5,0)</f>
        <v>23400</v>
      </c>
      <c r="E37">
        <v>10</v>
      </c>
      <c r="F37" s="25">
        <f>IF(E37=1,C37,G36)</f>
        <v>46604</v>
      </c>
      <c r="G37" s="25">
        <f>IF(E37&lt;参数设置!$B$13,DATE(YEAR(EDATE(C37,E37+1)),MONTH(EDATE(C37,E37+1)),参数设置!$B$14),EDATE(C37,参数设置!$B$13))</f>
        <v>46635</v>
      </c>
      <c r="H37">
        <f>G37-F37</f>
        <v>31</v>
      </c>
      <c r="I37" s="21">
        <f>IF(E37=参数设置!$B$13,D37,0)</f>
        <v>0</v>
      </c>
      <c r="J37" s="21">
        <f>IF(M37=1,ROUND(D37*参数设置!$B$11*H37/参数设置!$B$12,参数设置!$B$15),0)</f>
        <v>66.5</v>
      </c>
      <c r="K37" s="21">
        <f>I37+J37</f>
        <v>66.5</v>
      </c>
      <c r="L37" s="25">
        <f>EDATE(C37,参数设置!$B$13)</f>
        <v>46670</v>
      </c>
      <c r="M37">
        <f>--(D37&gt;0)</f>
        <v>1</v>
      </c>
    </row>
    <row r="38" spans="1:13" ht="15" customHeight="1">
      <c r="A38">
        <v>3</v>
      </c>
      <c r="B38">
        <v>3</v>
      </c>
      <c r="C38" s="25">
        <f>EDATE(参数设置!$B$4,A38-1)</f>
        <v>46305</v>
      </c>
      <c r="D38" s="21">
        <f>IF(AND(A38&lt;=参数设置!$B$6,OR(INDEX(月度资金流!$B$7:$B$42,A38)=策略字典!$A$1,INDEX(月度资金流!$B$7:$B$42,A38)=策略字典!$A$2)),参数设置!$B$5,0)</f>
        <v>23400</v>
      </c>
      <c r="E38">
        <v>11</v>
      </c>
      <c r="F38" s="25">
        <f>IF(E38=1,C38,G37)</f>
        <v>46635</v>
      </c>
      <c r="G38" s="25">
        <f>IF(E38&lt;参数设置!$B$13,DATE(YEAR(EDATE(C38,E38+1)),MONTH(EDATE(C38,E38+1)),参数设置!$B$14),EDATE(C38,参数设置!$B$13))</f>
        <v>46665</v>
      </c>
      <c r="H38">
        <f>G38-F38</f>
        <v>30</v>
      </c>
      <c r="I38" s="21">
        <f>IF(E38=参数设置!$B$13,D38,0)</f>
        <v>0</v>
      </c>
      <c r="J38" s="21">
        <f>IF(M38=1,ROUND(D38*参数设置!$B$11*H38/参数设置!$B$12,参数设置!$B$15),0)</f>
        <v>64.349999999999994</v>
      </c>
      <c r="K38" s="21">
        <f>I38+J38</f>
        <v>64.349999999999994</v>
      </c>
      <c r="L38" s="25">
        <f>EDATE(C38,参数设置!$B$13)</f>
        <v>46670</v>
      </c>
      <c r="M38">
        <f>--(D38&gt;0)</f>
        <v>1</v>
      </c>
    </row>
    <row r="39" spans="1:13" ht="15" customHeight="1">
      <c r="A39">
        <v>3</v>
      </c>
      <c r="B39">
        <v>3</v>
      </c>
      <c r="C39" s="25">
        <f>EDATE(参数设置!$B$4,A39-1)</f>
        <v>46305</v>
      </c>
      <c r="D39" s="21">
        <f>IF(AND(A39&lt;=参数设置!$B$6,OR(INDEX(月度资金流!$B$7:$B$42,A39)=策略字典!$A$1,INDEX(月度资金流!$B$7:$B$42,A39)=策略字典!$A$2)),参数设置!$B$5,0)</f>
        <v>23400</v>
      </c>
      <c r="E39">
        <v>12</v>
      </c>
      <c r="F39" s="25">
        <f>IF(E39=1,C39,G38)</f>
        <v>46665</v>
      </c>
      <c r="G39" s="25">
        <f>IF(E39&lt;参数设置!$B$13,DATE(YEAR(EDATE(C39,E39+1)),MONTH(EDATE(C39,E39+1)),参数设置!$B$14),EDATE(C39,参数设置!$B$13))</f>
        <v>46670</v>
      </c>
      <c r="H39">
        <f>G39-F39</f>
        <v>5</v>
      </c>
      <c r="I39" s="21">
        <f>IF(E39=参数设置!$B$13,D39,0)</f>
        <v>23400</v>
      </c>
      <c r="J39" s="21">
        <f>IF(M39=1,ROUND(D39*参数设置!$B$11*H39/参数设置!$B$12,参数设置!$B$15),0)</f>
        <v>10.73</v>
      </c>
      <c r="K39" s="21">
        <f>I39+J39</f>
        <v>23410.73</v>
      </c>
      <c r="L39" s="25">
        <f>EDATE(C39,参数设置!$B$13)</f>
        <v>46670</v>
      </c>
      <c r="M39">
        <f>--(D39&gt;0)</f>
        <v>1</v>
      </c>
    </row>
    <row r="40" spans="1:13" ht="15" customHeight="1">
      <c r="A40">
        <v>4</v>
      </c>
      <c r="B40">
        <v>4</v>
      </c>
      <c r="C40" s="25">
        <f>EDATE(参数设置!$B$4,A40-1)</f>
        <v>46336</v>
      </c>
      <c r="D40" s="21">
        <f>IF(AND(A40&lt;=参数设置!$B$6,OR(INDEX(月度资金流!$B$7:$B$42,A40)=策略字典!$A$1,INDEX(月度资金流!$B$7:$B$42,A40)=策略字典!$A$2)),参数设置!$B$5,0)</f>
        <v>23400</v>
      </c>
      <c r="E40">
        <v>1</v>
      </c>
      <c r="F40" s="25">
        <f>IF(E40=1,C40,G39)</f>
        <v>46336</v>
      </c>
      <c r="G40" s="25">
        <f>IF(E40&lt;参数设置!$B$13,DATE(YEAR(EDATE(C40,E40+1)),MONTH(EDATE(C40,E40+1)),参数设置!$B$14),EDATE(C40,参数设置!$B$13))</f>
        <v>46392</v>
      </c>
      <c r="H40">
        <f>G40-F40</f>
        <v>56</v>
      </c>
      <c r="I40" s="21">
        <f>IF(E40=参数设置!$B$13,D40,0)</f>
        <v>0</v>
      </c>
      <c r="J40" s="21">
        <f>IF(M40=1,ROUND(D40*参数设置!$B$11*H40/参数设置!$B$12,参数设置!$B$15),0)</f>
        <v>120.12</v>
      </c>
      <c r="K40" s="21">
        <f>I40+J40</f>
        <v>120.12</v>
      </c>
      <c r="L40" s="25">
        <f>EDATE(C40,参数设置!$B$13)</f>
        <v>46701</v>
      </c>
      <c r="M40">
        <f>--(D40&gt;0)</f>
        <v>1</v>
      </c>
    </row>
    <row r="41" spans="1:13" ht="15" customHeight="1">
      <c r="A41">
        <v>4</v>
      </c>
      <c r="B41">
        <v>4</v>
      </c>
      <c r="C41" s="25">
        <f>EDATE(参数设置!$B$4,A41-1)</f>
        <v>46336</v>
      </c>
      <c r="D41" s="21">
        <f>IF(AND(A41&lt;=参数设置!$B$6,OR(INDEX(月度资金流!$B$7:$B$42,A41)=策略字典!$A$1,INDEX(月度资金流!$B$7:$B$42,A41)=策略字典!$A$2)),参数设置!$B$5,0)</f>
        <v>23400</v>
      </c>
      <c r="E41">
        <v>2</v>
      </c>
      <c r="F41" s="25">
        <f>IF(E41=1,C41,G40)</f>
        <v>46392</v>
      </c>
      <c r="G41" s="25">
        <f>IF(E41&lt;参数设置!$B$13,DATE(YEAR(EDATE(C41,E41+1)),MONTH(EDATE(C41,E41+1)),参数设置!$B$14),EDATE(C41,参数设置!$B$13))</f>
        <v>46423</v>
      </c>
      <c r="H41">
        <f>G41-F41</f>
        <v>31</v>
      </c>
      <c r="I41" s="21">
        <f>IF(E41=参数设置!$B$13,D41,0)</f>
        <v>0</v>
      </c>
      <c r="J41" s="21">
        <f>IF(M41=1,ROUND(D41*参数设置!$B$11*H41/参数设置!$B$12,参数设置!$B$15),0)</f>
        <v>66.5</v>
      </c>
      <c r="K41" s="21">
        <f>I41+J41</f>
        <v>66.5</v>
      </c>
      <c r="L41" s="25">
        <f>EDATE(C41,参数设置!$B$13)</f>
        <v>46701</v>
      </c>
      <c r="M41">
        <f>--(D41&gt;0)</f>
        <v>1</v>
      </c>
    </row>
    <row r="42" spans="1:13" ht="15" customHeight="1">
      <c r="A42">
        <v>4</v>
      </c>
      <c r="B42">
        <v>4</v>
      </c>
      <c r="C42" s="25">
        <f>EDATE(参数设置!$B$4,A42-1)</f>
        <v>46336</v>
      </c>
      <c r="D42" s="21">
        <f>IF(AND(A42&lt;=参数设置!$B$6,OR(INDEX(月度资金流!$B$7:$B$42,A42)=策略字典!$A$1,INDEX(月度资金流!$B$7:$B$42,A42)=策略字典!$A$2)),参数设置!$B$5,0)</f>
        <v>23400</v>
      </c>
      <c r="E42">
        <v>3</v>
      </c>
      <c r="F42" s="25">
        <f>IF(E42=1,C42,G41)</f>
        <v>46423</v>
      </c>
      <c r="G42" s="25">
        <f>IF(E42&lt;参数设置!$B$13,DATE(YEAR(EDATE(C42,E42+1)),MONTH(EDATE(C42,E42+1)),参数设置!$B$14),EDATE(C42,参数设置!$B$13))</f>
        <v>46451</v>
      </c>
      <c r="H42">
        <f>G42-F42</f>
        <v>28</v>
      </c>
      <c r="I42" s="21">
        <f>IF(E42=参数设置!$B$13,D42,0)</f>
        <v>0</v>
      </c>
      <c r="J42" s="21">
        <f>IF(M42=1,ROUND(D42*参数设置!$B$11*H42/参数设置!$B$12,参数设置!$B$15),0)</f>
        <v>60.06</v>
      </c>
      <c r="K42" s="21">
        <f>I42+J42</f>
        <v>60.06</v>
      </c>
      <c r="L42" s="25">
        <f>EDATE(C42,参数设置!$B$13)</f>
        <v>46701</v>
      </c>
      <c r="M42">
        <f>--(D42&gt;0)</f>
        <v>1</v>
      </c>
    </row>
    <row r="43" spans="1:13" ht="15" customHeight="1">
      <c r="A43">
        <v>4</v>
      </c>
      <c r="B43">
        <v>4</v>
      </c>
      <c r="C43" s="25">
        <f>EDATE(参数设置!$B$4,A43-1)</f>
        <v>46336</v>
      </c>
      <c r="D43" s="21">
        <f>IF(AND(A43&lt;=参数设置!$B$6,OR(INDEX(月度资金流!$B$7:$B$42,A43)=策略字典!$A$1,INDEX(月度资金流!$B$7:$B$42,A43)=策略字典!$A$2)),参数设置!$B$5,0)</f>
        <v>23400</v>
      </c>
      <c r="E43">
        <v>4</v>
      </c>
      <c r="F43" s="25">
        <f>IF(E43=1,C43,G42)</f>
        <v>46451</v>
      </c>
      <c r="G43" s="25">
        <f>IF(E43&lt;参数设置!$B$13,DATE(YEAR(EDATE(C43,E43+1)),MONTH(EDATE(C43,E43+1)),参数设置!$B$14),EDATE(C43,参数设置!$B$13))</f>
        <v>46482</v>
      </c>
      <c r="H43">
        <f>G43-F43</f>
        <v>31</v>
      </c>
      <c r="I43" s="21">
        <f>IF(E43=参数设置!$B$13,D43,0)</f>
        <v>0</v>
      </c>
      <c r="J43" s="21">
        <f>IF(M43=1,ROUND(D43*参数设置!$B$11*H43/参数设置!$B$12,参数设置!$B$15),0)</f>
        <v>66.5</v>
      </c>
      <c r="K43" s="21">
        <f>I43+J43</f>
        <v>66.5</v>
      </c>
      <c r="L43" s="25">
        <f>EDATE(C43,参数设置!$B$13)</f>
        <v>46701</v>
      </c>
      <c r="M43">
        <f>--(D43&gt;0)</f>
        <v>1</v>
      </c>
    </row>
    <row r="44" spans="1:13" ht="15" customHeight="1">
      <c r="A44">
        <v>4</v>
      </c>
      <c r="B44">
        <v>4</v>
      </c>
      <c r="C44" s="25">
        <f>EDATE(参数设置!$B$4,A44-1)</f>
        <v>46336</v>
      </c>
      <c r="D44" s="21">
        <f>IF(AND(A44&lt;=参数设置!$B$6,OR(INDEX(月度资金流!$B$7:$B$42,A44)=策略字典!$A$1,INDEX(月度资金流!$B$7:$B$42,A44)=策略字典!$A$2)),参数设置!$B$5,0)</f>
        <v>23400</v>
      </c>
      <c r="E44">
        <v>5</v>
      </c>
      <c r="F44" s="25">
        <f>IF(E44=1,C44,G43)</f>
        <v>46482</v>
      </c>
      <c r="G44" s="25">
        <f>IF(E44&lt;参数设置!$B$13,DATE(YEAR(EDATE(C44,E44+1)),MONTH(EDATE(C44,E44+1)),参数设置!$B$14),EDATE(C44,参数设置!$B$13))</f>
        <v>46512</v>
      </c>
      <c r="H44">
        <f>G44-F44</f>
        <v>30</v>
      </c>
      <c r="I44" s="21">
        <f>IF(E44=参数设置!$B$13,D44,0)</f>
        <v>0</v>
      </c>
      <c r="J44" s="21">
        <f>IF(M44=1,ROUND(D44*参数设置!$B$11*H44/参数设置!$B$12,参数设置!$B$15),0)</f>
        <v>64.349999999999994</v>
      </c>
      <c r="K44" s="21">
        <f>I44+J44</f>
        <v>64.349999999999994</v>
      </c>
      <c r="L44" s="25">
        <f>EDATE(C44,参数设置!$B$13)</f>
        <v>46701</v>
      </c>
      <c r="M44">
        <f>--(D44&gt;0)</f>
        <v>1</v>
      </c>
    </row>
    <row r="45" spans="1:13" ht="15" customHeight="1">
      <c r="A45">
        <v>4</v>
      </c>
      <c r="B45">
        <v>4</v>
      </c>
      <c r="C45" s="25">
        <f>EDATE(参数设置!$B$4,A45-1)</f>
        <v>46336</v>
      </c>
      <c r="D45" s="21">
        <f>IF(AND(A45&lt;=参数设置!$B$6,OR(INDEX(月度资金流!$B$7:$B$42,A45)=策略字典!$A$1,INDEX(月度资金流!$B$7:$B$42,A45)=策略字典!$A$2)),参数设置!$B$5,0)</f>
        <v>23400</v>
      </c>
      <c r="E45">
        <v>6</v>
      </c>
      <c r="F45" s="25">
        <f>IF(E45=1,C45,G44)</f>
        <v>46512</v>
      </c>
      <c r="G45" s="25">
        <f>IF(E45&lt;参数设置!$B$13,DATE(YEAR(EDATE(C45,E45+1)),MONTH(EDATE(C45,E45+1)),参数设置!$B$14),EDATE(C45,参数设置!$B$13))</f>
        <v>46543</v>
      </c>
      <c r="H45">
        <f>G45-F45</f>
        <v>31</v>
      </c>
      <c r="I45" s="21">
        <f>IF(E45=参数设置!$B$13,D45,0)</f>
        <v>0</v>
      </c>
      <c r="J45" s="21">
        <f>IF(M45=1,ROUND(D45*参数设置!$B$11*H45/参数设置!$B$12,参数设置!$B$15),0)</f>
        <v>66.5</v>
      </c>
      <c r="K45" s="21">
        <f>I45+J45</f>
        <v>66.5</v>
      </c>
      <c r="L45" s="25">
        <f>EDATE(C45,参数设置!$B$13)</f>
        <v>46701</v>
      </c>
      <c r="M45">
        <f>--(D45&gt;0)</f>
        <v>1</v>
      </c>
    </row>
    <row r="46" spans="1:13" ht="15" customHeight="1">
      <c r="A46">
        <v>4</v>
      </c>
      <c r="B46">
        <v>4</v>
      </c>
      <c r="C46" s="25">
        <f>EDATE(参数设置!$B$4,A46-1)</f>
        <v>46336</v>
      </c>
      <c r="D46" s="21">
        <f>IF(AND(A46&lt;=参数设置!$B$6,OR(INDEX(月度资金流!$B$7:$B$42,A46)=策略字典!$A$1,INDEX(月度资金流!$B$7:$B$42,A46)=策略字典!$A$2)),参数设置!$B$5,0)</f>
        <v>23400</v>
      </c>
      <c r="E46">
        <v>7</v>
      </c>
      <c r="F46" s="25">
        <f>IF(E46=1,C46,G45)</f>
        <v>46543</v>
      </c>
      <c r="G46" s="25">
        <f>IF(E46&lt;参数设置!$B$13,DATE(YEAR(EDATE(C46,E46+1)),MONTH(EDATE(C46,E46+1)),参数设置!$B$14),EDATE(C46,参数设置!$B$13))</f>
        <v>46573</v>
      </c>
      <c r="H46">
        <f>G46-F46</f>
        <v>30</v>
      </c>
      <c r="I46" s="21">
        <f>IF(E46=参数设置!$B$13,D46,0)</f>
        <v>0</v>
      </c>
      <c r="J46" s="21">
        <f>IF(M46=1,ROUND(D46*参数设置!$B$11*H46/参数设置!$B$12,参数设置!$B$15),0)</f>
        <v>64.349999999999994</v>
      </c>
      <c r="K46" s="21">
        <f>I46+J46</f>
        <v>64.349999999999994</v>
      </c>
      <c r="L46" s="25">
        <f>EDATE(C46,参数设置!$B$13)</f>
        <v>46701</v>
      </c>
      <c r="M46">
        <f>--(D46&gt;0)</f>
        <v>1</v>
      </c>
    </row>
    <row r="47" spans="1:13" ht="15" customHeight="1">
      <c r="A47">
        <v>4</v>
      </c>
      <c r="B47">
        <v>4</v>
      </c>
      <c r="C47" s="25">
        <f>EDATE(参数设置!$B$4,A47-1)</f>
        <v>46336</v>
      </c>
      <c r="D47" s="21">
        <f>IF(AND(A47&lt;=参数设置!$B$6,OR(INDEX(月度资金流!$B$7:$B$42,A47)=策略字典!$A$1,INDEX(月度资金流!$B$7:$B$42,A47)=策略字典!$A$2)),参数设置!$B$5,0)</f>
        <v>23400</v>
      </c>
      <c r="E47">
        <v>8</v>
      </c>
      <c r="F47" s="25">
        <f>IF(E47=1,C47,G46)</f>
        <v>46573</v>
      </c>
      <c r="G47" s="25">
        <f>IF(E47&lt;参数设置!$B$13,DATE(YEAR(EDATE(C47,E47+1)),MONTH(EDATE(C47,E47+1)),参数设置!$B$14),EDATE(C47,参数设置!$B$13))</f>
        <v>46604</v>
      </c>
      <c r="H47">
        <f>G47-F47</f>
        <v>31</v>
      </c>
      <c r="I47" s="21">
        <f>IF(E47=参数设置!$B$13,D47,0)</f>
        <v>0</v>
      </c>
      <c r="J47" s="21">
        <f>IF(M47=1,ROUND(D47*参数设置!$B$11*H47/参数设置!$B$12,参数设置!$B$15),0)</f>
        <v>66.5</v>
      </c>
      <c r="K47" s="21">
        <f>I47+J47</f>
        <v>66.5</v>
      </c>
      <c r="L47" s="25">
        <f>EDATE(C47,参数设置!$B$13)</f>
        <v>46701</v>
      </c>
      <c r="M47">
        <f>--(D47&gt;0)</f>
        <v>1</v>
      </c>
    </row>
    <row r="48" spans="1:13" ht="15" customHeight="1">
      <c r="A48">
        <v>4</v>
      </c>
      <c r="B48">
        <v>4</v>
      </c>
      <c r="C48" s="25">
        <f>EDATE(参数设置!$B$4,A48-1)</f>
        <v>46336</v>
      </c>
      <c r="D48" s="21">
        <f>IF(AND(A48&lt;=参数设置!$B$6,OR(INDEX(月度资金流!$B$7:$B$42,A48)=策略字典!$A$1,INDEX(月度资金流!$B$7:$B$42,A48)=策略字典!$A$2)),参数设置!$B$5,0)</f>
        <v>23400</v>
      </c>
      <c r="E48">
        <v>9</v>
      </c>
      <c r="F48" s="25">
        <f>IF(E48=1,C48,G47)</f>
        <v>46604</v>
      </c>
      <c r="G48" s="25">
        <f>IF(E48&lt;参数设置!$B$13,DATE(YEAR(EDATE(C48,E48+1)),MONTH(EDATE(C48,E48+1)),参数设置!$B$14),EDATE(C48,参数设置!$B$13))</f>
        <v>46635</v>
      </c>
      <c r="H48">
        <f>G48-F48</f>
        <v>31</v>
      </c>
      <c r="I48" s="21">
        <f>IF(E48=参数设置!$B$13,D48,0)</f>
        <v>0</v>
      </c>
      <c r="J48" s="21">
        <f>IF(M48=1,ROUND(D48*参数设置!$B$11*H48/参数设置!$B$12,参数设置!$B$15),0)</f>
        <v>66.5</v>
      </c>
      <c r="K48" s="21">
        <f>I48+J48</f>
        <v>66.5</v>
      </c>
      <c r="L48" s="25">
        <f>EDATE(C48,参数设置!$B$13)</f>
        <v>46701</v>
      </c>
      <c r="M48">
        <f>--(D48&gt;0)</f>
        <v>1</v>
      </c>
    </row>
    <row r="49" spans="1:13" ht="15" customHeight="1">
      <c r="A49">
        <v>4</v>
      </c>
      <c r="B49">
        <v>4</v>
      </c>
      <c r="C49" s="25">
        <f>EDATE(参数设置!$B$4,A49-1)</f>
        <v>46336</v>
      </c>
      <c r="D49" s="21">
        <f>IF(AND(A49&lt;=参数设置!$B$6,OR(INDEX(月度资金流!$B$7:$B$42,A49)=策略字典!$A$1,INDEX(月度资金流!$B$7:$B$42,A49)=策略字典!$A$2)),参数设置!$B$5,0)</f>
        <v>23400</v>
      </c>
      <c r="E49">
        <v>10</v>
      </c>
      <c r="F49" s="25">
        <f>IF(E49=1,C49,G48)</f>
        <v>46635</v>
      </c>
      <c r="G49" s="25">
        <f>IF(E49&lt;参数设置!$B$13,DATE(YEAR(EDATE(C49,E49+1)),MONTH(EDATE(C49,E49+1)),参数设置!$B$14),EDATE(C49,参数设置!$B$13))</f>
        <v>46665</v>
      </c>
      <c r="H49">
        <f>G49-F49</f>
        <v>30</v>
      </c>
      <c r="I49" s="21">
        <f>IF(E49=参数设置!$B$13,D49,0)</f>
        <v>0</v>
      </c>
      <c r="J49" s="21">
        <f>IF(M49=1,ROUND(D49*参数设置!$B$11*H49/参数设置!$B$12,参数设置!$B$15),0)</f>
        <v>64.349999999999994</v>
      </c>
      <c r="K49" s="21">
        <f>I49+J49</f>
        <v>64.349999999999994</v>
      </c>
      <c r="L49" s="25">
        <f>EDATE(C49,参数设置!$B$13)</f>
        <v>46701</v>
      </c>
      <c r="M49">
        <f>--(D49&gt;0)</f>
        <v>1</v>
      </c>
    </row>
    <row r="50" spans="1:13" ht="15" customHeight="1">
      <c r="A50">
        <v>4</v>
      </c>
      <c r="B50">
        <v>4</v>
      </c>
      <c r="C50" s="25">
        <f>EDATE(参数设置!$B$4,A50-1)</f>
        <v>46336</v>
      </c>
      <c r="D50" s="21">
        <f>IF(AND(A50&lt;=参数设置!$B$6,OR(INDEX(月度资金流!$B$7:$B$42,A50)=策略字典!$A$1,INDEX(月度资金流!$B$7:$B$42,A50)=策略字典!$A$2)),参数设置!$B$5,0)</f>
        <v>23400</v>
      </c>
      <c r="E50">
        <v>11</v>
      </c>
      <c r="F50" s="25">
        <f>IF(E50=1,C50,G49)</f>
        <v>46665</v>
      </c>
      <c r="G50" s="25">
        <f>IF(E50&lt;参数设置!$B$13,DATE(YEAR(EDATE(C50,E50+1)),MONTH(EDATE(C50,E50+1)),参数设置!$B$14),EDATE(C50,参数设置!$B$13))</f>
        <v>46696</v>
      </c>
      <c r="H50">
        <f>G50-F50</f>
        <v>31</v>
      </c>
      <c r="I50" s="21">
        <f>IF(E50=参数设置!$B$13,D50,0)</f>
        <v>0</v>
      </c>
      <c r="J50" s="21">
        <f>IF(M50=1,ROUND(D50*参数设置!$B$11*H50/参数设置!$B$12,参数设置!$B$15),0)</f>
        <v>66.5</v>
      </c>
      <c r="K50" s="21">
        <f>I50+J50</f>
        <v>66.5</v>
      </c>
      <c r="L50" s="25">
        <f>EDATE(C50,参数设置!$B$13)</f>
        <v>46701</v>
      </c>
      <c r="M50">
        <f>--(D50&gt;0)</f>
        <v>1</v>
      </c>
    </row>
    <row r="51" spans="1:13" ht="15" customHeight="1">
      <c r="A51">
        <v>4</v>
      </c>
      <c r="B51">
        <v>4</v>
      </c>
      <c r="C51" s="25">
        <f>EDATE(参数设置!$B$4,A51-1)</f>
        <v>46336</v>
      </c>
      <c r="D51" s="21">
        <f>IF(AND(A51&lt;=参数设置!$B$6,OR(INDEX(月度资金流!$B$7:$B$42,A51)=策略字典!$A$1,INDEX(月度资金流!$B$7:$B$42,A51)=策略字典!$A$2)),参数设置!$B$5,0)</f>
        <v>23400</v>
      </c>
      <c r="E51">
        <v>12</v>
      </c>
      <c r="F51" s="25">
        <f>IF(E51=1,C51,G50)</f>
        <v>46696</v>
      </c>
      <c r="G51" s="25">
        <f>IF(E51&lt;参数设置!$B$13,DATE(YEAR(EDATE(C51,E51+1)),MONTH(EDATE(C51,E51+1)),参数设置!$B$14),EDATE(C51,参数设置!$B$13))</f>
        <v>46701</v>
      </c>
      <c r="H51">
        <f>G51-F51</f>
        <v>5</v>
      </c>
      <c r="I51" s="21">
        <f>IF(E51=参数设置!$B$13,D51,0)</f>
        <v>23400</v>
      </c>
      <c r="J51" s="21">
        <f>IF(M51=1,ROUND(D51*参数设置!$B$11*H51/参数设置!$B$12,参数设置!$B$15),0)</f>
        <v>10.73</v>
      </c>
      <c r="K51" s="21">
        <f>I51+J51</f>
        <v>23410.73</v>
      </c>
      <c r="L51" s="25">
        <f>EDATE(C51,参数设置!$B$13)</f>
        <v>46701</v>
      </c>
      <c r="M51">
        <f>--(D51&gt;0)</f>
        <v>1</v>
      </c>
    </row>
    <row r="52" spans="1:13" ht="15" customHeight="1">
      <c r="A52">
        <v>5</v>
      </c>
      <c r="B52">
        <v>5</v>
      </c>
      <c r="C52" s="25">
        <f>EDATE(参数设置!$B$4,A52-1)</f>
        <v>46366</v>
      </c>
      <c r="D52" s="21">
        <f>IF(AND(A52&lt;=参数设置!$B$6,OR(INDEX(月度资金流!$B$7:$B$42,A52)=策略字典!$A$1,INDEX(月度资金流!$B$7:$B$42,A52)=策略字典!$A$2)),参数设置!$B$5,0)</f>
        <v>23400</v>
      </c>
      <c r="E52">
        <v>1</v>
      </c>
      <c r="F52" s="25">
        <f>IF(E52=1,C52,G51)</f>
        <v>46366</v>
      </c>
      <c r="G52" s="25">
        <f>IF(E52&lt;参数设置!$B$13,DATE(YEAR(EDATE(C52,E52+1)),MONTH(EDATE(C52,E52+1)),参数设置!$B$14),EDATE(C52,参数设置!$B$13))</f>
        <v>46423</v>
      </c>
      <c r="H52">
        <f>G52-F52</f>
        <v>57</v>
      </c>
      <c r="I52" s="21">
        <f>IF(E52=参数设置!$B$13,D52,0)</f>
        <v>0</v>
      </c>
      <c r="J52" s="21">
        <f>IF(M52=1,ROUND(D52*参数设置!$B$11*H52/参数设置!$B$12,参数设置!$B$15),0)</f>
        <v>122.27</v>
      </c>
      <c r="K52" s="21">
        <f>I52+J52</f>
        <v>122.27</v>
      </c>
      <c r="L52" s="25">
        <f>EDATE(C52,参数设置!$B$13)</f>
        <v>46731</v>
      </c>
      <c r="M52">
        <f>--(D52&gt;0)</f>
        <v>1</v>
      </c>
    </row>
    <row r="53" spans="1:13" ht="15" customHeight="1">
      <c r="A53">
        <v>5</v>
      </c>
      <c r="B53">
        <v>5</v>
      </c>
      <c r="C53" s="25">
        <f>EDATE(参数设置!$B$4,A53-1)</f>
        <v>46366</v>
      </c>
      <c r="D53" s="21">
        <f>IF(AND(A53&lt;=参数设置!$B$6,OR(INDEX(月度资金流!$B$7:$B$42,A53)=策略字典!$A$1,INDEX(月度资金流!$B$7:$B$42,A53)=策略字典!$A$2)),参数设置!$B$5,0)</f>
        <v>23400</v>
      </c>
      <c r="E53">
        <v>2</v>
      </c>
      <c r="F53" s="25">
        <f>IF(E53=1,C53,G52)</f>
        <v>46423</v>
      </c>
      <c r="G53" s="25">
        <f>IF(E53&lt;参数设置!$B$13,DATE(YEAR(EDATE(C53,E53+1)),MONTH(EDATE(C53,E53+1)),参数设置!$B$14),EDATE(C53,参数设置!$B$13))</f>
        <v>46451</v>
      </c>
      <c r="H53">
        <f>G53-F53</f>
        <v>28</v>
      </c>
      <c r="I53" s="21">
        <f>IF(E53=参数设置!$B$13,D53,0)</f>
        <v>0</v>
      </c>
      <c r="J53" s="21">
        <f>IF(M53=1,ROUND(D53*参数设置!$B$11*H53/参数设置!$B$12,参数设置!$B$15),0)</f>
        <v>60.06</v>
      </c>
      <c r="K53" s="21">
        <f>I53+J53</f>
        <v>60.06</v>
      </c>
      <c r="L53" s="25">
        <f>EDATE(C53,参数设置!$B$13)</f>
        <v>46731</v>
      </c>
      <c r="M53">
        <f>--(D53&gt;0)</f>
        <v>1</v>
      </c>
    </row>
    <row r="54" spans="1:13" ht="15" customHeight="1">
      <c r="A54">
        <v>5</v>
      </c>
      <c r="B54">
        <v>5</v>
      </c>
      <c r="C54" s="25">
        <f>EDATE(参数设置!$B$4,A54-1)</f>
        <v>46366</v>
      </c>
      <c r="D54" s="21">
        <f>IF(AND(A54&lt;=参数设置!$B$6,OR(INDEX(月度资金流!$B$7:$B$42,A54)=策略字典!$A$1,INDEX(月度资金流!$B$7:$B$42,A54)=策略字典!$A$2)),参数设置!$B$5,0)</f>
        <v>23400</v>
      </c>
      <c r="E54">
        <v>3</v>
      </c>
      <c r="F54" s="25">
        <f>IF(E54=1,C54,G53)</f>
        <v>46451</v>
      </c>
      <c r="G54" s="25">
        <f>IF(E54&lt;参数设置!$B$13,DATE(YEAR(EDATE(C54,E54+1)),MONTH(EDATE(C54,E54+1)),参数设置!$B$14),EDATE(C54,参数设置!$B$13))</f>
        <v>46482</v>
      </c>
      <c r="H54">
        <f>G54-F54</f>
        <v>31</v>
      </c>
      <c r="I54" s="21">
        <f>IF(E54=参数设置!$B$13,D54,0)</f>
        <v>0</v>
      </c>
      <c r="J54" s="21">
        <f>IF(M54=1,ROUND(D54*参数设置!$B$11*H54/参数设置!$B$12,参数设置!$B$15),0)</f>
        <v>66.5</v>
      </c>
      <c r="K54" s="21">
        <f>I54+J54</f>
        <v>66.5</v>
      </c>
      <c r="L54" s="25">
        <f>EDATE(C54,参数设置!$B$13)</f>
        <v>46731</v>
      </c>
      <c r="M54">
        <f>--(D54&gt;0)</f>
        <v>1</v>
      </c>
    </row>
    <row r="55" spans="1:13" ht="15" customHeight="1">
      <c r="A55">
        <v>5</v>
      </c>
      <c r="B55">
        <v>5</v>
      </c>
      <c r="C55" s="25">
        <f>EDATE(参数设置!$B$4,A55-1)</f>
        <v>46366</v>
      </c>
      <c r="D55" s="21">
        <f>IF(AND(A55&lt;=参数设置!$B$6,OR(INDEX(月度资金流!$B$7:$B$42,A55)=策略字典!$A$1,INDEX(月度资金流!$B$7:$B$42,A55)=策略字典!$A$2)),参数设置!$B$5,0)</f>
        <v>23400</v>
      </c>
      <c r="E55">
        <v>4</v>
      </c>
      <c r="F55" s="25">
        <f>IF(E55=1,C55,G54)</f>
        <v>46482</v>
      </c>
      <c r="G55" s="25">
        <f>IF(E55&lt;参数设置!$B$13,DATE(YEAR(EDATE(C55,E55+1)),MONTH(EDATE(C55,E55+1)),参数设置!$B$14),EDATE(C55,参数设置!$B$13))</f>
        <v>46512</v>
      </c>
      <c r="H55">
        <f>G55-F55</f>
        <v>30</v>
      </c>
      <c r="I55" s="21">
        <f>IF(E55=参数设置!$B$13,D55,0)</f>
        <v>0</v>
      </c>
      <c r="J55" s="21">
        <f>IF(M55=1,ROUND(D55*参数设置!$B$11*H55/参数设置!$B$12,参数设置!$B$15),0)</f>
        <v>64.349999999999994</v>
      </c>
      <c r="K55" s="21">
        <f>I55+J55</f>
        <v>64.349999999999994</v>
      </c>
      <c r="L55" s="25">
        <f>EDATE(C55,参数设置!$B$13)</f>
        <v>46731</v>
      </c>
      <c r="M55">
        <f>--(D55&gt;0)</f>
        <v>1</v>
      </c>
    </row>
    <row r="56" spans="1:13" ht="15" customHeight="1">
      <c r="A56">
        <v>5</v>
      </c>
      <c r="B56">
        <v>5</v>
      </c>
      <c r="C56" s="25">
        <f>EDATE(参数设置!$B$4,A56-1)</f>
        <v>46366</v>
      </c>
      <c r="D56" s="21">
        <f>IF(AND(A56&lt;=参数设置!$B$6,OR(INDEX(月度资金流!$B$7:$B$42,A56)=策略字典!$A$1,INDEX(月度资金流!$B$7:$B$42,A56)=策略字典!$A$2)),参数设置!$B$5,0)</f>
        <v>23400</v>
      </c>
      <c r="E56">
        <v>5</v>
      </c>
      <c r="F56" s="25">
        <f>IF(E56=1,C56,G55)</f>
        <v>46512</v>
      </c>
      <c r="G56" s="25">
        <f>IF(E56&lt;参数设置!$B$13,DATE(YEAR(EDATE(C56,E56+1)),MONTH(EDATE(C56,E56+1)),参数设置!$B$14),EDATE(C56,参数设置!$B$13))</f>
        <v>46543</v>
      </c>
      <c r="H56">
        <f>G56-F56</f>
        <v>31</v>
      </c>
      <c r="I56" s="21">
        <f>IF(E56=参数设置!$B$13,D56,0)</f>
        <v>0</v>
      </c>
      <c r="J56" s="21">
        <f>IF(M56=1,ROUND(D56*参数设置!$B$11*H56/参数设置!$B$12,参数设置!$B$15),0)</f>
        <v>66.5</v>
      </c>
      <c r="K56" s="21">
        <f>I56+J56</f>
        <v>66.5</v>
      </c>
      <c r="L56" s="25">
        <f>EDATE(C56,参数设置!$B$13)</f>
        <v>46731</v>
      </c>
      <c r="M56">
        <f>--(D56&gt;0)</f>
        <v>1</v>
      </c>
    </row>
    <row r="57" spans="1:13" ht="15" customHeight="1">
      <c r="A57">
        <v>5</v>
      </c>
      <c r="B57">
        <v>5</v>
      </c>
      <c r="C57" s="25">
        <f>EDATE(参数设置!$B$4,A57-1)</f>
        <v>46366</v>
      </c>
      <c r="D57" s="21">
        <f>IF(AND(A57&lt;=参数设置!$B$6,OR(INDEX(月度资金流!$B$7:$B$42,A57)=策略字典!$A$1,INDEX(月度资金流!$B$7:$B$42,A57)=策略字典!$A$2)),参数设置!$B$5,0)</f>
        <v>23400</v>
      </c>
      <c r="E57">
        <v>6</v>
      </c>
      <c r="F57" s="25">
        <f>IF(E57=1,C57,G56)</f>
        <v>46543</v>
      </c>
      <c r="G57" s="25">
        <f>IF(E57&lt;参数设置!$B$13,DATE(YEAR(EDATE(C57,E57+1)),MONTH(EDATE(C57,E57+1)),参数设置!$B$14),EDATE(C57,参数设置!$B$13))</f>
        <v>46573</v>
      </c>
      <c r="H57">
        <f>G57-F57</f>
        <v>30</v>
      </c>
      <c r="I57" s="21">
        <f>IF(E57=参数设置!$B$13,D57,0)</f>
        <v>0</v>
      </c>
      <c r="J57" s="21">
        <f>IF(M57=1,ROUND(D57*参数设置!$B$11*H57/参数设置!$B$12,参数设置!$B$15),0)</f>
        <v>64.349999999999994</v>
      </c>
      <c r="K57" s="21">
        <f>I57+J57</f>
        <v>64.349999999999994</v>
      </c>
      <c r="L57" s="25">
        <f>EDATE(C57,参数设置!$B$13)</f>
        <v>46731</v>
      </c>
      <c r="M57">
        <f>--(D57&gt;0)</f>
        <v>1</v>
      </c>
    </row>
    <row r="58" spans="1:13" ht="15" customHeight="1">
      <c r="A58">
        <v>5</v>
      </c>
      <c r="B58">
        <v>5</v>
      </c>
      <c r="C58" s="25">
        <f>EDATE(参数设置!$B$4,A58-1)</f>
        <v>46366</v>
      </c>
      <c r="D58" s="21">
        <f>IF(AND(A58&lt;=参数设置!$B$6,OR(INDEX(月度资金流!$B$7:$B$42,A58)=策略字典!$A$1,INDEX(月度资金流!$B$7:$B$42,A58)=策略字典!$A$2)),参数设置!$B$5,0)</f>
        <v>23400</v>
      </c>
      <c r="E58">
        <v>7</v>
      </c>
      <c r="F58" s="25">
        <f>IF(E58=1,C58,G57)</f>
        <v>46573</v>
      </c>
      <c r="G58" s="25">
        <f>IF(E58&lt;参数设置!$B$13,DATE(YEAR(EDATE(C58,E58+1)),MONTH(EDATE(C58,E58+1)),参数设置!$B$14),EDATE(C58,参数设置!$B$13))</f>
        <v>46604</v>
      </c>
      <c r="H58">
        <f>G58-F58</f>
        <v>31</v>
      </c>
      <c r="I58" s="21">
        <f>IF(E58=参数设置!$B$13,D58,0)</f>
        <v>0</v>
      </c>
      <c r="J58" s="21">
        <f>IF(M58=1,ROUND(D58*参数设置!$B$11*H58/参数设置!$B$12,参数设置!$B$15),0)</f>
        <v>66.5</v>
      </c>
      <c r="K58" s="21">
        <f>I58+J58</f>
        <v>66.5</v>
      </c>
      <c r="L58" s="25">
        <f>EDATE(C58,参数设置!$B$13)</f>
        <v>46731</v>
      </c>
      <c r="M58">
        <f>--(D58&gt;0)</f>
        <v>1</v>
      </c>
    </row>
    <row r="59" spans="1:13" ht="15" customHeight="1">
      <c r="A59">
        <v>5</v>
      </c>
      <c r="B59">
        <v>5</v>
      </c>
      <c r="C59" s="25">
        <f>EDATE(参数设置!$B$4,A59-1)</f>
        <v>46366</v>
      </c>
      <c r="D59" s="21">
        <f>IF(AND(A59&lt;=参数设置!$B$6,OR(INDEX(月度资金流!$B$7:$B$42,A59)=策略字典!$A$1,INDEX(月度资金流!$B$7:$B$42,A59)=策略字典!$A$2)),参数设置!$B$5,0)</f>
        <v>23400</v>
      </c>
      <c r="E59">
        <v>8</v>
      </c>
      <c r="F59" s="25">
        <f>IF(E59=1,C59,G58)</f>
        <v>46604</v>
      </c>
      <c r="G59" s="25">
        <f>IF(E59&lt;参数设置!$B$13,DATE(YEAR(EDATE(C59,E59+1)),MONTH(EDATE(C59,E59+1)),参数设置!$B$14),EDATE(C59,参数设置!$B$13))</f>
        <v>46635</v>
      </c>
      <c r="H59">
        <f>G59-F59</f>
        <v>31</v>
      </c>
      <c r="I59" s="21">
        <f>IF(E59=参数设置!$B$13,D59,0)</f>
        <v>0</v>
      </c>
      <c r="J59" s="21">
        <f>IF(M59=1,ROUND(D59*参数设置!$B$11*H59/参数设置!$B$12,参数设置!$B$15),0)</f>
        <v>66.5</v>
      </c>
      <c r="K59" s="21">
        <f>I59+J59</f>
        <v>66.5</v>
      </c>
      <c r="L59" s="25">
        <f>EDATE(C59,参数设置!$B$13)</f>
        <v>46731</v>
      </c>
      <c r="M59">
        <f>--(D59&gt;0)</f>
        <v>1</v>
      </c>
    </row>
    <row r="60" spans="1:13" ht="15" customHeight="1">
      <c r="A60">
        <v>5</v>
      </c>
      <c r="B60">
        <v>5</v>
      </c>
      <c r="C60" s="25">
        <f>EDATE(参数设置!$B$4,A60-1)</f>
        <v>46366</v>
      </c>
      <c r="D60" s="21">
        <f>IF(AND(A60&lt;=参数设置!$B$6,OR(INDEX(月度资金流!$B$7:$B$42,A60)=策略字典!$A$1,INDEX(月度资金流!$B$7:$B$42,A60)=策略字典!$A$2)),参数设置!$B$5,0)</f>
        <v>23400</v>
      </c>
      <c r="E60">
        <v>9</v>
      </c>
      <c r="F60" s="25">
        <f>IF(E60=1,C60,G59)</f>
        <v>46635</v>
      </c>
      <c r="G60" s="25">
        <f>IF(E60&lt;参数设置!$B$13,DATE(YEAR(EDATE(C60,E60+1)),MONTH(EDATE(C60,E60+1)),参数设置!$B$14),EDATE(C60,参数设置!$B$13))</f>
        <v>46665</v>
      </c>
      <c r="H60">
        <f>G60-F60</f>
        <v>30</v>
      </c>
      <c r="I60" s="21">
        <f>IF(E60=参数设置!$B$13,D60,0)</f>
        <v>0</v>
      </c>
      <c r="J60" s="21">
        <f>IF(M60=1,ROUND(D60*参数设置!$B$11*H60/参数设置!$B$12,参数设置!$B$15),0)</f>
        <v>64.349999999999994</v>
      </c>
      <c r="K60" s="21">
        <f>I60+J60</f>
        <v>64.349999999999994</v>
      </c>
      <c r="L60" s="25">
        <f>EDATE(C60,参数设置!$B$13)</f>
        <v>46731</v>
      </c>
      <c r="M60">
        <f>--(D60&gt;0)</f>
        <v>1</v>
      </c>
    </row>
    <row r="61" spans="1:13" ht="15" customHeight="1">
      <c r="A61">
        <v>5</v>
      </c>
      <c r="B61">
        <v>5</v>
      </c>
      <c r="C61" s="25">
        <f>EDATE(参数设置!$B$4,A61-1)</f>
        <v>46366</v>
      </c>
      <c r="D61" s="21">
        <f>IF(AND(A61&lt;=参数设置!$B$6,OR(INDEX(月度资金流!$B$7:$B$42,A61)=策略字典!$A$1,INDEX(月度资金流!$B$7:$B$42,A61)=策略字典!$A$2)),参数设置!$B$5,0)</f>
        <v>23400</v>
      </c>
      <c r="E61">
        <v>10</v>
      </c>
      <c r="F61" s="25">
        <f>IF(E61=1,C61,G60)</f>
        <v>46665</v>
      </c>
      <c r="G61" s="25">
        <f>IF(E61&lt;参数设置!$B$13,DATE(YEAR(EDATE(C61,E61+1)),MONTH(EDATE(C61,E61+1)),参数设置!$B$14),EDATE(C61,参数设置!$B$13))</f>
        <v>46696</v>
      </c>
      <c r="H61">
        <f>G61-F61</f>
        <v>31</v>
      </c>
      <c r="I61" s="21">
        <f>IF(E61=参数设置!$B$13,D61,0)</f>
        <v>0</v>
      </c>
      <c r="J61" s="21">
        <f>IF(M61=1,ROUND(D61*参数设置!$B$11*H61/参数设置!$B$12,参数设置!$B$15),0)</f>
        <v>66.5</v>
      </c>
      <c r="K61" s="21">
        <f>I61+J61</f>
        <v>66.5</v>
      </c>
      <c r="L61" s="25">
        <f>EDATE(C61,参数设置!$B$13)</f>
        <v>46731</v>
      </c>
      <c r="M61">
        <f>--(D61&gt;0)</f>
        <v>1</v>
      </c>
    </row>
    <row r="62" spans="1:13" ht="15" customHeight="1">
      <c r="A62">
        <v>5</v>
      </c>
      <c r="B62">
        <v>5</v>
      </c>
      <c r="C62" s="25">
        <f>EDATE(参数设置!$B$4,A62-1)</f>
        <v>46366</v>
      </c>
      <c r="D62" s="21">
        <f>IF(AND(A62&lt;=参数设置!$B$6,OR(INDEX(月度资金流!$B$7:$B$42,A62)=策略字典!$A$1,INDEX(月度资金流!$B$7:$B$42,A62)=策略字典!$A$2)),参数设置!$B$5,0)</f>
        <v>23400</v>
      </c>
      <c r="E62">
        <v>11</v>
      </c>
      <c r="F62" s="25">
        <f>IF(E62=1,C62,G61)</f>
        <v>46696</v>
      </c>
      <c r="G62" s="25">
        <f>IF(E62&lt;参数设置!$B$13,DATE(YEAR(EDATE(C62,E62+1)),MONTH(EDATE(C62,E62+1)),参数设置!$B$14),EDATE(C62,参数设置!$B$13))</f>
        <v>46726</v>
      </c>
      <c r="H62">
        <f>G62-F62</f>
        <v>30</v>
      </c>
      <c r="I62" s="21">
        <f>IF(E62=参数设置!$B$13,D62,0)</f>
        <v>0</v>
      </c>
      <c r="J62" s="21">
        <f>IF(M62=1,ROUND(D62*参数设置!$B$11*H62/参数设置!$B$12,参数设置!$B$15),0)</f>
        <v>64.349999999999994</v>
      </c>
      <c r="K62" s="21">
        <f>I62+J62</f>
        <v>64.349999999999994</v>
      </c>
      <c r="L62" s="25">
        <f>EDATE(C62,参数设置!$B$13)</f>
        <v>46731</v>
      </c>
      <c r="M62">
        <f>--(D62&gt;0)</f>
        <v>1</v>
      </c>
    </row>
    <row r="63" spans="1:13" ht="15" customHeight="1">
      <c r="A63">
        <v>5</v>
      </c>
      <c r="B63">
        <v>5</v>
      </c>
      <c r="C63" s="25">
        <f>EDATE(参数设置!$B$4,A63-1)</f>
        <v>46366</v>
      </c>
      <c r="D63" s="21">
        <f>IF(AND(A63&lt;=参数设置!$B$6,OR(INDEX(月度资金流!$B$7:$B$42,A63)=策略字典!$A$1,INDEX(月度资金流!$B$7:$B$42,A63)=策略字典!$A$2)),参数设置!$B$5,0)</f>
        <v>23400</v>
      </c>
      <c r="E63">
        <v>12</v>
      </c>
      <c r="F63" s="25">
        <f>IF(E63=1,C63,G62)</f>
        <v>46726</v>
      </c>
      <c r="G63" s="25">
        <f>IF(E63&lt;参数设置!$B$13,DATE(YEAR(EDATE(C63,E63+1)),MONTH(EDATE(C63,E63+1)),参数设置!$B$14),EDATE(C63,参数设置!$B$13))</f>
        <v>46731</v>
      </c>
      <c r="H63">
        <f>G63-F63</f>
        <v>5</v>
      </c>
      <c r="I63" s="21">
        <f>IF(E63=参数设置!$B$13,D63,0)</f>
        <v>23400</v>
      </c>
      <c r="J63" s="21">
        <f>IF(M63=1,ROUND(D63*参数设置!$B$11*H63/参数设置!$B$12,参数设置!$B$15),0)</f>
        <v>10.73</v>
      </c>
      <c r="K63" s="21">
        <f>I63+J63</f>
        <v>23410.73</v>
      </c>
      <c r="L63" s="25">
        <f>EDATE(C63,参数设置!$B$13)</f>
        <v>46731</v>
      </c>
      <c r="M63">
        <f>--(D63&gt;0)</f>
        <v>1</v>
      </c>
    </row>
    <row r="64" spans="1:13" ht="15" customHeight="1">
      <c r="A64">
        <v>6</v>
      </c>
      <c r="B64">
        <v>6</v>
      </c>
      <c r="C64" s="25">
        <f>EDATE(参数设置!$B$4,A64-1)</f>
        <v>46397</v>
      </c>
      <c r="D64" s="21">
        <f>IF(AND(A64&lt;=参数设置!$B$6,OR(INDEX(月度资金流!$B$7:$B$42,A64)=策略字典!$A$1,INDEX(月度资金流!$B$7:$B$42,A64)=策略字典!$A$2)),参数设置!$B$5,0)</f>
        <v>23400</v>
      </c>
      <c r="E64">
        <v>1</v>
      </c>
      <c r="F64" s="25">
        <f>IF(E64=1,C64,G63)</f>
        <v>46397</v>
      </c>
      <c r="G64" s="25">
        <f>IF(E64&lt;参数设置!$B$13,DATE(YEAR(EDATE(C64,E64+1)),MONTH(EDATE(C64,E64+1)),参数设置!$B$14),EDATE(C64,参数设置!$B$13))</f>
        <v>46451</v>
      </c>
      <c r="H64">
        <f>G64-F64</f>
        <v>54</v>
      </c>
      <c r="I64" s="21">
        <f>IF(E64=参数设置!$B$13,D64,0)</f>
        <v>0</v>
      </c>
      <c r="J64" s="21">
        <f>IF(M64=1,ROUND(D64*参数设置!$B$11*H64/参数设置!$B$12,参数设置!$B$15),0)</f>
        <v>115.83</v>
      </c>
      <c r="K64" s="21">
        <f>I64+J64</f>
        <v>115.83</v>
      </c>
      <c r="L64" s="25">
        <f>EDATE(C64,参数设置!$B$13)</f>
        <v>46762</v>
      </c>
      <c r="M64">
        <f>--(D64&gt;0)</f>
        <v>1</v>
      </c>
    </row>
    <row r="65" spans="1:13" ht="15" customHeight="1">
      <c r="A65">
        <v>6</v>
      </c>
      <c r="B65">
        <v>6</v>
      </c>
      <c r="C65" s="25">
        <f>EDATE(参数设置!$B$4,A65-1)</f>
        <v>46397</v>
      </c>
      <c r="D65" s="21">
        <f>IF(AND(A65&lt;=参数设置!$B$6,OR(INDEX(月度资金流!$B$7:$B$42,A65)=策略字典!$A$1,INDEX(月度资金流!$B$7:$B$42,A65)=策略字典!$A$2)),参数设置!$B$5,0)</f>
        <v>23400</v>
      </c>
      <c r="E65">
        <v>2</v>
      </c>
      <c r="F65" s="25">
        <f>IF(E65=1,C65,G64)</f>
        <v>46451</v>
      </c>
      <c r="G65" s="25">
        <f>IF(E65&lt;参数设置!$B$13,DATE(YEAR(EDATE(C65,E65+1)),MONTH(EDATE(C65,E65+1)),参数设置!$B$14),EDATE(C65,参数设置!$B$13))</f>
        <v>46482</v>
      </c>
      <c r="H65">
        <f>G65-F65</f>
        <v>31</v>
      </c>
      <c r="I65" s="21">
        <f>IF(E65=参数设置!$B$13,D65,0)</f>
        <v>0</v>
      </c>
      <c r="J65" s="21">
        <f>IF(M65=1,ROUND(D65*参数设置!$B$11*H65/参数设置!$B$12,参数设置!$B$15),0)</f>
        <v>66.5</v>
      </c>
      <c r="K65" s="21">
        <f>I65+J65</f>
        <v>66.5</v>
      </c>
      <c r="L65" s="25">
        <f>EDATE(C65,参数设置!$B$13)</f>
        <v>46762</v>
      </c>
      <c r="M65">
        <f>--(D65&gt;0)</f>
        <v>1</v>
      </c>
    </row>
    <row r="66" spans="1:13" ht="15" customHeight="1">
      <c r="A66">
        <v>6</v>
      </c>
      <c r="B66">
        <v>6</v>
      </c>
      <c r="C66" s="25">
        <f>EDATE(参数设置!$B$4,A66-1)</f>
        <v>46397</v>
      </c>
      <c r="D66" s="21">
        <f>IF(AND(A66&lt;=参数设置!$B$6,OR(INDEX(月度资金流!$B$7:$B$42,A66)=策略字典!$A$1,INDEX(月度资金流!$B$7:$B$42,A66)=策略字典!$A$2)),参数设置!$B$5,0)</f>
        <v>23400</v>
      </c>
      <c r="E66">
        <v>3</v>
      </c>
      <c r="F66" s="25">
        <f>IF(E66=1,C66,G65)</f>
        <v>46482</v>
      </c>
      <c r="G66" s="25">
        <f>IF(E66&lt;参数设置!$B$13,DATE(YEAR(EDATE(C66,E66+1)),MONTH(EDATE(C66,E66+1)),参数设置!$B$14),EDATE(C66,参数设置!$B$13))</f>
        <v>46512</v>
      </c>
      <c r="H66">
        <f>G66-F66</f>
        <v>30</v>
      </c>
      <c r="I66" s="21">
        <f>IF(E66=参数设置!$B$13,D66,0)</f>
        <v>0</v>
      </c>
      <c r="J66" s="21">
        <f>IF(M66=1,ROUND(D66*参数设置!$B$11*H66/参数设置!$B$12,参数设置!$B$15),0)</f>
        <v>64.349999999999994</v>
      </c>
      <c r="K66" s="21">
        <f>I66+J66</f>
        <v>64.349999999999994</v>
      </c>
      <c r="L66" s="25">
        <f>EDATE(C66,参数设置!$B$13)</f>
        <v>46762</v>
      </c>
      <c r="M66">
        <f>--(D66&gt;0)</f>
        <v>1</v>
      </c>
    </row>
    <row r="67" spans="1:13" ht="15" customHeight="1">
      <c r="A67">
        <v>6</v>
      </c>
      <c r="B67">
        <v>6</v>
      </c>
      <c r="C67" s="25">
        <f>EDATE(参数设置!$B$4,A67-1)</f>
        <v>46397</v>
      </c>
      <c r="D67" s="21">
        <f>IF(AND(A67&lt;=参数设置!$B$6,OR(INDEX(月度资金流!$B$7:$B$42,A67)=策略字典!$A$1,INDEX(月度资金流!$B$7:$B$42,A67)=策略字典!$A$2)),参数设置!$B$5,0)</f>
        <v>23400</v>
      </c>
      <c r="E67">
        <v>4</v>
      </c>
      <c r="F67" s="25">
        <f>IF(E67=1,C67,G66)</f>
        <v>46512</v>
      </c>
      <c r="G67" s="25">
        <f>IF(E67&lt;参数设置!$B$13,DATE(YEAR(EDATE(C67,E67+1)),MONTH(EDATE(C67,E67+1)),参数设置!$B$14),EDATE(C67,参数设置!$B$13))</f>
        <v>46543</v>
      </c>
      <c r="H67">
        <f>G67-F67</f>
        <v>31</v>
      </c>
      <c r="I67" s="21">
        <f>IF(E67=参数设置!$B$13,D67,0)</f>
        <v>0</v>
      </c>
      <c r="J67" s="21">
        <f>IF(M67=1,ROUND(D67*参数设置!$B$11*H67/参数设置!$B$12,参数设置!$B$15),0)</f>
        <v>66.5</v>
      </c>
      <c r="K67" s="21">
        <f>I67+J67</f>
        <v>66.5</v>
      </c>
      <c r="L67" s="25">
        <f>EDATE(C67,参数设置!$B$13)</f>
        <v>46762</v>
      </c>
      <c r="M67">
        <f>--(D67&gt;0)</f>
        <v>1</v>
      </c>
    </row>
    <row r="68" spans="1:13" ht="15" customHeight="1">
      <c r="A68">
        <v>6</v>
      </c>
      <c r="B68">
        <v>6</v>
      </c>
      <c r="C68" s="25">
        <f>EDATE(参数设置!$B$4,A68-1)</f>
        <v>46397</v>
      </c>
      <c r="D68" s="21">
        <f>IF(AND(A68&lt;=参数设置!$B$6,OR(INDEX(月度资金流!$B$7:$B$42,A68)=策略字典!$A$1,INDEX(月度资金流!$B$7:$B$42,A68)=策略字典!$A$2)),参数设置!$B$5,0)</f>
        <v>23400</v>
      </c>
      <c r="E68">
        <v>5</v>
      </c>
      <c r="F68" s="25">
        <f>IF(E68=1,C68,G67)</f>
        <v>46543</v>
      </c>
      <c r="G68" s="25">
        <f>IF(E68&lt;参数设置!$B$13,DATE(YEAR(EDATE(C68,E68+1)),MONTH(EDATE(C68,E68+1)),参数设置!$B$14),EDATE(C68,参数设置!$B$13))</f>
        <v>46573</v>
      </c>
      <c r="H68">
        <f>G68-F68</f>
        <v>30</v>
      </c>
      <c r="I68" s="21">
        <f>IF(E68=参数设置!$B$13,D68,0)</f>
        <v>0</v>
      </c>
      <c r="J68" s="21">
        <f>IF(M68=1,ROUND(D68*参数设置!$B$11*H68/参数设置!$B$12,参数设置!$B$15),0)</f>
        <v>64.349999999999994</v>
      </c>
      <c r="K68" s="21">
        <f>I68+J68</f>
        <v>64.349999999999994</v>
      </c>
      <c r="L68" s="25">
        <f>EDATE(C68,参数设置!$B$13)</f>
        <v>46762</v>
      </c>
      <c r="M68">
        <f>--(D68&gt;0)</f>
        <v>1</v>
      </c>
    </row>
    <row r="69" spans="1:13" ht="15" customHeight="1">
      <c r="A69">
        <v>6</v>
      </c>
      <c r="B69">
        <v>6</v>
      </c>
      <c r="C69" s="25">
        <f>EDATE(参数设置!$B$4,A69-1)</f>
        <v>46397</v>
      </c>
      <c r="D69" s="21">
        <f>IF(AND(A69&lt;=参数设置!$B$6,OR(INDEX(月度资金流!$B$7:$B$42,A69)=策略字典!$A$1,INDEX(月度资金流!$B$7:$B$42,A69)=策略字典!$A$2)),参数设置!$B$5,0)</f>
        <v>23400</v>
      </c>
      <c r="E69">
        <v>6</v>
      </c>
      <c r="F69" s="25">
        <f>IF(E69=1,C69,G68)</f>
        <v>46573</v>
      </c>
      <c r="G69" s="25">
        <f>IF(E69&lt;参数设置!$B$13,DATE(YEAR(EDATE(C69,E69+1)),MONTH(EDATE(C69,E69+1)),参数设置!$B$14),EDATE(C69,参数设置!$B$13))</f>
        <v>46604</v>
      </c>
      <c r="H69">
        <f>G69-F69</f>
        <v>31</v>
      </c>
      <c r="I69" s="21">
        <f>IF(E69=参数设置!$B$13,D69,0)</f>
        <v>0</v>
      </c>
      <c r="J69" s="21">
        <f>IF(M69=1,ROUND(D69*参数设置!$B$11*H69/参数设置!$B$12,参数设置!$B$15),0)</f>
        <v>66.5</v>
      </c>
      <c r="K69" s="21">
        <f>I69+J69</f>
        <v>66.5</v>
      </c>
      <c r="L69" s="25">
        <f>EDATE(C69,参数设置!$B$13)</f>
        <v>46762</v>
      </c>
      <c r="M69">
        <f>--(D69&gt;0)</f>
        <v>1</v>
      </c>
    </row>
    <row r="70" spans="1:13" ht="15" customHeight="1">
      <c r="A70">
        <v>6</v>
      </c>
      <c r="B70">
        <v>6</v>
      </c>
      <c r="C70" s="25">
        <f>EDATE(参数设置!$B$4,A70-1)</f>
        <v>46397</v>
      </c>
      <c r="D70" s="21">
        <f>IF(AND(A70&lt;=参数设置!$B$6,OR(INDEX(月度资金流!$B$7:$B$42,A70)=策略字典!$A$1,INDEX(月度资金流!$B$7:$B$42,A70)=策略字典!$A$2)),参数设置!$B$5,0)</f>
        <v>23400</v>
      </c>
      <c r="E70">
        <v>7</v>
      </c>
      <c r="F70" s="25">
        <f>IF(E70=1,C70,G69)</f>
        <v>46604</v>
      </c>
      <c r="G70" s="25">
        <f>IF(E70&lt;参数设置!$B$13,DATE(YEAR(EDATE(C70,E70+1)),MONTH(EDATE(C70,E70+1)),参数设置!$B$14),EDATE(C70,参数设置!$B$13))</f>
        <v>46635</v>
      </c>
      <c r="H70">
        <f>G70-F70</f>
        <v>31</v>
      </c>
      <c r="I70" s="21">
        <f>IF(E70=参数设置!$B$13,D70,0)</f>
        <v>0</v>
      </c>
      <c r="J70" s="21">
        <f>IF(M70=1,ROUND(D70*参数设置!$B$11*H70/参数设置!$B$12,参数设置!$B$15),0)</f>
        <v>66.5</v>
      </c>
      <c r="K70" s="21">
        <f>I70+J70</f>
        <v>66.5</v>
      </c>
      <c r="L70" s="25">
        <f>EDATE(C70,参数设置!$B$13)</f>
        <v>46762</v>
      </c>
      <c r="M70">
        <f>--(D70&gt;0)</f>
        <v>1</v>
      </c>
    </row>
    <row r="71" spans="1:13" ht="15" customHeight="1">
      <c r="A71">
        <v>6</v>
      </c>
      <c r="B71">
        <v>6</v>
      </c>
      <c r="C71" s="25">
        <f>EDATE(参数设置!$B$4,A71-1)</f>
        <v>46397</v>
      </c>
      <c r="D71" s="21">
        <f>IF(AND(A71&lt;=参数设置!$B$6,OR(INDEX(月度资金流!$B$7:$B$42,A71)=策略字典!$A$1,INDEX(月度资金流!$B$7:$B$42,A71)=策略字典!$A$2)),参数设置!$B$5,0)</f>
        <v>23400</v>
      </c>
      <c r="E71">
        <v>8</v>
      </c>
      <c r="F71" s="25">
        <f>IF(E71=1,C71,G70)</f>
        <v>46635</v>
      </c>
      <c r="G71" s="25">
        <f>IF(E71&lt;参数设置!$B$13,DATE(YEAR(EDATE(C71,E71+1)),MONTH(EDATE(C71,E71+1)),参数设置!$B$14),EDATE(C71,参数设置!$B$13))</f>
        <v>46665</v>
      </c>
      <c r="H71">
        <f>G71-F71</f>
        <v>30</v>
      </c>
      <c r="I71" s="21">
        <f>IF(E71=参数设置!$B$13,D71,0)</f>
        <v>0</v>
      </c>
      <c r="J71" s="21">
        <f>IF(M71=1,ROUND(D71*参数设置!$B$11*H71/参数设置!$B$12,参数设置!$B$15),0)</f>
        <v>64.349999999999994</v>
      </c>
      <c r="K71" s="21">
        <f>I71+J71</f>
        <v>64.349999999999994</v>
      </c>
      <c r="L71" s="25">
        <f>EDATE(C71,参数设置!$B$13)</f>
        <v>46762</v>
      </c>
      <c r="M71">
        <f>--(D71&gt;0)</f>
        <v>1</v>
      </c>
    </row>
    <row r="72" spans="1:13" ht="15" customHeight="1">
      <c r="A72">
        <v>6</v>
      </c>
      <c r="B72">
        <v>6</v>
      </c>
      <c r="C72" s="25">
        <f>EDATE(参数设置!$B$4,A72-1)</f>
        <v>46397</v>
      </c>
      <c r="D72" s="21">
        <f>IF(AND(A72&lt;=参数设置!$B$6,OR(INDEX(月度资金流!$B$7:$B$42,A72)=策略字典!$A$1,INDEX(月度资金流!$B$7:$B$42,A72)=策略字典!$A$2)),参数设置!$B$5,0)</f>
        <v>23400</v>
      </c>
      <c r="E72">
        <v>9</v>
      </c>
      <c r="F72" s="25">
        <f>IF(E72=1,C72,G71)</f>
        <v>46665</v>
      </c>
      <c r="G72" s="25">
        <f>IF(E72&lt;参数设置!$B$13,DATE(YEAR(EDATE(C72,E72+1)),MONTH(EDATE(C72,E72+1)),参数设置!$B$14),EDATE(C72,参数设置!$B$13))</f>
        <v>46696</v>
      </c>
      <c r="H72">
        <f>G72-F72</f>
        <v>31</v>
      </c>
      <c r="I72" s="21">
        <f>IF(E72=参数设置!$B$13,D72,0)</f>
        <v>0</v>
      </c>
      <c r="J72" s="21">
        <f>IF(M72=1,ROUND(D72*参数设置!$B$11*H72/参数设置!$B$12,参数设置!$B$15),0)</f>
        <v>66.5</v>
      </c>
      <c r="K72" s="21">
        <f>I72+J72</f>
        <v>66.5</v>
      </c>
      <c r="L72" s="25">
        <f>EDATE(C72,参数设置!$B$13)</f>
        <v>46762</v>
      </c>
      <c r="M72">
        <f>--(D72&gt;0)</f>
        <v>1</v>
      </c>
    </row>
    <row r="73" spans="1:13" ht="15" customHeight="1">
      <c r="A73">
        <v>6</v>
      </c>
      <c r="B73">
        <v>6</v>
      </c>
      <c r="C73" s="25">
        <f>EDATE(参数设置!$B$4,A73-1)</f>
        <v>46397</v>
      </c>
      <c r="D73" s="21">
        <f>IF(AND(A73&lt;=参数设置!$B$6,OR(INDEX(月度资金流!$B$7:$B$42,A73)=策略字典!$A$1,INDEX(月度资金流!$B$7:$B$42,A73)=策略字典!$A$2)),参数设置!$B$5,0)</f>
        <v>23400</v>
      </c>
      <c r="E73">
        <v>10</v>
      </c>
      <c r="F73" s="25">
        <f>IF(E73=1,C73,G72)</f>
        <v>46696</v>
      </c>
      <c r="G73" s="25">
        <f>IF(E73&lt;参数设置!$B$13,DATE(YEAR(EDATE(C73,E73+1)),MONTH(EDATE(C73,E73+1)),参数设置!$B$14),EDATE(C73,参数设置!$B$13))</f>
        <v>46726</v>
      </c>
      <c r="H73">
        <f>G73-F73</f>
        <v>30</v>
      </c>
      <c r="I73" s="21">
        <f>IF(E73=参数设置!$B$13,D73,0)</f>
        <v>0</v>
      </c>
      <c r="J73" s="21">
        <f>IF(M73=1,ROUND(D73*参数设置!$B$11*H73/参数设置!$B$12,参数设置!$B$15),0)</f>
        <v>64.349999999999994</v>
      </c>
      <c r="K73" s="21">
        <f>I73+J73</f>
        <v>64.349999999999994</v>
      </c>
      <c r="L73" s="25">
        <f>EDATE(C73,参数设置!$B$13)</f>
        <v>46762</v>
      </c>
      <c r="M73">
        <f>--(D73&gt;0)</f>
        <v>1</v>
      </c>
    </row>
    <row r="74" spans="1:13" ht="15" customHeight="1">
      <c r="A74">
        <v>6</v>
      </c>
      <c r="B74">
        <v>6</v>
      </c>
      <c r="C74" s="25">
        <f>EDATE(参数设置!$B$4,A74-1)</f>
        <v>46397</v>
      </c>
      <c r="D74" s="21">
        <f>IF(AND(A74&lt;=参数设置!$B$6,OR(INDEX(月度资金流!$B$7:$B$42,A74)=策略字典!$A$1,INDEX(月度资金流!$B$7:$B$42,A74)=策略字典!$A$2)),参数设置!$B$5,0)</f>
        <v>23400</v>
      </c>
      <c r="E74">
        <v>11</v>
      </c>
      <c r="F74" s="25">
        <f>IF(E74=1,C74,G73)</f>
        <v>46726</v>
      </c>
      <c r="G74" s="25">
        <f>IF(E74&lt;参数设置!$B$13,DATE(YEAR(EDATE(C74,E74+1)),MONTH(EDATE(C74,E74+1)),参数设置!$B$14),EDATE(C74,参数设置!$B$13))</f>
        <v>46757</v>
      </c>
      <c r="H74">
        <f>G74-F74</f>
        <v>31</v>
      </c>
      <c r="I74" s="21">
        <f>IF(E74=参数设置!$B$13,D74,0)</f>
        <v>0</v>
      </c>
      <c r="J74" s="21">
        <f>IF(M74=1,ROUND(D74*参数设置!$B$11*H74/参数设置!$B$12,参数设置!$B$15),0)</f>
        <v>66.5</v>
      </c>
      <c r="K74" s="21">
        <f>I74+J74</f>
        <v>66.5</v>
      </c>
      <c r="L74" s="25">
        <f>EDATE(C74,参数设置!$B$13)</f>
        <v>46762</v>
      </c>
      <c r="M74">
        <f>--(D74&gt;0)</f>
        <v>1</v>
      </c>
    </row>
    <row r="75" spans="1:13" ht="15" customHeight="1">
      <c r="A75">
        <v>6</v>
      </c>
      <c r="B75">
        <v>6</v>
      </c>
      <c r="C75" s="25">
        <f>EDATE(参数设置!$B$4,A75-1)</f>
        <v>46397</v>
      </c>
      <c r="D75" s="21">
        <f>IF(AND(A75&lt;=参数设置!$B$6,OR(INDEX(月度资金流!$B$7:$B$42,A75)=策略字典!$A$1,INDEX(月度资金流!$B$7:$B$42,A75)=策略字典!$A$2)),参数设置!$B$5,0)</f>
        <v>23400</v>
      </c>
      <c r="E75">
        <v>12</v>
      </c>
      <c r="F75" s="25">
        <f>IF(E75=1,C75,G74)</f>
        <v>46757</v>
      </c>
      <c r="G75" s="25">
        <f>IF(E75&lt;参数设置!$B$13,DATE(YEAR(EDATE(C75,E75+1)),MONTH(EDATE(C75,E75+1)),参数设置!$B$14),EDATE(C75,参数设置!$B$13))</f>
        <v>46762</v>
      </c>
      <c r="H75">
        <f>G75-F75</f>
        <v>5</v>
      </c>
      <c r="I75" s="21">
        <f>IF(E75=参数设置!$B$13,D75,0)</f>
        <v>23400</v>
      </c>
      <c r="J75" s="21">
        <f>IF(M75=1,ROUND(D75*参数设置!$B$11*H75/参数设置!$B$12,参数设置!$B$15),0)</f>
        <v>10.73</v>
      </c>
      <c r="K75" s="21">
        <f>I75+J75</f>
        <v>23410.73</v>
      </c>
      <c r="L75" s="25">
        <f>EDATE(C75,参数设置!$B$13)</f>
        <v>46762</v>
      </c>
      <c r="M75">
        <f>--(D75&gt;0)</f>
        <v>1</v>
      </c>
    </row>
    <row r="76" spans="1:13" ht="15" customHeight="1">
      <c r="A76">
        <v>7</v>
      </c>
      <c r="B76">
        <v>7</v>
      </c>
      <c r="C76" s="25">
        <f>EDATE(参数设置!$B$4,A76-1)</f>
        <v>46428</v>
      </c>
      <c r="D76" s="21">
        <f>IF(AND(A76&lt;=参数设置!$B$6,OR(INDEX(月度资金流!$B$7:$B$42,A76)=策略字典!$A$1,INDEX(月度资金流!$B$7:$B$42,A76)=策略字典!$A$2)),参数设置!$B$5,0)</f>
        <v>23400</v>
      </c>
      <c r="E76">
        <v>1</v>
      </c>
      <c r="F76" s="25">
        <f>IF(E76=1,C76,G75)</f>
        <v>46428</v>
      </c>
      <c r="G76" s="25">
        <f>IF(E76&lt;参数设置!$B$13,DATE(YEAR(EDATE(C76,E76+1)),MONTH(EDATE(C76,E76+1)),参数设置!$B$14),EDATE(C76,参数设置!$B$13))</f>
        <v>46482</v>
      </c>
      <c r="H76">
        <f>G76-F76</f>
        <v>54</v>
      </c>
      <c r="I76" s="21">
        <f>IF(E76=参数设置!$B$13,D76,0)</f>
        <v>0</v>
      </c>
      <c r="J76" s="21">
        <f>IF(M76=1,ROUND(D76*参数设置!$B$11*H76/参数设置!$B$12,参数设置!$B$15),0)</f>
        <v>115.83</v>
      </c>
      <c r="K76" s="21">
        <f>I76+J76</f>
        <v>115.83</v>
      </c>
      <c r="L76" s="25">
        <f>EDATE(C76,参数设置!$B$13)</f>
        <v>46793</v>
      </c>
      <c r="M76">
        <f>--(D76&gt;0)</f>
        <v>1</v>
      </c>
    </row>
    <row r="77" spans="1:13" ht="15" customHeight="1">
      <c r="A77">
        <v>7</v>
      </c>
      <c r="B77">
        <v>7</v>
      </c>
      <c r="C77" s="25">
        <f>EDATE(参数设置!$B$4,A77-1)</f>
        <v>46428</v>
      </c>
      <c r="D77" s="21">
        <f>IF(AND(A77&lt;=参数设置!$B$6,OR(INDEX(月度资金流!$B$7:$B$42,A77)=策略字典!$A$1,INDEX(月度资金流!$B$7:$B$42,A77)=策略字典!$A$2)),参数设置!$B$5,0)</f>
        <v>23400</v>
      </c>
      <c r="E77">
        <v>2</v>
      </c>
      <c r="F77" s="25">
        <f>IF(E77=1,C77,G76)</f>
        <v>46482</v>
      </c>
      <c r="G77" s="25">
        <f>IF(E77&lt;参数设置!$B$13,DATE(YEAR(EDATE(C77,E77+1)),MONTH(EDATE(C77,E77+1)),参数设置!$B$14),EDATE(C77,参数设置!$B$13))</f>
        <v>46512</v>
      </c>
      <c r="H77">
        <f>G77-F77</f>
        <v>30</v>
      </c>
      <c r="I77" s="21">
        <f>IF(E77=参数设置!$B$13,D77,0)</f>
        <v>0</v>
      </c>
      <c r="J77" s="21">
        <f>IF(M77=1,ROUND(D77*参数设置!$B$11*H77/参数设置!$B$12,参数设置!$B$15),0)</f>
        <v>64.349999999999994</v>
      </c>
      <c r="K77" s="21">
        <f>I77+J77</f>
        <v>64.349999999999994</v>
      </c>
      <c r="L77" s="25">
        <f>EDATE(C77,参数设置!$B$13)</f>
        <v>46793</v>
      </c>
      <c r="M77">
        <f>--(D77&gt;0)</f>
        <v>1</v>
      </c>
    </row>
    <row r="78" spans="1:13" ht="15" customHeight="1">
      <c r="A78">
        <v>7</v>
      </c>
      <c r="B78">
        <v>7</v>
      </c>
      <c r="C78" s="25">
        <f>EDATE(参数设置!$B$4,A78-1)</f>
        <v>46428</v>
      </c>
      <c r="D78" s="21">
        <f>IF(AND(A78&lt;=参数设置!$B$6,OR(INDEX(月度资金流!$B$7:$B$42,A78)=策略字典!$A$1,INDEX(月度资金流!$B$7:$B$42,A78)=策略字典!$A$2)),参数设置!$B$5,0)</f>
        <v>23400</v>
      </c>
      <c r="E78">
        <v>3</v>
      </c>
      <c r="F78" s="25">
        <f>IF(E78=1,C78,G77)</f>
        <v>46512</v>
      </c>
      <c r="G78" s="25">
        <f>IF(E78&lt;参数设置!$B$13,DATE(YEAR(EDATE(C78,E78+1)),MONTH(EDATE(C78,E78+1)),参数设置!$B$14),EDATE(C78,参数设置!$B$13))</f>
        <v>46543</v>
      </c>
      <c r="H78">
        <f>G78-F78</f>
        <v>31</v>
      </c>
      <c r="I78" s="21">
        <f>IF(E78=参数设置!$B$13,D78,0)</f>
        <v>0</v>
      </c>
      <c r="J78" s="21">
        <f>IF(M78=1,ROUND(D78*参数设置!$B$11*H78/参数设置!$B$12,参数设置!$B$15),0)</f>
        <v>66.5</v>
      </c>
      <c r="K78" s="21">
        <f>I78+J78</f>
        <v>66.5</v>
      </c>
      <c r="L78" s="25">
        <f>EDATE(C78,参数设置!$B$13)</f>
        <v>46793</v>
      </c>
      <c r="M78">
        <f>--(D78&gt;0)</f>
        <v>1</v>
      </c>
    </row>
    <row r="79" spans="1:13" ht="15" customHeight="1">
      <c r="A79">
        <v>7</v>
      </c>
      <c r="B79">
        <v>7</v>
      </c>
      <c r="C79" s="25">
        <f>EDATE(参数设置!$B$4,A79-1)</f>
        <v>46428</v>
      </c>
      <c r="D79" s="21">
        <f>IF(AND(A79&lt;=参数设置!$B$6,OR(INDEX(月度资金流!$B$7:$B$42,A79)=策略字典!$A$1,INDEX(月度资金流!$B$7:$B$42,A79)=策略字典!$A$2)),参数设置!$B$5,0)</f>
        <v>23400</v>
      </c>
      <c r="E79">
        <v>4</v>
      </c>
      <c r="F79" s="25">
        <f>IF(E79=1,C79,G78)</f>
        <v>46543</v>
      </c>
      <c r="G79" s="25">
        <f>IF(E79&lt;参数设置!$B$13,DATE(YEAR(EDATE(C79,E79+1)),MONTH(EDATE(C79,E79+1)),参数设置!$B$14),EDATE(C79,参数设置!$B$13))</f>
        <v>46573</v>
      </c>
      <c r="H79">
        <f>G79-F79</f>
        <v>30</v>
      </c>
      <c r="I79" s="21">
        <f>IF(E79=参数设置!$B$13,D79,0)</f>
        <v>0</v>
      </c>
      <c r="J79" s="21">
        <f>IF(M79=1,ROUND(D79*参数设置!$B$11*H79/参数设置!$B$12,参数设置!$B$15),0)</f>
        <v>64.349999999999994</v>
      </c>
      <c r="K79" s="21">
        <f>I79+J79</f>
        <v>64.349999999999994</v>
      </c>
      <c r="L79" s="25">
        <f>EDATE(C79,参数设置!$B$13)</f>
        <v>46793</v>
      </c>
      <c r="M79">
        <f>--(D79&gt;0)</f>
        <v>1</v>
      </c>
    </row>
    <row r="80" spans="1:13" ht="15" customHeight="1">
      <c r="A80">
        <v>7</v>
      </c>
      <c r="B80">
        <v>7</v>
      </c>
      <c r="C80" s="25">
        <f>EDATE(参数设置!$B$4,A80-1)</f>
        <v>46428</v>
      </c>
      <c r="D80" s="21">
        <f>IF(AND(A80&lt;=参数设置!$B$6,OR(INDEX(月度资金流!$B$7:$B$42,A80)=策略字典!$A$1,INDEX(月度资金流!$B$7:$B$42,A80)=策略字典!$A$2)),参数设置!$B$5,0)</f>
        <v>23400</v>
      </c>
      <c r="E80">
        <v>5</v>
      </c>
      <c r="F80" s="25">
        <f>IF(E80=1,C80,G79)</f>
        <v>46573</v>
      </c>
      <c r="G80" s="25">
        <f>IF(E80&lt;参数设置!$B$13,DATE(YEAR(EDATE(C80,E80+1)),MONTH(EDATE(C80,E80+1)),参数设置!$B$14),EDATE(C80,参数设置!$B$13))</f>
        <v>46604</v>
      </c>
      <c r="H80">
        <f>G80-F80</f>
        <v>31</v>
      </c>
      <c r="I80" s="21">
        <f>IF(E80=参数设置!$B$13,D80,0)</f>
        <v>0</v>
      </c>
      <c r="J80" s="21">
        <f>IF(M80=1,ROUND(D80*参数设置!$B$11*H80/参数设置!$B$12,参数设置!$B$15),0)</f>
        <v>66.5</v>
      </c>
      <c r="K80" s="21">
        <f>I80+J80</f>
        <v>66.5</v>
      </c>
      <c r="L80" s="25">
        <f>EDATE(C80,参数设置!$B$13)</f>
        <v>46793</v>
      </c>
      <c r="M80">
        <f>--(D80&gt;0)</f>
        <v>1</v>
      </c>
    </row>
    <row r="81" spans="1:13" ht="15" customHeight="1">
      <c r="A81">
        <v>7</v>
      </c>
      <c r="B81">
        <v>7</v>
      </c>
      <c r="C81" s="25">
        <f>EDATE(参数设置!$B$4,A81-1)</f>
        <v>46428</v>
      </c>
      <c r="D81" s="21">
        <f>IF(AND(A81&lt;=参数设置!$B$6,OR(INDEX(月度资金流!$B$7:$B$42,A81)=策略字典!$A$1,INDEX(月度资金流!$B$7:$B$42,A81)=策略字典!$A$2)),参数设置!$B$5,0)</f>
        <v>23400</v>
      </c>
      <c r="E81">
        <v>6</v>
      </c>
      <c r="F81" s="25">
        <f>IF(E81=1,C81,G80)</f>
        <v>46604</v>
      </c>
      <c r="G81" s="25">
        <f>IF(E81&lt;参数设置!$B$13,DATE(YEAR(EDATE(C81,E81+1)),MONTH(EDATE(C81,E81+1)),参数设置!$B$14),EDATE(C81,参数设置!$B$13))</f>
        <v>46635</v>
      </c>
      <c r="H81">
        <f>G81-F81</f>
        <v>31</v>
      </c>
      <c r="I81" s="21">
        <f>IF(E81=参数设置!$B$13,D81,0)</f>
        <v>0</v>
      </c>
      <c r="J81" s="21">
        <f>IF(M81=1,ROUND(D81*参数设置!$B$11*H81/参数设置!$B$12,参数设置!$B$15),0)</f>
        <v>66.5</v>
      </c>
      <c r="K81" s="21">
        <f>I81+J81</f>
        <v>66.5</v>
      </c>
      <c r="L81" s="25">
        <f>EDATE(C81,参数设置!$B$13)</f>
        <v>46793</v>
      </c>
      <c r="M81">
        <f>--(D81&gt;0)</f>
        <v>1</v>
      </c>
    </row>
    <row r="82" spans="1:13" ht="15" customHeight="1">
      <c r="A82">
        <v>7</v>
      </c>
      <c r="B82">
        <v>7</v>
      </c>
      <c r="C82" s="25">
        <f>EDATE(参数设置!$B$4,A82-1)</f>
        <v>46428</v>
      </c>
      <c r="D82" s="21">
        <f>IF(AND(A82&lt;=参数设置!$B$6,OR(INDEX(月度资金流!$B$7:$B$42,A82)=策略字典!$A$1,INDEX(月度资金流!$B$7:$B$42,A82)=策略字典!$A$2)),参数设置!$B$5,0)</f>
        <v>23400</v>
      </c>
      <c r="E82">
        <v>7</v>
      </c>
      <c r="F82" s="25">
        <f>IF(E82=1,C82,G81)</f>
        <v>46635</v>
      </c>
      <c r="G82" s="25">
        <f>IF(E82&lt;参数设置!$B$13,DATE(YEAR(EDATE(C82,E82+1)),MONTH(EDATE(C82,E82+1)),参数设置!$B$14),EDATE(C82,参数设置!$B$13))</f>
        <v>46665</v>
      </c>
      <c r="H82">
        <f>G82-F82</f>
        <v>30</v>
      </c>
      <c r="I82" s="21">
        <f>IF(E82=参数设置!$B$13,D82,0)</f>
        <v>0</v>
      </c>
      <c r="J82" s="21">
        <f>IF(M82=1,ROUND(D82*参数设置!$B$11*H82/参数设置!$B$12,参数设置!$B$15),0)</f>
        <v>64.349999999999994</v>
      </c>
      <c r="K82" s="21">
        <f>I82+J82</f>
        <v>64.349999999999994</v>
      </c>
      <c r="L82" s="25">
        <f>EDATE(C82,参数设置!$B$13)</f>
        <v>46793</v>
      </c>
      <c r="M82">
        <f>--(D82&gt;0)</f>
        <v>1</v>
      </c>
    </row>
    <row r="83" spans="1:13" ht="15" customHeight="1">
      <c r="A83">
        <v>7</v>
      </c>
      <c r="B83">
        <v>7</v>
      </c>
      <c r="C83" s="25">
        <f>EDATE(参数设置!$B$4,A83-1)</f>
        <v>46428</v>
      </c>
      <c r="D83" s="21">
        <f>IF(AND(A83&lt;=参数设置!$B$6,OR(INDEX(月度资金流!$B$7:$B$42,A83)=策略字典!$A$1,INDEX(月度资金流!$B$7:$B$42,A83)=策略字典!$A$2)),参数设置!$B$5,0)</f>
        <v>23400</v>
      </c>
      <c r="E83">
        <v>8</v>
      </c>
      <c r="F83" s="25">
        <f>IF(E83=1,C83,G82)</f>
        <v>46665</v>
      </c>
      <c r="G83" s="25">
        <f>IF(E83&lt;参数设置!$B$13,DATE(YEAR(EDATE(C83,E83+1)),MONTH(EDATE(C83,E83+1)),参数设置!$B$14),EDATE(C83,参数设置!$B$13))</f>
        <v>46696</v>
      </c>
      <c r="H83">
        <f>G83-F83</f>
        <v>31</v>
      </c>
      <c r="I83" s="21">
        <f>IF(E83=参数设置!$B$13,D83,0)</f>
        <v>0</v>
      </c>
      <c r="J83" s="21">
        <f>IF(M83=1,ROUND(D83*参数设置!$B$11*H83/参数设置!$B$12,参数设置!$B$15),0)</f>
        <v>66.5</v>
      </c>
      <c r="K83" s="21">
        <f>I83+J83</f>
        <v>66.5</v>
      </c>
      <c r="L83" s="25">
        <f>EDATE(C83,参数设置!$B$13)</f>
        <v>46793</v>
      </c>
      <c r="M83">
        <f>--(D83&gt;0)</f>
        <v>1</v>
      </c>
    </row>
    <row r="84" spans="1:13" ht="15" customHeight="1">
      <c r="A84">
        <v>7</v>
      </c>
      <c r="B84">
        <v>7</v>
      </c>
      <c r="C84" s="25">
        <f>EDATE(参数设置!$B$4,A84-1)</f>
        <v>46428</v>
      </c>
      <c r="D84" s="21">
        <f>IF(AND(A84&lt;=参数设置!$B$6,OR(INDEX(月度资金流!$B$7:$B$42,A84)=策略字典!$A$1,INDEX(月度资金流!$B$7:$B$42,A84)=策略字典!$A$2)),参数设置!$B$5,0)</f>
        <v>23400</v>
      </c>
      <c r="E84">
        <v>9</v>
      </c>
      <c r="F84" s="25">
        <f>IF(E84=1,C84,G83)</f>
        <v>46696</v>
      </c>
      <c r="G84" s="25">
        <f>IF(E84&lt;参数设置!$B$13,DATE(YEAR(EDATE(C84,E84+1)),MONTH(EDATE(C84,E84+1)),参数设置!$B$14),EDATE(C84,参数设置!$B$13))</f>
        <v>46726</v>
      </c>
      <c r="H84">
        <f>G84-F84</f>
        <v>30</v>
      </c>
      <c r="I84" s="21">
        <f>IF(E84=参数设置!$B$13,D84,0)</f>
        <v>0</v>
      </c>
      <c r="J84" s="21">
        <f>IF(M84=1,ROUND(D84*参数设置!$B$11*H84/参数设置!$B$12,参数设置!$B$15),0)</f>
        <v>64.349999999999994</v>
      </c>
      <c r="K84" s="21">
        <f>I84+J84</f>
        <v>64.349999999999994</v>
      </c>
      <c r="L84" s="25">
        <f>EDATE(C84,参数设置!$B$13)</f>
        <v>46793</v>
      </c>
      <c r="M84">
        <f>--(D84&gt;0)</f>
        <v>1</v>
      </c>
    </row>
    <row r="85" spans="1:13" ht="15" customHeight="1">
      <c r="A85">
        <v>7</v>
      </c>
      <c r="B85">
        <v>7</v>
      </c>
      <c r="C85" s="25">
        <f>EDATE(参数设置!$B$4,A85-1)</f>
        <v>46428</v>
      </c>
      <c r="D85" s="21">
        <f>IF(AND(A85&lt;=参数设置!$B$6,OR(INDEX(月度资金流!$B$7:$B$42,A85)=策略字典!$A$1,INDEX(月度资金流!$B$7:$B$42,A85)=策略字典!$A$2)),参数设置!$B$5,0)</f>
        <v>23400</v>
      </c>
      <c r="E85">
        <v>10</v>
      </c>
      <c r="F85" s="25">
        <f>IF(E85=1,C85,G84)</f>
        <v>46726</v>
      </c>
      <c r="G85" s="25">
        <f>IF(E85&lt;参数设置!$B$13,DATE(YEAR(EDATE(C85,E85+1)),MONTH(EDATE(C85,E85+1)),参数设置!$B$14),EDATE(C85,参数设置!$B$13))</f>
        <v>46757</v>
      </c>
      <c r="H85">
        <f>G85-F85</f>
        <v>31</v>
      </c>
      <c r="I85" s="21">
        <f>IF(E85=参数设置!$B$13,D85,0)</f>
        <v>0</v>
      </c>
      <c r="J85" s="21">
        <f>IF(M85=1,ROUND(D85*参数设置!$B$11*H85/参数设置!$B$12,参数设置!$B$15),0)</f>
        <v>66.5</v>
      </c>
      <c r="K85" s="21">
        <f>I85+J85</f>
        <v>66.5</v>
      </c>
      <c r="L85" s="25">
        <f>EDATE(C85,参数设置!$B$13)</f>
        <v>46793</v>
      </c>
      <c r="M85">
        <f>--(D85&gt;0)</f>
        <v>1</v>
      </c>
    </row>
    <row r="86" spans="1:13" ht="15" customHeight="1">
      <c r="A86">
        <v>7</v>
      </c>
      <c r="B86">
        <v>7</v>
      </c>
      <c r="C86" s="25">
        <f>EDATE(参数设置!$B$4,A86-1)</f>
        <v>46428</v>
      </c>
      <c r="D86" s="21">
        <f>IF(AND(A86&lt;=参数设置!$B$6,OR(INDEX(月度资金流!$B$7:$B$42,A86)=策略字典!$A$1,INDEX(月度资金流!$B$7:$B$42,A86)=策略字典!$A$2)),参数设置!$B$5,0)</f>
        <v>23400</v>
      </c>
      <c r="E86">
        <v>11</v>
      </c>
      <c r="F86" s="25">
        <f>IF(E86=1,C86,G85)</f>
        <v>46757</v>
      </c>
      <c r="G86" s="25">
        <f>IF(E86&lt;参数设置!$B$13,DATE(YEAR(EDATE(C86,E86+1)),MONTH(EDATE(C86,E86+1)),参数设置!$B$14),EDATE(C86,参数设置!$B$13))</f>
        <v>46788</v>
      </c>
      <c r="H86">
        <f>G86-F86</f>
        <v>31</v>
      </c>
      <c r="I86" s="21">
        <f>IF(E86=参数设置!$B$13,D86,0)</f>
        <v>0</v>
      </c>
      <c r="J86" s="21">
        <f>IF(M86=1,ROUND(D86*参数设置!$B$11*H86/参数设置!$B$12,参数设置!$B$15),0)</f>
        <v>66.5</v>
      </c>
      <c r="K86" s="21">
        <f>I86+J86</f>
        <v>66.5</v>
      </c>
      <c r="L86" s="25">
        <f>EDATE(C86,参数设置!$B$13)</f>
        <v>46793</v>
      </c>
      <c r="M86">
        <f>--(D86&gt;0)</f>
        <v>1</v>
      </c>
    </row>
    <row r="87" spans="1:13" ht="15" customHeight="1">
      <c r="A87">
        <v>7</v>
      </c>
      <c r="B87">
        <v>7</v>
      </c>
      <c r="C87" s="25">
        <f>EDATE(参数设置!$B$4,A87-1)</f>
        <v>46428</v>
      </c>
      <c r="D87" s="21">
        <f>IF(AND(A87&lt;=参数设置!$B$6,OR(INDEX(月度资金流!$B$7:$B$42,A87)=策略字典!$A$1,INDEX(月度资金流!$B$7:$B$42,A87)=策略字典!$A$2)),参数设置!$B$5,0)</f>
        <v>23400</v>
      </c>
      <c r="E87">
        <v>12</v>
      </c>
      <c r="F87" s="25">
        <f>IF(E87=1,C87,G86)</f>
        <v>46788</v>
      </c>
      <c r="G87" s="25">
        <f>IF(E87&lt;参数设置!$B$13,DATE(YEAR(EDATE(C87,E87+1)),MONTH(EDATE(C87,E87+1)),参数设置!$B$14),EDATE(C87,参数设置!$B$13))</f>
        <v>46793</v>
      </c>
      <c r="H87">
        <f>G87-F87</f>
        <v>5</v>
      </c>
      <c r="I87" s="21">
        <f>IF(E87=参数设置!$B$13,D87,0)</f>
        <v>23400</v>
      </c>
      <c r="J87" s="21">
        <f>IF(M87=1,ROUND(D87*参数设置!$B$11*H87/参数设置!$B$12,参数设置!$B$15),0)</f>
        <v>10.73</v>
      </c>
      <c r="K87" s="21">
        <f>I87+J87</f>
        <v>23410.73</v>
      </c>
      <c r="L87" s="25">
        <f>EDATE(C87,参数设置!$B$13)</f>
        <v>46793</v>
      </c>
      <c r="M87">
        <f>--(D87&gt;0)</f>
        <v>1</v>
      </c>
    </row>
    <row r="88" spans="1:13" ht="15" customHeight="1">
      <c r="A88">
        <v>8</v>
      </c>
      <c r="B88">
        <v>8</v>
      </c>
      <c r="C88" s="25">
        <f>EDATE(参数设置!$B$4,A88-1)</f>
        <v>46456</v>
      </c>
      <c r="D88" s="21">
        <f>IF(AND(A88&lt;=参数设置!$B$6,OR(INDEX(月度资金流!$B$7:$B$42,A88)=策略字典!$A$1,INDEX(月度资金流!$B$7:$B$42,A88)=策略字典!$A$2)),参数设置!$B$5,0)</f>
        <v>23400</v>
      </c>
      <c r="E88">
        <v>1</v>
      </c>
      <c r="F88" s="25">
        <f>IF(E88=1,C88,G87)</f>
        <v>46456</v>
      </c>
      <c r="G88" s="25">
        <f>IF(E88&lt;参数设置!$B$13,DATE(YEAR(EDATE(C88,E88+1)),MONTH(EDATE(C88,E88+1)),参数设置!$B$14),EDATE(C88,参数设置!$B$13))</f>
        <v>46512</v>
      </c>
      <c r="H88">
        <f>G88-F88</f>
        <v>56</v>
      </c>
      <c r="I88" s="21">
        <f>IF(E88=参数设置!$B$13,D88,0)</f>
        <v>0</v>
      </c>
      <c r="J88" s="21">
        <f>IF(M88=1,ROUND(D88*参数设置!$B$11*H88/参数设置!$B$12,参数设置!$B$15),0)</f>
        <v>120.12</v>
      </c>
      <c r="K88" s="21">
        <f>I88+J88</f>
        <v>120.12</v>
      </c>
      <c r="L88" s="25">
        <f>EDATE(C88,参数设置!$B$13)</f>
        <v>46822</v>
      </c>
      <c r="M88">
        <f>--(D88&gt;0)</f>
        <v>1</v>
      </c>
    </row>
    <row r="89" spans="1:13" ht="15" customHeight="1">
      <c r="A89">
        <v>8</v>
      </c>
      <c r="B89">
        <v>8</v>
      </c>
      <c r="C89" s="25">
        <f>EDATE(参数设置!$B$4,A89-1)</f>
        <v>46456</v>
      </c>
      <c r="D89" s="21">
        <f>IF(AND(A89&lt;=参数设置!$B$6,OR(INDEX(月度资金流!$B$7:$B$42,A89)=策略字典!$A$1,INDEX(月度资金流!$B$7:$B$42,A89)=策略字典!$A$2)),参数设置!$B$5,0)</f>
        <v>23400</v>
      </c>
      <c r="E89">
        <v>2</v>
      </c>
      <c r="F89" s="25">
        <f>IF(E89=1,C89,G88)</f>
        <v>46512</v>
      </c>
      <c r="G89" s="25">
        <f>IF(E89&lt;参数设置!$B$13,DATE(YEAR(EDATE(C89,E89+1)),MONTH(EDATE(C89,E89+1)),参数设置!$B$14),EDATE(C89,参数设置!$B$13))</f>
        <v>46543</v>
      </c>
      <c r="H89">
        <f>G89-F89</f>
        <v>31</v>
      </c>
      <c r="I89" s="21">
        <f>IF(E89=参数设置!$B$13,D89,0)</f>
        <v>0</v>
      </c>
      <c r="J89" s="21">
        <f>IF(M89=1,ROUND(D89*参数设置!$B$11*H89/参数设置!$B$12,参数设置!$B$15),0)</f>
        <v>66.5</v>
      </c>
      <c r="K89" s="21">
        <f>I89+J89</f>
        <v>66.5</v>
      </c>
      <c r="L89" s="25">
        <f>EDATE(C89,参数设置!$B$13)</f>
        <v>46822</v>
      </c>
      <c r="M89">
        <f>--(D89&gt;0)</f>
        <v>1</v>
      </c>
    </row>
    <row r="90" spans="1:13" ht="15" customHeight="1">
      <c r="A90">
        <v>8</v>
      </c>
      <c r="B90">
        <v>8</v>
      </c>
      <c r="C90" s="25">
        <f>EDATE(参数设置!$B$4,A90-1)</f>
        <v>46456</v>
      </c>
      <c r="D90" s="21">
        <f>IF(AND(A90&lt;=参数设置!$B$6,OR(INDEX(月度资金流!$B$7:$B$42,A90)=策略字典!$A$1,INDEX(月度资金流!$B$7:$B$42,A90)=策略字典!$A$2)),参数设置!$B$5,0)</f>
        <v>23400</v>
      </c>
      <c r="E90">
        <v>3</v>
      </c>
      <c r="F90" s="25">
        <f>IF(E90=1,C90,G89)</f>
        <v>46543</v>
      </c>
      <c r="G90" s="25">
        <f>IF(E90&lt;参数设置!$B$13,DATE(YEAR(EDATE(C90,E90+1)),MONTH(EDATE(C90,E90+1)),参数设置!$B$14),EDATE(C90,参数设置!$B$13))</f>
        <v>46573</v>
      </c>
      <c r="H90">
        <f>G90-F90</f>
        <v>30</v>
      </c>
      <c r="I90" s="21">
        <f>IF(E90=参数设置!$B$13,D90,0)</f>
        <v>0</v>
      </c>
      <c r="J90" s="21">
        <f>IF(M90=1,ROUND(D90*参数设置!$B$11*H90/参数设置!$B$12,参数设置!$B$15),0)</f>
        <v>64.349999999999994</v>
      </c>
      <c r="K90" s="21">
        <f>I90+J90</f>
        <v>64.349999999999994</v>
      </c>
      <c r="L90" s="25">
        <f>EDATE(C90,参数设置!$B$13)</f>
        <v>46822</v>
      </c>
      <c r="M90">
        <f>--(D90&gt;0)</f>
        <v>1</v>
      </c>
    </row>
    <row r="91" spans="1:13" ht="15" customHeight="1">
      <c r="A91">
        <v>8</v>
      </c>
      <c r="B91">
        <v>8</v>
      </c>
      <c r="C91" s="25">
        <f>EDATE(参数设置!$B$4,A91-1)</f>
        <v>46456</v>
      </c>
      <c r="D91" s="21">
        <f>IF(AND(A91&lt;=参数设置!$B$6,OR(INDEX(月度资金流!$B$7:$B$42,A91)=策略字典!$A$1,INDEX(月度资金流!$B$7:$B$42,A91)=策略字典!$A$2)),参数设置!$B$5,0)</f>
        <v>23400</v>
      </c>
      <c r="E91">
        <v>4</v>
      </c>
      <c r="F91" s="25">
        <f>IF(E91=1,C91,G90)</f>
        <v>46573</v>
      </c>
      <c r="G91" s="25">
        <f>IF(E91&lt;参数设置!$B$13,DATE(YEAR(EDATE(C91,E91+1)),MONTH(EDATE(C91,E91+1)),参数设置!$B$14),EDATE(C91,参数设置!$B$13))</f>
        <v>46604</v>
      </c>
      <c r="H91">
        <f>G91-F91</f>
        <v>31</v>
      </c>
      <c r="I91" s="21">
        <f>IF(E91=参数设置!$B$13,D91,0)</f>
        <v>0</v>
      </c>
      <c r="J91" s="21">
        <f>IF(M91=1,ROUND(D91*参数设置!$B$11*H91/参数设置!$B$12,参数设置!$B$15),0)</f>
        <v>66.5</v>
      </c>
      <c r="K91" s="21">
        <f>I91+J91</f>
        <v>66.5</v>
      </c>
      <c r="L91" s="25">
        <f>EDATE(C91,参数设置!$B$13)</f>
        <v>46822</v>
      </c>
      <c r="M91">
        <f>--(D91&gt;0)</f>
        <v>1</v>
      </c>
    </row>
    <row r="92" spans="1:13" ht="15" customHeight="1">
      <c r="A92">
        <v>8</v>
      </c>
      <c r="B92">
        <v>8</v>
      </c>
      <c r="C92" s="25">
        <f>EDATE(参数设置!$B$4,A92-1)</f>
        <v>46456</v>
      </c>
      <c r="D92" s="21">
        <f>IF(AND(A92&lt;=参数设置!$B$6,OR(INDEX(月度资金流!$B$7:$B$42,A92)=策略字典!$A$1,INDEX(月度资金流!$B$7:$B$42,A92)=策略字典!$A$2)),参数设置!$B$5,0)</f>
        <v>23400</v>
      </c>
      <c r="E92">
        <v>5</v>
      </c>
      <c r="F92" s="25">
        <f>IF(E92=1,C92,G91)</f>
        <v>46604</v>
      </c>
      <c r="G92" s="25">
        <f>IF(E92&lt;参数设置!$B$13,DATE(YEAR(EDATE(C92,E92+1)),MONTH(EDATE(C92,E92+1)),参数设置!$B$14),EDATE(C92,参数设置!$B$13))</f>
        <v>46635</v>
      </c>
      <c r="H92">
        <f>G92-F92</f>
        <v>31</v>
      </c>
      <c r="I92" s="21">
        <f>IF(E92=参数设置!$B$13,D92,0)</f>
        <v>0</v>
      </c>
      <c r="J92" s="21">
        <f>IF(M92=1,ROUND(D92*参数设置!$B$11*H92/参数设置!$B$12,参数设置!$B$15),0)</f>
        <v>66.5</v>
      </c>
      <c r="K92" s="21">
        <f>I92+J92</f>
        <v>66.5</v>
      </c>
      <c r="L92" s="25">
        <f>EDATE(C92,参数设置!$B$13)</f>
        <v>46822</v>
      </c>
      <c r="M92">
        <f>--(D92&gt;0)</f>
        <v>1</v>
      </c>
    </row>
    <row r="93" spans="1:13" ht="15" customHeight="1">
      <c r="A93">
        <v>8</v>
      </c>
      <c r="B93">
        <v>8</v>
      </c>
      <c r="C93" s="25">
        <f>EDATE(参数设置!$B$4,A93-1)</f>
        <v>46456</v>
      </c>
      <c r="D93" s="21">
        <f>IF(AND(A93&lt;=参数设置!$B$6,OR(INDEX(月度资金流!$B$7:$B$42,A93)=策略字典!$A$1,INDEX(月度资金流!$B$7:$B$42,A93)=策略字典!$A$2)),参数设置!$B$5,0)</f>
        <v>23400</v>
      </c>
      <c r="E93">
        <v>6</v>
      </c>
      <c r="F93" s="25">
        <f>IF(E93=1,C93,G92)</f>
        <v>46635</v>
      </c>
      <c r="G93" s="25">
        <f>IF(E93&lt;参数设置!$B$13,DATE(YEAR(EDATE(C93,E93+1)),MONTH(EDATE(C93,E93+1)),参数设置!$B$14),EDATE(C93,参数设置!$B$13))</f>
        <v>46665</v>
      </c>
      <c r="H93">
        <f>G93-F93</f>
        <v>30</v>
      </c>
      <c r="I93" s="21">
        <f>IF(E93=参数设置!$B$13,D93,0)</f>
        <v>0</v>
      </c>
      <c r="J93" s="21">
        <f>IF(M93=1,ROUND(D93*参数设置!$B$11*H93/参数设置!$B$12,参数设置!$B$15),0)</f>
        <v>64.349999999999994</v>
      </c>
      <c r="K93" s="21">
        <f>I93+J93</f>
        <v>64.349999999999994</v>
      </c>
      <c r="L93" s="25">
        <f>EDATE(C93,参数设置!$B$13)</f>
        <v>46822</v>
      </c>
      <c r="M93">
        <f>--(D93&gt;0)</f>
        <v>1</v>
      </c>
    </row>
    <row r="94" spans="1:13" ht="15" customHeight="1">
      <c r="A94">
        <v>8</v>
      </c>
      <c r="B94">
        <v>8</v>
      </c>
      <c r="C94" s="25">
        <f>EDATE(参数设置!$B$4,A94-1)</f>
        <v>46456</v>
      </c>
      <c r="D94" s="21">
        <f>IF(AND(A94&lt;=参数设置!$B$6,OR(INDEX(月度资金流!$B$7:$B$42,A94)=策略字典!$A$1,INDEX(月度资金流!$B$7:$B$42,A94)=策略字典!$A$2)),参数设置!$B$5,0)</f>
        <v>23400</v>
      </c>
      <c r="E94">
        <v>7</v>
      </c>
      <c r="F94" s="25">
        <f>IF(E94=1,C94,G93)</f>
        <v>46665</v>
      </c>
      <c r="G94" s="25">
        <f>IF(E94&lt;参数设置!$B$13,DATE(YEAR(EDATE(C94,E94+1)),MONTH(EDATE(C94,E94+1)),参数设置!$B$14),EDATE(C94,参数设置!$B$13))</f>
        <v>46696</v>
      </c>
      <c r="H94">
        <f>G94-F94</f>
        <v>31</v>
      </c>
      <c r="I94" s="21">
        <f>IF(E94=参数设置!$B$13,D94,0)</f>
        <v>0</v>
      </c>
      <c r="J94" s="21">
        <f>IF(M94=1,ROUND(D94*参数设置!$B$11*H94/参数设置!$B$12,参数设置!$B$15),0)</f>
        <v>66.5</v>
      </c>
      <c r="K94" s="21">
        <f>I94+J94</f>
        <v>66.5</v>
      </c>
      <c r="L94" s="25">
        <f>EDATE(C94,参数设置!$B$13)</f>
        <v>46822</v>
      </c>
      <c r="M94">
        <f>--(D94&gt;0)</f>
        <v>1</v>
      </c>
    </row>
    <row r="95" spans="1:13" ht="15" customHeight="1">
      <c r="A95">
        <v>8</v>
      </c>
      <c r="B95">
        <v>8</v>
      </c>
      <c r="C95" s="25">
        <f>EDATE(参数设置!$B$4,A95-1)</f>
        <v>46456</v>
      </c>
      <c r="D95" s="21">
        <f>IF(AND(A95&lt;=参数设置!$B$6,OR(INDEX(月度资金流!$B$7:$B$42,A95)=策略字典!$A$1,INDEX(月度资金流!$B$7:$B$42,A95)=策略字典!$A$2)),参数设置!$B$5,0)</f>
        <v>23400</v>
      </c>
      <c r="E95">
        <v>8</v>
      </c>
      <c r="F95" s="25">
        <f>IF(E95=1,C95,G94)</f>
        <v>46696</v>
      </c>
      <c r="G95" s="25">
        <f>IF(E95&lt;参数设置!$B$13,DATE(YEAR(EDATE(C95,E95+1)),MONTH(EDATE(C95,E95+1)),参数设置!$B$14),EDATE(C95,参数设置!$B$13))</f>
        <v>46726</v>
      </c>
      <c r="H95">
        <f>G95-F95</f>
        <v>30</v>
      </c>
      <c r="I95" s="21">
        <f>IF(E95=参数设置!$B$13,D95,0)</f>
        <v>0</v>
      </c>
      <c r="J95" s="21">
        <f>IF(M95=1,ROUND(D95*参数设置!$B$11*H95/参数设置!$B$12,参数设置!$B$15),0)</f>
        <v>64.349999999999994</v>
      </c>
      <c r="K95" s="21">
        <f>I95+J95</f>
        <v>64.349999999999994</v>
      </c>
      <c r="L95" s="25">
        <f>EDATE(C95,参数设置!$B$13)</f>
        <v>46822</v>
      </c>
      <c r="M95">
        <f>--(D95&gt;0)</f>
        <v>1</v>
      </c>
    </row>
    <row r="96" spans="1:13" ht="15" customHeight="1">
      <c r="A96">
        <v>8</v>
      </c>
      <c r="B96">
        <v>8</v>
      </c>
      <c r="C96" s="25">
        <f>EDATE(参数设置!$B$4,A96-1)</f>
        <v>46456</v>
      </c>
      <c r="D96" s="21">
        <f>IF(AND(A96&lt;=参数设置!$B$6,OR(INDEX(月度资金流!$B$7:$B$42,A96)=策略字典!$A$1,INDEX(月度资金流!$B$7:$B$42,A96)=策略字典!$A$2)),参数设置!$B$5,0)</f>
        <v>23400</v>
      </c>
      <c r="E96">
        <v>9</v>
      </c>
      <c r="F96" s="25">
        <f>IF(E96=1,C96,G95)</f>
        <v>46726</v>
      </c>
      <c r="G96" s="25">
        <f>IF(E96&lt;参数设置!$B$13,DATE(YEAR(EDATE(C96,E96+1)),MONTH(EDATE(C96,E96+1)),参数设置!$B$14),EDATE(C96,参数设置!$B$13))</f>
        <v>46757</v>
      </c>
      <c r="H96">
        <f>G96-F96</f>
        <v>31</v>
      </c>
      <c r="I96" s="21">
        <f>IF(E96=参数设置!$B$13,D96,0)</f>
        <v>0</v>
      </c>
      <c r="J96" s="21">
        <f>IF(M96=1,ROUND(D96*参数设置!$B$11*H96/参数设置!$B$12,参数设置!$B$15),0)</f>
        <v>66.5</v>
      </c>
      <c r="K96" s="21">
        <f>I96+J96</f>
        <v>66.5</v>
      </c>
      <c r="L96" s="25">
        <f>EDATE(C96,参数设置!$B$13)</f>
        <v>46822</v>
      </c>
      <c r="M96">
        <f>--(D96&gt;0)</f>
        <v>1</v>
      </c>
    </row>
    <row r="97" spans="1:13" ht="15" customHeight="1">
      <c r="A97">
        <v>8</v>
      </c>
      <c r="B97">
        <v>8</v>
      </c>
      <c r="C97" s="25">
        <f>EDATE(参数设置!$B$4,A97-1)</f>
        <v>46456</v>
      </c>
      <c r="D97" s="21">
        <f>IF(AND(A97&lt;=参数设置!$B$6,OR(INDEX(月度资金流!$B$7:$B$42,A97)=策略字典!$A$1,INDEX(月度资金流!$B$7:$B$42,A97)=策略字典!$A$2)),参数设置!$B$5,0)</f>
        <v>23400</v>
      </c>
      <c r="E97">
        <v>10</v>
      </c>
      <c r="F97" s="25">
        <f>IF(E97=1,C97,G96)</f>
        <v>46757</v>
      </c>
      <c r="G97" s="25">
        <f>IF(E97&lt;参数设置!$B$13,DATE(YEAR(EDATE(C97,E97+1)),MONTH(EDATE(C97,E97+1)),参数设置!$B$14),EDATE(C97,参数设置!$B$13))</f>
        <v>46788</v>
      </c>
      <c r="H97">
        <f>G97-F97</f>
        <v>31</v>
      </c>
      <c r="I97" s="21">
        <f>IF(E97=参数设置!$B$13,D97,0)</f>
        <v>0</v>
      </c>
      <c r="J97" s="21">
        <f>IF(M97=1,ROUND(D97*参数设置!$B$11*H97/参数设置!$B$12,参数设置!$B$15),0)</f>
        <v>66.5</v>
      </c>
      <c r="K97" s="21">
        <f>I97+J97</f>
        <v>66.5</v>
      </c>
      <c r="L97" s="25">
        <f>EDATE(C97,参数设置!$B$13)</f>
        <v>46822</v>
      </c>
      <c r="M97">
        <f>--(D97&gt;0)</f>
        <v>1</v>
      </c>
    </row>
    <row r="98" spans="1:13" ht="15" customHeight="1">
      <c r="A98">
        <v>8</v>
      </c>
      <c r="B98">
        <v>8</v>
      </c>
      <c r="C98" s="25">
        <f>EDATE(参数设置!$B$4,A98-1)</f>
        <v>46456</v>
      </c>
      <c r="D98" s="21">
        <f>IF(AND(A98&lt;=参数设置!$B$6,OR(INDEX(月度资金流!$B$7:$B$42,A98)=策略字典!$A$1,INDEX(月度资金流!$B$7:$B$42,A98)=策略字典!$A$2)),参数设置!$B$5,0)</f>
        <v>23400</v>
      </c>
      <c r="E98">
        <v>11</v>
      </c>
      <c r="F98" s="25">
        <f>IF(E98=1,C98,G97)</f>
        <v>46788</v>
      </c>
      <c r="G98" s="25">
        <f>IF(E98&lt;参数设置!$B$13,DATE(YEAR(EDATE(C98,E98+1)),MONTH(EDATE(C98,E98+1)),参数设置!$B$14),EDATE(C98,参数设置!$B$13))</f>
        <v>46817</v>
      </c>
      <c r="H98">
        <f>G98-F98</f>
        <v>29</v>
      </c>
      <c r="I98" s="21">
        <f>IF(E98=参数设置!$B$13,D98,0)</f>
        <v>0</v>
      </c>
      <c r="J98" s="21">
        <f>IF(M98=1,ROUND(D98*参数设置!$B$11*H98/参数设置!$B$12,参数设置!$B$15),0)</f>
        <v>62.21</v>
      </c>
      <c r="K98" s="21">
        <f>I98+J98</f>
        <v>62.21</v>
      </c>
      <c r="L98" s="25">
        <f>EDATE(C98,参数设置!$B$13)</f>
        <v>46822</v>
      </c>
      <c r="M98">
        <f>--(D98&gt;0)</f>
        <v>1</v>
      </c>
    </row>
    <row r="99" spans="1:13" ht="15" customHeight="1">
      <c r="A99">
        <v>8</v>
      </c>
      <c r="B99">
        <v>8</v>
      </c>
      <c r="C99" s="25">
        <f>EDATE(参数设置!$B$4,A99-1)</f>
        <v>46456</v>
      </c>
      <c r="D99" s="21">
        <f>IF(AND(A99&lt;=参数设置!$B$6,OR(INDEX(月度资金流!$B$7:$B$42,A99)=策略字典!$A$1,INDEX(月度资金流!$B$7:$B$42,A99)=策略字典!$A$2)),参数设置!$B$5,0)</f>
        <v>23400</v>
      </c>
      <c r="E99">
        <v>12</v>
      </c>
      <c r="F99" s="25">
        <f>IF(E99=1,C99,G98)</f>
        <v>46817</v>
      </c>
      <c r="G99" s="25">
        <f>IF(E99&lt;参数设置!$B$13,DATE(YEAR(EDATE(C99,E99+1)),MONTH(EDATE(C99,E99+1)),参数设置!$B$14),EDATE(C99,参数设置!$B$13))</f>
        <v>46822</v>
      </c>
      <c r="H99">
        <f>G99-F99</f>
        <v>5</v>
      </c>
      <c r="I99" s="21">
        <f>IF(E99=参数设置!$B$13,D99,0)</f>
        <v>23400</v>
      </c>
      <c r="J99" s="21">
        <f>IF(M99=1,ROUND(D99*参数设置!$B$11*H99/参数设置!$B$12,参数设置!$B$15),0)</f>
        <v>10.73</v>
      </c>
      <c r="K99" s="21">
        <f>I99+J99</f>
        <v>23410.73</v>
      </c>
      <c r="L99" s="25">
        <f>EDATE(C99,参数设置!$B$13)</f>
        <v>46822</v>
      </c>
      <c r="M99">
        <f>--(D99&gt;0)</f>
        <v>1</v>
      </c>
    </row>
    <row r="100" spans="1:13" ht="15" customHeight="1">
      <c r="A100">
        <v>9</v>
      </c>
      <c r="B100">
        <v>9</v>
      </c>
      <c r="C100" s="25">
        <f>EDATE(参数设置!$B$4,A100-1)</f>
        <v>46487</v>
      </c>
      <c r="D100" s="21">
        <f>IF(AND(A100&lt;=参数设置!$B$6,OR(INDEX(月度资金流!$B$7:$B$42,A100)=策略字典!$A$1,INDEX(月度资金流!$B$7:$B$42,A100)=策略字典!$A$2)),参数设置!$B$5,0)</f>
        <v>23400</v>
      </c>
      <c r="E100">
        <v>1</v>
      </c>
      <c r="F100" s="25">
        <f>IF(E100=1,C100,G99)</f>
        <v>46487</v>
      </c>
      <c r="G100" s="25">
        <f>IF(E100&lt;参数设置!$B$13,DATE(YEAR(EDATE(C100,E100+1)),MONTH(EDATE(C100,E100+1)),参数设置!$B$14),EDATE(C100,参数设置!$B$13))</f>
        <v>46543</v>
      </c>
      <c r="H100">
        <f>G100-F100</f>
        <v>56</v>
      </c>
      <c r="I100" s="21">
        <f>IF(E100=参数设置!$B$13,D100,0)</f>
        <v>0</v>
      </c>
      <c r="J100" s="21">
        <f>IF(M100=1,ROUND(D100*参数设置!$B$11*H100/参数设置!$B$12,参数设置!$B$15),0)</f>
        <v>120.12</v>
      </c>
      <c r="K100" s="21">
        <f>I100+J100</f>
        <v>120.12</v>
      </c>
      <c r="L100" s="25">
        <f>EDATE(C100,参数设置!$B$13)</f>
        <v>46853</v>
      </c>
      <c r="M100">
        <f>--(D100&gt;0)</f>
        <v>1</v>
      </c>
    </row>
    <row r="101" spans="1:13" ht="15" customHeight="1">
      <c r="A101">
        <v>9</v>
      </c>
      <c r="B101">
        <v>9</v>
      </c>
      <c r="C101" s="25">
        <f>EDATE(参数设置!$B$4,A101-1)</f>
        <v>46487</v>
      </c>
      <c r="D101" s="21">
        <f>IF(AND(A101&lt;=参数设置!$B$6,OR(INDEX(月度资金流!$B$7:$B$42,A101)=策略字典!$A$1,INDEX(月度资金流!$B$7:$B$42,A101)=策略字典!$A$2)),参数设置!$B$5,0)</f>
        <v>23400</v>
      </c>
      <c r="E101">
        <v>2</v>
      </c>
      <c r="F101" s="25">
        <f>IF(E101=1,C101,G100)</f>
        <v>46543</v>
      </c>
      <c r="G101" s="25">
        <f>IF(E101&lt;参数设置!$B$13,DATE(YEAR(EDATE(C101,E101+1)),MONTH(EDATE(C101,E101+1)),参数设置!$B$14),EDATE(C101,参数设置!$B$13))</f>
        <v>46573</v>
      </c>
      <c r="H101">
        <f>G101-F101</f>
        <v>30</v>
      </c>
      <c r="I101" s="21">
        <f>IF(E101=参数设置!$B$13,D101,0)</f>
        <v>0</v>
      </c>
      <c r="J101" s="21">
        <f>IF(M101=1,ROUND(D101*参数设置!$B$11*H101/参数设置!$B$12,参数设置!$B$15),0)</f>
        <v>64.349999999999994</v>
      </c>
      <c r="K101" s="21">
        <f>I101+J101</f>
        <v>64.349999999999994</v>
      </c>
      <c r="L101" s="25">
        <f>EDATE(C101,参数设置!$B$13)</f>
        <v>46853</v>
      </c>
      <c r="M101">
        <f>--(D101&gt;0)</f>
        <v>1</v>
      </c>
    </row>
    <row r="102" spans="1:13" ht="15" customHeight="1">
      <c r="A102">
        <v>9</v>
      </c>
      <c r="B102">
        <v>9</v>
      </c>
      <c r="C102" s="25">
        <f>EDATE(参数设置!$B$4,A102-1)</f>
        <v>46487</v>
      </c>
      <c r="D102" s="21">
        <f>IF(AND(A102&lt;=参数设置!$B$6,OR(INDEX(月度资金流!$B$7:$B$42,A102)=策略字典!$A$1,INDEX(月度资金流!$B$7:$B$42,A102)=策略字典!$A$2)),参数设置!$B$5,0)</f>
        <v>23400</v>
      </c>
      <c r="E102">
        <v>3</v>
      </c>
      <c r="F102" s="25">
        <f>IF(E102=1,C102,G101)</f>
        <v>46573</v>
      </c>
      <c r="G102" s="25">
        <f>IF(E102&lt;参数设置!$B$13,DATE(YEAR(EDATE(C102,E102+1)),MONTH(EDATE(C102,E102+1)),参数设置!$B$14),EDATE(C102,参数设置!$B$13))</f>
        <v>46604</v>
      </c>
      <c r="H102">
        <f>G102-F102</f>
        <v>31</v>
      </c>
      <c r="I102" s="21">
        <f>IF(E102=参数设置!$B$13,D102,0)</f>
        <v>0</v>
      </c>
      <c r="J102" s="21">
        <f>IF(M102=1,ROUND(D102*参数设置!$B$11*H102/参数设置!$B$12,参数设置!$B$15),0)</f>
        <v>66.5</v>
      </c>
      <c r="K102" s="21">
        <f>I102+J102</f>
        <v>66.5</v>
      </c>
      <c r="L102" s="25">
        <f>EDATE(C102,参数设置!$B$13)</f>
        <v>46853</v>
      </c>
      <c r="M102">
        <f>--(D102&gt;0)</f>
        <v>1</v>
      </c>
    </row>
    <row r="103" spans="1:13" ht="15" customHeight="1">
      <c r="A103">
        <v>9</v>
      </c>
      <c r="B103">
        <v>9</v>
      </c>
      <c r="C103" s="25">
        <f>EDATE(参数设置!$B$4,A103-1)</f>
        <v>46487</v>
      </c>
      <c r="D103" s="21">
        <f>IF(AND(A103&lt;=参数设置!$B$6,OR(INDEX(月度资金流!$B$7:$B$42,A103)=策略字典!$A$1,INDEX(月度资金流!$B$7:$B$42,A103)=策略字典!$A$2)),参数设置!$B$5,0)</f>
        <v>23400</v>
      </c>
      <c r="E103">
        <v>4</v>
      </c>
      <c r="F103" s="25">
        <f>IF(E103=1,C103,G102)</f>
        <v>46604</v>
      </c>
      <c r="G103" s="25">
        <f>IF(E103&lt;参数设置!$B$13,DATE(YEAR(EDATE(C103,E103+1)),MONTH(EDATE(C103,E103+1)),参数设置!$B$14),EDATE(C103,参数设置!$B$13))</f>
        <v>46635</v>
      </c>
      <c r="H103">
        <f>G103-F103</f>
        <v>31</v>
      </c>
      <c r="I103" s="21">
        <f>IF(E103=参数设置!$B$13,D103,0)</f>
        <v>0</v>
      </c>
      <c r="J103" s="21">
        <f>IF(M103=1,ROUND(D103*参数设置!$B$11*H103/参数设置!$B$12,参数设置!$B$15),0)</f>
        <v>66.5</v>
      </c>
      <c r="K103" s="21">
        <f>I103+J103</f>
        <v>66.5</v>
      </c>
      <c r="L103" s="25">
        <f>EDATE(C103,参数设置!$B$13)</f>
        <v>46853</v>
      </c>
      <c r="M103">
        <f>--(D103&gt;0)</f>
        <v>1</v>
      </c>
    </row>
    <row r="104" spans="1:13" ht="15" customHeight="1">
      <c r="A104">
        <v>9</v>
      </c>
      <c r="B104">
        <v>9</v>
      </c>
      <c r="C104" s="25">
        <f>EDATE(参数设置!$B$4,A104-1)</f>
        <v>46487</v>
      </c>
      <c r="D104" s="21">
        <f>IF(AND(A104&lt;=参数设置!$B$6,OR(INDEX(月度资金流!$B$7:$B$42,A104)=策略字典!$A$1,INDEX(月度资金流!$B$7:$B$42,A104)=策略字典!$A$2)),参数设置!$B$5,0)</f>
        <v>23400</v>
      </c>
      <c r="E104">
        <v>5</v>
      </c>
      <c r="F104" s="25">
        <f>IF(E104=1,C104,G103)</f>
        <v>46635</v>
      </c>
      <c r="G104" s="25">
        <f>IF(E104&lt;参数设置!$B$13,DATE(YEAR(EDATE(C104,E104+1)),MONTH(EDATE(C104,E104+1)),参数设置!$B$14),EDATE(C104,参数设置!$B$13))</f>
        <v>46665</v>
      </c>
      <c r="H104">
        <f>G104-F104</f>
        <v>30</v>
      </c>
      <c r="I104" s="21">
        <f>IF(E104=参数设置!$B$13,D104,0)</f>
        <v>0</v>
      </c>
      <c r="J104" s="21">
        <f>IF(M104=1,ROUND(D104*参数设置!$B$11*H104/参数设置!$B$12,参数设置!$B$15),0)</f>
        <v>64.349999999999994</v>
      </c>
      <c r="K104" s="21">
        <f>I104+J104</f>
        <v>64.349999999999994</v>
      </c>
      <c r="L104" s="25">
        <f>EDATE(C104,参数设置!$B$13)</f>
        <v>46853</v>
      </c>
      <c r="M104">
        <f>--(D104&gt;0)</f>
        <v>1</v>
      </c>
    </row>
    <row r="105" spans="1:13" ht="15" customHeight="1">
      <c r="A105">
        <v>9</v>
      </c>
      <c r="B105">
        <v>9</v>
      </c>
      <c r="C105" s="25">
        <f>EDATE(参数设置!$B$4,A105-1)</f>
        <v>46487</v>
      </c>
      <c r="D105" s="21">
        <f>IF(AND(A105&lt;=参数设置!$B$6,OR(INDEX(月度资金流!$B$7:$B$42,A105)=策略字典!$A$1,INDEX(月度资金流!$B$7:$B$42,A105)=策略字典!$A$2)),参数设置!$B$5,0)</f>
        <v>23400</v>
      </c>
      <c r="E105">
        <v>6</v>
      </c>
      <c r="F105" s="25">
        <f>IF(E105=1,C105,G104)</f>
        <v>46665</v>
      </c>
      <c r="G105" s="25">
        <f>IF(E105&lt;参数设置!$B$13,DATE(YEAR(EDATE(C105,E105+1)),MONTH(EDATE(C105,E105+1)),参数设置!$B$14),EDATE(C105,参数设置!$B$13))</f>
        <v>46696</v>
      </c>
      <c r="H105">
        <f>G105-F105</f>
        <v>31</v>
      </c>
      <c r="I105" s="21">
        <f>IF(E105=参数设置!$B$13,D105,0)</f>
        <v>0</v>
      </c>
      <c r="J105" s="21">
        <f>IF(M105=1,ROUND(D105*参数设置!$B$11*H105/参数设置!$B$12,参数设置!$B$15),0)</f>
        <v>66.5</v>
      </c>
      <c r="K105" s="21">
        <f>I105+J105</f>
        <v>66.5</v>
      </c>
      <c r="L105" s="25">
        <f>EDATE(C105,参数设置!$B$13)</f>
        <v>46853</v>
      </c>
      <c r="M105">
        <f>--(D105&gt;0)</f>
        <v>1</v>
      </c>
    </row>
    <row r="106" spans="1:13" ht="15" customHeight="1">
      <c r="A106">
        <v>9</v>
      </c>
      <c r="B106">
        <v>9</v>
      </c>
      <c r="C106" s="25">
        <f>EDATE(参数设置!$B$4,A106-1)</f>
        <v>46487</v>
      </c>
      <c r="D106" s="21">
        <f>IF(AND(A106&lt;=参数设置!$B$6,OR(INDEX(月度资金流!$B$7:$B$42,A106)=策略字典!$A$1,INDEX(月度资金流!$B$7:$B$42,A106)=策略字典!$A$2)),参数设置!$B$5,0)</f>
        <v>23400</v>
      </c>
      <c r="E106">
        <v>7</v>
      </c>
      <c r="F106" s="25">
        <f>IF(E106=1,C106,G105)</f>
        <v>46696</v>
      </c>
      <c r="G106" s="25">
        <f>IF(E106&lt;参数设置!$B$13,DATE(YEAR(EDATE(C106,E106+1)),MONTH(EDATE(C106,E106+1)),参数设置!$B$14),EDATE(C106,参数设置!$B$13))</f>
        <v>46726</v>
      </c>
      <c r="H106">
        <f>G106-F106</f>
        <v>30</v>
      </c>
      <c r="I106" s="21">
        <f>IF(E106=参数设置!$B$13,D106,0)</f>
        <v>0</v>
      </c>
      <c r="J106" s="21">
        <f>IF(M106=1,ROUND(D106*参数设置!$B$11*H106/参数设置!$B$12,参数设置!$B$15),0)</f>
        <v>64.349999999999994</v>
      </c>
      <c r="K106" s="21">
        <f>I106+J106</f>
        <v>64.349999999999994</v>
      </c>
      <c r="L106" s="25">
        <f>EDATE(C106,参数设置!$B$13)</f>
        <v>46853</v>
      </c>
      <c r="M106">
        <f>--(D106&gt;0)</f>
        <v>1</v>
      </c>
    </row>
    <row r="107" spans="1:13" ht="15" customHeight="1">
      <c r="A107">
        <v>9</v>
      </c>
      <c r="B107">
        <v>9</v>
      </c>
      <c r="C107" s="25">
        <f>EDATE(参数设置!$B$4,A107-1)</f>
        <v>46487</v>
      </c>
      <c r="D107" s="21">
        <f>IF(AND(A107&lt;=参数设置!$B$6,OR(INDEX(月度资金流!$B$7:$B$42,A107)=策略字典!$A$1,INDEX(月度资金流!$B$7:$B$42,A107)=策略字典!$A$2)),参数设置!$B$5,0)</f>
        <v>23400</v>
      </c>
      <c r="E107">
        <v>8</v>
      </c>
      <c r="F107" s="25">
        <f>IF(E107=1,C107,G106)</f>
        <v>46726</v>
      </c>
      <c r="G107" s="25">
        <f>IF(E107&lt;参数设置!$B$13,DATE(YEAR(EDATE(C107,E107+1)),MONTH(EDATE(C107,E107+1)),参数设置!$B$14),EDATE(C107,参数设置!$B$13))</f>
        <v>46757</v>
      </c>
      <c r="H107">
        <f>G107-F107</f>
        <v>31</v>
      </c>
      <c r="I107" s="21">
        <f>IF(E107=参数设置!$B$13,D107,0)</f>
        <v>0</v>
      </c>
      <c r="J107" s="21">
        <f>IF(M107=1,ROUND(D107*参数设置!$B$11*H107/参数设置!$B$12,参数设置!$B$15),0)</f>
        <v>66.5</v>
      </c>
      <c r="K107" s="21">
        <f>I107+J107</f>
        <v>66.5</v>
      </c>
      <c r="L107" s="25">
        <f>EDATE(C107,参数设置!$B$13)</f>
        <v>46853</v>
      </c>
      <c r="M107">
        <f>--(D107&gt;0)</f>
        <v>1</v>
      </c>
    </row>
    <row r="108" spans="1:13" ht="15" customHeight="1">
      <c r="A108">
        <v>9</v>
      </c>
      <c r="B108">
        <v>9</v>
      </c>
      <c r="C108" s="25">
        <f>EDATE(参数设置!$B$4,A108-1)</f>
        <v>46487</v>
      </c>
      <c r="D108" s="21">
        <f>IF(AND(A108&lt;=参数设置!$B$6,OR(INDEX(月度资金流!$B$7:$B$42,A108)=策略字典!$A$1,INDEX(月度资金流!$B$7:$B$42,A108)=策略字典!$A$2)),参数设置!$B$5,0)</f>
        <v>23400</v>
      </c>
      <c r="E108">
        <v>9</v>
      </c>
      <c r="F108" s="25">
        <f>IF(E108=1,C108,G107)</f>
        <v>46757</v>
      </c>
      <c r="G108" s="25">
        <f>IF(E108&lt;参数设置!$B$13,DATE(YEAR(EDATE(C108,E108+1)),MONTH(EDATE(C108,E108+1)),参数设置!$B$14),EDATE(C108,参数设置!$B$13))</f>
        <v>46788</v>
      </c>
      <c r="H108">
        <f>G108-F108</f>
        <v>31</v>
      </c>
      <c r="I108" s="21">
        <f>IF(E108=参数设置!$B$13,D108,0)</f>
        <v>0</v>
      </c>
      <c r="J108" s="21">
        <f>IF(M108=1,ROUND(D108*参数设置!$B$11*H108/参数设置!$B$12,参数设置!$B$15),0)</f>
        <v>66.5</v>
      </c>
      <c r="K108" s="21">
        <f>I108+J108</f>
        <v>66.5</v>
      </c>
      <c r="L108" s="25">
        <f>EDATE(C108,参数设置!$B$13)</f>
        <v>46853</v>
      </c>
      <c r="M108">
        <f>--(D108&gt;0)</f>
        <v>1</v>
      </c>
    </row>
    <row r="109" spans="1:13" ht="15" customHeight="1">
      <c r="A109">
        <v>9</v>
      </c>
      <c r="B109">
        <v>9</v>
      </c>
      <c r="C109" s="25">
        <f>EDATE(参数设置!$B$4,A109-1)</f>
        <v>46487</v>
      </c>
      <c r="D109" s="21">
        <f>IF(AND(A109&lt;=参数设置!$B$6,OR(INDEX(月度资金流!$B$7:$B$42,A109)=策略字典!$A$1,INDEX(月度资金流!$B$7:$B$42,A109)=策略字典!$A$2)),参数设置!$B$5,0)</f>
        <v>23400</v>
      </c>
      <c r="E109">
        <v>10</v>
      </c>
      <c r="F109" s="25">
        <f>IF(E109=1,C109,G108)</f>
        <v>46788</v>
      </c>
      <c r="G109" s="25">
        <f>IF(E109&lt;参数设置!$B$13,DATE(YEAR(EDATE(C109,E109+1)),MONTH(EDATE(C109,E109+1)),参数设置!$B$14),EDATE(C109,参数设置!$B$13))</f>
        <v>46817</v>
      </c>
      <c r="H109">
        <f>G109-F109</f>
        <v>29</v>
      </c>
      <c r="I109" s="21">
        <f>IF(E109=参数设置!$B$13,D109,0)</f>
        <v>0</v>
      </c>
      <c r="J109" s="21">
        <f>IF(M109=1,ROUND(D109*参数设置!$B$11*H109/参数设置!$B$12,参数设置!$B$15),0)</f>
        <v>62.21</v>
      </c>
      <c r="K109" s="21">
        <f>I109+J109</f>
        <v>62.21</v>
      </c>
      <c r="L109" s="25">
        <f>EDATE(C109,参数设置!$B$13)</f>
        <v>46853</v>
      </c>
      <c r="M109">
        <f>--(D109&gt;0)</f>
        <v>1</v>
      </c>
    </row>
    <row r="110" spans="1:13" ht="15" customHeight="1">
      <c r="A110">
        <v>9</v>
      </c>
      <c r="B110">
        <v>9</v>
      </c>
      <c r="C110" s="25">
        <f>EDATE(参数设置!$B$4,A110-1)</f>
        <v>46487</v>
      </c>
      <c r="D110" s="21">
        <f>IF(AND(A110&lt;=参数设置!$B$6,OR(INDEX(月度资金流!$B$7:$B$42,A110)=策略字典!$A$1,INDEX(月度资金流!$B$7:$B$42,A110)=策略字典!$A$2)),参数设置!$B$5,0)</f>
        <v>23400</v>
      </c>
      <c r="E110">
        <v>11</v>
      </c>
      <c r="F110" s="25">
        <f>IF(E110=1,C110,G109)</f>
        <v>46817</v>
      </c>
      <c r="G110" s="25">
        <f>IF(E110&lt;参数设置!$B$13,DATE(YEAR(EDATE(C110,E110+1)),MONTH(EDATE(C110,E110+1)),参数设置!$B$14),EDATE(C110,参数设置!$B$13))</f>
        <v>46848</v>
      </c>
      <c r="H110">
        <f>G110-F110</f>
        <v>31</v>
      </c>
      <c r="I110" s="21">
        <f>IF(E110=参数设置!$B$13,D110,0)</f>
        <v>0</v>
      </c>
      <c r="J110" s="21">
        <f>IF(M110=1,ROUND(D110*参数设置!$B$11*H110/参数设置!$B$12,参数设置!$B$15),0)</f>
        <v>66.5</v>
      </c>
      <c r="K110" s="21">
        <f>I110+J110</f>
        <v>66.5</v>
      </c>
      <c r="L110" s="25">
        <f>EDATE(C110,参数设置!$B$13)</f>
        <v>46853</v>
      </c>
      <c r="M110">
        <f>--(D110&gt;0)</f>
        <v>1</v>
      </c>
    </row>
    <row r="111" spans="1:13" ht="15" customHeight="1">
      <c r="A111">
        <v>9</v>
      </c>
      <c r="B111">
        <v>9</v>
      </c>
      <c r="C111" s="25">
        <f>EDATE(参数设置!$B$4,A111-1)</f>
        <v>46487</v>
      </c>
      <c r="D111" s="21">
        <f>IF(AND(A111&lt;=参数设置!$B$6,OR(INDEX(月度资金流!$B$7:$B$42,A111)=策略字典!$A$1,INDEX(月度资金流!$B$7:$B$42,A111)=策略字典!$A$2)),参数设置!$B$5,0)</f>
        <v>23400</v>
      </c>
      <c r="E111">
        <v>12</v>
      </c>
      <c r="F111" s="25">
        <f>IF(E111=1,C111,G110)</f>
        <v>46848</v>
      </c>
      <c r="G111" s="25">
        <f>IF(E111&lt;参数设置!$B$13,DATE(YEAR(EDATE(C111,E111+1)),MONTH(EDATE(C111,E111+1)),参数设置!$B$14),EDATE(C111,参数设置!$B$13))</f>
        <v>46853</v>
      </c>
      <c r="H111">
        <f>G111-F111</f>
        <v>5</v>
      </c>
      <c r="I111" s="21">
        <f>IF(E111=参数设置!$B$13,D111,0)</f>
        <v>23400</v>
      </c>
      <c r="J111" s="21">
        <f>IF(M111=1,ROUND(D111*参数设置!$B$11*H111/参数设置!$B$12,参数设置!$B$15),0)</f>
        <v>10.73</v>
      </c>
      <c r="K111" s="21">
        <f>I111+J111</f>
        <v>23410.73</v>
      </c>
      <c r="L111" s="25">
        <f>EDATE(C111,参数设置!$B$13)</f>
        <v>46853</v>
      </c>
      <c r="M111">
        <f>--(D111&gt;0)</f>
        <v>1</v>
      </c>
    </row>
    <row r="112" spans="1:13" ht="15" customHeight="1">
      <c r="A112">
        <v>10</v>
      </c>
      <c r="B112">
        <v>10</v>
      </c>
      <c r="C112" s="25">
        <f>EDATE(参数设置!$B$4,A112-1)</f>
        <v>46517</v>
      </c>
      <c r="D112" s="21">
        <f>IF(AND(A112&lt;=参数设置!$B$6,OR(INDEX(月度资金流!$B$7:$B$42,A112)=策略字典!$A$1,INDEX(月度资金流!$B$7:$B$42,A112)=策略字典!$A$2)),参数设置!$B$5,0)</f>
        <v>23400</v>
      </c>
      <c r="E112">
        <v>1</v>
      </c>
      <c r="F112" s="25">
        <f>IF(E112=1,C112,G111)</f>
        <v>46517</v>
      </c>
      <c r="G112" s="25">
        <f>IF(E112&lt;参数设置!$B$13,DATE(YEAR(EDATE(C112,E112+1)),MONTH(EDATE(C112,E112+1)),参数设置!$B$14),EDATE(C112,参数设置!$B$13))</f>
        <v>46573</v>
      </c>
      <c r="H112">
        <f>G112-F112</f>
        <v>56</v>
      </c>
      <c r="I112" s="21">
        <f>IF(E112=参数设置!$B$13,D112,0)</f>
        <v>0</v>
      </c>
      <c r="J112" s="21">
        <f>IF(M112=1,ROUND(D112*参数设置!$B$11*H112/参数设置!$B$12,参数设置!$B$15),0)</f>
        <v>120.12</v>
      </c>
      <c r="K112" s="21">
        <f>I112+J112</f>
        <v>120.12</v>
      </c>
      <c r="L112" s="25">
        <f>EDATE(C112,参数设置!$B$13)</f>
        <v>46883</v>
      </c>
      <c r="M112">
        <f>--(D112&gt;0)</f>
        <v>1</v>
      </c>
    </row>
    <row r="113" spans="1:13" ht="15" customHeight="1">
      <c r="A113">
        <v>10</v>
      </c>
      <c r="B113">
        <v>10</v>
      </c>
      <c r="C113" s="25">
        <f>EDATE(参数设置!$B$4,A113-1)</f>
        <v>46517</v>
      </c>
      <c r="D113" s="21">
        <f>IF(AND(A113&lt;=参数设置!$B$6,OR(INDEX(月度资金流!$B$7:$B$42,A113)=策略字典!$A$1,INDEX(月度资金流!$B$7:$B$42,A113)=策略字典!$A$2)),参数设置!$B$5,0)</f>
        <v>23400</v>
      </c>
      <c r="E113">
        <v>2</v>
      </c>
      <c r="F113" s="25">
        <f>IF(E113=1,C113,G112)</f>
        <v>46573</v>
      </c>
      <c r="G113" s="25">
        <f>IF(E113&lt;参数设置!$B$13,DATE(YEAR(EDATE(C113,E113+1)),MONTH(EDATE(C113,E113+1)),参数设置!$B$14),EDATE(C113,参数设置!$B$13))</f>
        <v>46604</v>
      </c>
      <c r="H113">
        <f>G113-F113</f>
        <v>31</v>
      </c>
      <c r="I113" s="21">
        <f>IF(E113=参数设置!$B$13,D113,0)</f>
        <v>0</v>
      </c>
      <c r="J113" s="21">
        <f>IF(M113=1,ROUND(D113*参数设置!$B$11*H113/参数设置!$B$12,参数设置!$B$15),0)</f>
        <v>66.5</v>
      </c>
      <c r="K113" s="21">
        <f>I113+J113</f>
        <v>66.5</v>
      </c>
      <c r="L113" s="25">
        <f>EDATE(C113,参数设置!$B$13)</f>
        <v>46883</v>
      </c>
      <c r="M113">
        <f>--(D113&gt;0)</f>
        <v>1</v>
      </c>
    </row>
    <row r="114" spans="1:13" ht="15" customHeight="1">
      <c r="A114">
        <v>10</v>
      </c>
      <c r="B114">
        <v>10</v>
      </c>
      <c r="C114" s="25">
        <f>EDATE(参数设置!$B$4,A114-1)</f>
        <v>46517</v>
      </c>
      <c r="D114" s="21">
        <f>IF(AND(A114&lt;=参数设置!$B$6,OR(INDEX(月度资金流!$B$7:$B$42,A114)=策略字典!$A$1,INDEX(月度资金流!$B$7:$B$42,A114)=策略字典!$A$2)),参数设置!$B$5,0)</f>
        <v>23400</v>
      </c>
      <c r="E114">
        <v>3</v>
      </c>
      <c r="F114" s="25">
        <f>IF(E114=1,C114,G113)</f>
        <v>46604</v>
      </c>
      <c r="G114" s="25">
        <f>IF(E114&lt;参数设置!$B$13,DATE(YEAR(EDATE(C114,E114+1)),MONTH(EDATE(C114,E114+1)),参数设置!$B$14),EDATE(C114,参数设置!$B$13))</f>
        <v>46635</v>
      </c>
      <c r="H114">
        <f>G114-F114</f>
        <v>31</v>
      </c>
      <c r="I114" s="21">
        <f>IF(E114=参数设置!$B$13,D114,0)</f>
        <v>0</v>
      </c>
      <c r="J114" s="21">
        <f>IF(M114=1,ROUND(D114*参数设置!$B$11*H114/参数设置!$B$12,参数设置!$B$15),0)</f>
        <v>66.5</v>
      </c>
      <c r="K114" s="21">
        <f>I114+J114</f>
        <v>66.5</v>
      </c>
      <c r="L114" s="25">
        <f>EDATE(C114,参数设置!$B$13)</f>
        <v>46883</v>
      </c>
      <c r="M114">
        <f>--(D114&gt;0)</f>
        <v>1</v>
      </c>
    </row>
    <row r="115" spans="1:13" ht="15" customHeight="1">
      <c r="A115">
        <v>10</v>
      </c>
      <c r="B115">
        <v>10</v>
      </c>
      <c r="C115" s="25">
        <f>EDATE(参数设置!$B$4,A115-1)</f>
        <v>46517</v>
      </c>
      <c r="D115" s="21">
        <f>IF(AND(A115&lt;=参数设置!$B$6,OR(INDEX(月度资金流!$B$7:$B$42,A115)=策略字典!$A$1,INDEX(月度资金流!$B$7:$B$42,A115)=策略字典!$A$2)),参数设置!$B$5,0)</f>
        <v>23400</v>
      </c>
      <c r="E115">
        <v>4</v>
      </c>
      <c r="F115" s="25">
        <f>IF(E115=1,C115,G114)</f>
        <v>46635</v>
      </c>
      <c r="G115" s="25">
        <f>IF(E115&lt;参数设置!$B$13,DATE(YEAR(EDATE(C115,E115+1)),MONTH(EDATE(C115,E115+1)),参数设置!$B$14),EDATE(C115,参数设置!$B$13))</f>
        <v>46665</v>
      </c>
      <c r="H115">
        <f>G115-F115</f>
        <v>30</v>
      </c>
      <c r="I115" s="21">
        <f>IF(E115=参数设置!$B$13,D115,0)</f>
        <v>0</v>
      </c>
      <c r="J115" s="21">
        <f>IF(M115=1,ROUND(D115*参数设置!$B$11*H115/参数设置!$B$12,参数设置!$B$15),0)</f>
        <v>64.349999999999994</v>
      </c>
      <c r="K115" s="21">
        <f>I115+J115</f>
        <v>64.349999999999994</v>
      </c>
      <c r="L115" s="25">
        <f>EDATE(C115,参数设置!$B$13)</f>
        <v>46883</v>
      </c>
      <c r="M115">
        <f>--(D115&gt;0)</f>
        <v>1</v>
      </c>
    </row>
    <row r="116" spans="1:13" ht="15" customHeight="1">
      <c r="A116">
        <v>10</v>
      </c>
      <c r="B116">
        <v>10</v>
      </c>
      <c r="C116" s="25">
        <f>EDATE(参数设置!$B$4,A116-1)</f>
        <v>46517</v>
      </c>
      <c r="D116" s="21">
        <f>IF(AND(A116&lt;=参数设置!$B$6,OR(INDEX(月度资金流!$B$7:$B$42,A116)=策略字典!$A$1,INDEX(月度资金流!$B$7:$B$42,A116)=策略字典!$A$2)),参数设置!$B$5,0)</f>
        <v>23400</v>
      </c>
      <c r="E116">
        <v>5</v>
      </c>
      <c r="F116" s="25">
        <f>IF(E116=1,C116,G115)</f>
        <v>46665</v>
      </c>
      <c r="G116" s="25">
        <f>IF(E116&lt;参数设置!$B$13,DATE(YEAR(EDATE(C116,E116+1)),MONTH(EDATE(C116,E116+1)),参数设置!$B$14),EDATE(C116,参数设置!$B$13))</f>
        <v>46696</v>
      </c>
      <c r="H116">
        <f>G116-F116</f>
        <v>31</v>
      </c>
      <c r="I116" s="21">
        <f>IF(E116=参数设置!$B$13,D116,0)</f>
        <v>0</v>
      </c>
      <c r="J116" s="21">
        <f>IF(M116=1,ROUND(D116*参数设置!$B$11*H116/参数设置!$B$12,参数设置!$B$15),0)</f>
        <v>66.5</v>
      </c>
      <c r="K116" s="21">
        <f>I116+J116</f>
        <v>66.5</v>
      </c>
      <c r="L116" s="25">
        <f>EDATE(C116,参数设置!$B$13)</f>
        <v>46883</v>
      </c>
      <c r="M116">
        <f>--(D116&gt;0)</f>
        <v>1</v>
      </c>
    </row>
    <row r="117" spans="1:13" ht="15" customHeight="1">
      <c r="A117">
        <v>10</v>
      </c>
      <c r="B117">
        <v>10</v>
      </c>
      <c r="C117" s="25">
        <f>EDATE(参数设置!$B$4,A117-1)</f>
        <v>46517</v>
      </c>
      <c r="D117" s="21">
        <f>IF(AND(A117&lt;=参数设置!$B$6,OR(INDEX(月度资金流!$B$7:$B$42,A117)=策略字典!$A$1,INDEX(月度资金流!$B$7:$B$42,A117)=策略字典!$A$2)),参数设置!$B$5,0)</f>
        <v>23400</v>
      </c>
      <c r="E117">
        <v>6</v>
      </c>
      <c r="F117" s="25">
        <f>IF(E117=1,C117,G116)</f>
        <v>46696</v>
      </c>
      <c r="G117" s="25">
        <f>IF(E117&lt;参数设置!$B$13,DATE(YEAR(EDATE(C117,E117+1)),MONTH(EDATE(C117,E117+1)),参数设置!$B$14),EDATE(C117,参数设置!$B$13))</f>
        <v>46726</v>
      </c>
      <c r="H117">
        <f>G117-F117</f>
        <v>30</v>
      </c>
      <c r="I117" s="21">
        <f>IF(E117=参数设置!$B$13,D117,0)</f>
        <v>0</v>
      </c>
      <c r="J117" s="21">
        <f>IF(M117=1,ROUND(D117*参数设置!$B$11*H117/参数设置!$B$12,参数设置!$B$15),0)</f>
        <v>64.349999999999994</v>
      </c>
      <c r="K117" s="21">
        <f>I117+J117</f>
        <v>64.349999999999994</v>
      </c>
      <c r="L117" s="25">
        <f>EDATE(C117,参数设置!$B$13)</f>
        <v>46883</v>
      </c>
      <c r="M117">
        <f>--(D117&gt;0)</f>
        <v>1</v>
      </c>
    </row>
    <row r="118" spans="1:13" ht="15" customHeight="1">
      <c r="A118">
        <v>10</v>
      </c>
      <c r="B118">
        <v>10</v>
      </c>
      <c r="C118" s="25">
        <f>EDATE(参数设置!$B$4,A118-1)</f>
        <v>46517</v>
      </c>
      <c r="D118" s="21">
        <f>IF(AND(A118&lt;=参数设置!$B$6,OR(INDEX(月度资金流!$B$7:$B$42,A118)=策略字典!$A$1,INDEX(月度资金流!$B$7:$B$42,A118)=策略字典!$A$2)),参数设置!$B$5,0)</f>
        <v>23400</v>
      </c>
      <c r="E118">
        <v>7</v>
      </c>
      <c r="F118" s="25">
        <f>IF(E118=1,C118,G117)</f>
        <v>46726</v>
      </c>
      <c r="G118" s="25">
        <f>IF(E118&lt;参数设置!$B$13,DATE(YEAR(EDATE(C118,E118+1)),MONTH(EDATE(C118,E118+1)),参数设置!$B$14),EDATE(C118,参数设置!$B$13))</f>
        <v>46757</v>
      </c>
      <c r="H118">
        <f>G118-F118</f>
        <v>31</v>
      </c>
      <c r="I118" s="21">
        <f>IF(E118=参数设置!$B$13,D118,0)</f>
        <v>0</v>
      </c>
      <c r="J118" s="21">
        <f>IF(M118=1,ROUND(D118*参数设置!$B$11*H118/参数设置!$B$12,参数设置!$B$15),0)</f>
        <v>66.5</v>
      </c>
      <c r="K118" s="21">
        <f>I118+J118</f>
        <v>66.5</v>
      </c>
      <c r="L118" s="25">
        <f>EDATE(C118,参数设置!$B$13)</f>
        <v>46883</v>
      </c>
      <c r="M118">
        <f>--(D118&gt;0)</f>
        <v>1</v>
      </c>
    </row>
    <row r="119" spans="1:13" ht="15" customHeight="1">
      <c r="A119">
        <v>10</v>
      </c>
      <c r="B119">
        <v>10</v>
      </c>
      <c r="C119" s="25">
        <f>EDATE(参数设置!$B$4,A119-1)</f>
        <v>46517</v>
      </c>
      <c r="D119" s="21">
        <f>IF(AND(A119&lt;=参数设置!$B$6,OR(INDEX(月度资金流!$B$7:$B$42,A119)=策略字典!$A$1,INDEX(月度资金流!$B$7:$B$42,A119)=策略字典!$A$2)),参数设置!$B$5,0)</f>
        <v>23400</v>
      </c>
      <c r="E119">
        <v>8</v>
      </c>
      <c r="F119" s="25">
        <f>IF(E119=1,C119,G118)</f>
        <v>46757</v>
      </c>
      <c r="G119" s="25">
        <f>IF(E119&lt;参数设置!$B$13,DATE(YEAR(EDATE(C119,E119+1)),MONTH(EDATE(C119,E119+1)),参数设置!$B$14),EDATE(C119,参数设置!$B$13))</f>
        <v>46788</v>
      </c>
      <c r="H119">
        <f>G119-F119</f>
        <v>31</v>
      </c>
      <c r="I119" s="21">
        <f>IF(E119=参数设置!$B$13,D119,0)</f>
        <v>0</v>
      </c>
      <c r="J119" s="21">
        <f>IF(M119=1,ROUND(D119*参数设置!$B$11*H119/参数设置!$B$12,参数设置!$B$15),0)</f>
        <v>66.5</v>
      </c>
      <c r="K119" s="21">
        <f>I119+J119</f>
        <v>66.5</v>
      </c>
      <c r="L119" s="25">
        <f>EDATE(C119,参数设置!$B$13)</f>
        <v>46883</v>
      </c>
      <c r="M119">
        <f>--(D119&gt;0)</f>
        <v>1</v>
      </c>
    </row>
    <row r="120" spans="1:13" ht="15" customHeight="1">
      <c r="A120">
        <v>10</v>
      </c>
      <c r="B120">
        <v>10</v>
      </c>
      <c r="C120" s="25">
        <f>EDATE(参数设置!$B$4,A120-1)</f>
        <v>46517</v>
      </c>
      <c r="D120" s="21">
        <f>IF(AND(A120&lt;=参数设置!$B$6,OR(INDEX(月度资金流!$B$7:$B$42,A120)=策略字典!$A$1,INDEX(月度资金流!$B$7:$B$42,A120)=策略字典!$A$2)),参数设置!$B$5,0)</f>
        <v>23400</v>
      </c>
      <c r="E120">
        <v>9</v>
      </c>
      <c r="F120" s="25">
        <f>IF(E120=1,C120,G119)</f>
        <v>46788</v>
      </c>
      <c r="G120" s="25">
        <f>IF(E120&lt;参数设置!$B$13,DATE(YEAR(EDATE(C120,E120+1)),MONTH(EDATE(C120,E120+1)),参数设置!$B$14),EDATE(C120,参数设置!$B$13))</f>
        <v>46817</v>
      </c>
      <c r="H120">
        <f>G120-F120</f>
        <v>29</v>
      </c>
      <c r="I120" s="21">
        <f>IF(E120=参数设置!$B$13,D120,0)</f>
        <v>0</v>
      </c>
      <c r="J120" s="21">
        <f>IF(M120=1,ROUND(D120*参数设置!$B$11*H120/参数设置!$B$12,参数设置!$B$15),0)</f>
        <v>62.21</v>
      </c>
      <c r="K120" s="21">
        <f>I120+J120</f>
        <v>62.21</v>
      </c>
      <c r="L120" s="25">
        <f>EDATE(C120,参数设置!$B$13)</f>
        <v>46883</v>
      </c>
      <c r="M120">
        <f>--(D120&gt;0)</f>
        <v>1</v>
      </c>
    </row>
    <row r="121" spans="1:13" ht="15" customHeight="1">
      <c r="A121">
        <v>10</v>
      </c>
      <c r="B121">
        <v>10</v>
      </c>
      <c r="C121" s="25">
        <f>EDATE(参数设置!$B$4,A121-1)</f>
        <v>46517</v>
      </c>
      <c r="D121" s="21">
        <f>IF(AND(A121&lt;=参数设置!$B$6,OR(INDEX(月度资金流!$B$7:$B$42,A121)=策略字典!$A$1,INDEX(月度资金流!$B$7:$B$42,A121)=策略字典!$A$2)),参数设置!$B$5,0)</f>
        <v>23400</v>
      </c>
      <c r="E121">
        <v>10</v>
      </c>
      <c r="F121" s="25">
        <f>IF(E121=1,C121,G120)</f>
        <v>46817</v>
      </c>
      <c r="G121" s="25">
        <f>IF(E121&lt;参数设置!$B$13,DATE(YEAR(EDATE(C121,E121+1)),MONTH(EDATE(C121,E121+1)),参数设置!$B$14),EDATE(C121,参数设置!$B$13))</f>
        <v>46848</v>
      </c>
      <c r="H121">
        <f>G121-F121</f>
        <v>31</v>
      </c>
      <c r="I121" s="21">
        <f>IF(E121=参数设置!$B$13,D121,0)</f>
        <v>0</v>
      </c>
      <c r="J121" s="21">
        <f>IF(M121=1,ROUND(D121*参数设置!$B$11*H121/参数设置!$B$12,参数设置!$B$15),0)</f>
        <v>66.5</v>
      </c>
      <c r="K121" s="21">
        <f>I121+J121</f>
        <v>66.5</v>
      </c>
      <c r="L121" s="25">
        <f>EDATE(C121,参数设置!$B$13)</f>
        <v>46883</v>
      </c>
      <c r="M121">
        <f>--(D121&gt;0)</f>
        <v>1</v>
      </c>
    </row>
    <row r="122" spans="1:13" ht="15" customHeight="1">
      <c r="A122">
        <v>10</v>
      </c>
      <c r="B122">
        <v>10</v>
      </c>
      <c r="C122" s="25">
        <f>EDATE(参数设置!$B$4,A122-1)</f>
        <v>46517</v>
      </c>
      <c r="D122" s="21">
        <f>IF(AND(A122&lt;=参数设置!$B$6,OR(INDEX(月度资金流!$B$7:$B$42,A122)=策略字典!$A$1,INDEX(月度资金流!$B$7:$B$42,A122)=策略字典!$A$2)),参数设置!$B$5,0)</f>
        <v>23400</v>
      </c>
      <c r="E122">
        <v>11</v>
      </c>
      <c r="F122" s="25">
        <f>IF(E122=1,C122,G121)</f>
        <v>46848</v>
      </c>
      <c r="G122" s="25">
        <f>IF(E122&lt;参数设置!$B$13,DATE(YEAR(EDATE(C122,E122+1)),MONTH(EDATE(C122,E122+1)),参数设置!$B$14),EDATE(C122,参数设置!$B$13))</f>
        <v>46878</v>
      </c>
      <c r="H122">
        <f>G122-F122</f>
        <v>30</v>
      </c>
      <c r="I122" s="21">
        <f>IF(E122=参数设置!$B$13,D122,0)</f>
        <v>0</v>
      </c>
      <c r="J122" s="21">
        <f>IF(M122=1,ROUND(D122*参数设置!$B$11*H122/参数设置!$B$12,参数设置!$B$15),0)</f>
        <v>64.349999999999994</v>
      </c>
      <c r="K122" s="21">
        <f>I122+J122</f>
        <v>64.349999999999994</v>
      </c>
      <c r="L122" s="25">
        <f>EDATE(C122,参数设置!$B$13)</f>
        <v>46883</v>
      </c>
      <c r="M122">
        <f>--(D122&gt;0)</f>
        <v>1</v>
      </c>
    </row>
    <row r="123" spans="1:13" ht="15" customHeight="1">
      <c r="A123">
        <v>10</v>
      </c>
      <c r="B123">
        <v>10</v>
      </c>
      <c r="C123" s="25">
        <f>EDATE(参数设置!$B$4,A123-1)</f>
        <v>46517</v>
      </c>
      <c r="D123" s="21">
        <f>IF(AND(A123&lt;=参数设置!$B$6,OR(INDEX(月度资金流!$B$7:$B$42,A123)=策略字典!$A$1,INDEX(月度资金流!$B$7:$B$42,A123)=策略字典!$A$2)),参数设置!$B$5,0)</f>
        <v>23400</v>
      </c>
      <c r="E123">
        <v>12</v>
      </c>
      <c r="F123" s="25">
        <f>IF(E123=1,C123,G122)</f>
        <v>46878</v>
      </c>
      <c r="G123" s="25">
        <f>IF(E123&lt;参数设置!$B$13,DATE(YEAR(EDATE(C123,E123+1)),MONTH(EDATE(C123,E123+1)),参数设置!$B$14),EDATE(C123,参数设置!$B$13))</f>
        <v>46883</v>
      </c>
      <c r="H123">
        <f>G123-F123</f>
        <v>5</v>
      </c>
      <c r="I123" s="21">
        <f>IF(E123=参数设置!$B$13,D123,0)</f>
        <v>23400</v>
      </c>
      <c r="J123" s="21">
        <f>IF(M123=1,ROUND(D123*参数设置!$B$11*H123/参数设置!$B$12,参数设置!$B$15),0)</f>
        <v>10.73</v>
      </c>
      <c r="K123" s="21">
        <f>I123+J123</f>
        <v>23410.73</v>
      </c>
      <c r="L123" s="25">
        <f>EDATE(C123,参数设置!$B$13)</f>
        <v>46883</v>
      </c>
      <c r="M123">
        <f>--(D123&gt;0)</f>
        <v>1</v>
      </c>
    </row>
    <row r="124" spans="1:13" ht="15" customHeight="1">
      <c r="A124">
        <v>11</v>
      </c>
      <c r="B124">
        <v>11</v>
      </c>
      <c r="C124" s="25">
        <f>EDATE(参数设置!$B$4,A124-1)</f>
        <v>46548</v>
      </c>
      <c r="D124" s="21">
        <f>IF(AND(A124&lt;=参数设置!$B$6,OR(INDEX(月度资金流!$B$7:$B$42,A124)=策略字典!$A$1,INDEX(月度资金流!$B$7:$B$42,A124)=策略字典!$A$2)),参数设置!$B$5,0)</f>
        <v>23400</v>
      </c>
      <c r="E124">
        <v>1</v>
      </c>
      <c r="F124" s="25">
        <f>IF(E124=1,C124,G123)</f>
        <v>46548</v>
      </c>
      <c r="G124" s="25">
        <f>IF(E124&lt;参数设置!$B$13,DATE(YEAR(EDATE(C124,E124+1)),MONTH(EDATE(C124,E124+1)),参数设置!$B$14),EDATE(C124,参数设置!$B$13))</f>
        <v>46604</v>
      </c>
      <c r="H124">
        <f>G124-F124</f>
        <v>56</v>
      </c>
      <c r="I124" s="21">
        <f>IF(E124=参数设置!$B$13,D124,0)</f>
        <v>0</v>
      </c>
      <c r="J124" s="21">
        <f>IF(M124=1,ROUND(D124*参数设置!$B$11*H124/参数设置!$B$12,参数设置!$B$15),0)</f>
        <v>120.12</v>
      </c>
      <c r="K124" s="21">
        <f>I124+J124</f>
        <v>120.12</v>
      </c>
      <c r="L124" s="25">
        <f>EDATE(C124,参数设置!$B$13)</f>
        <v>46914</v>
      </c>
      <c r="M124">
        <f>--(D124&gt;0)</f>
        <v>1</v>
      </c>
    </row>
    <row r="125" spans="1:13" ht="15" customHeight="1">
      <c r="A125">
        <v>11</v>
      </c>
      <c r="B125">
        <v>11</v>
      </c>
      <c r="C125" s="25">
        <f>EDATE(参数设置!$B$4,A125-1)</f>
        <v>46548</v>
      </c>
      <c r="D125" s="21">
        <f>IF(AND(A125&lt;=参数设置!$B$6,OR(INDEX(月度资金流!$B$7:$B$42,A125)=策略字典!$A$1,INDEX(月度资金流!$B$7:$B$42,A125)=策略字典!$A$2)),参数设置!$B$5,0)</f>
        <v>23400</v>
      </c>
      <c r="E125">
        <v>2</v>
      </c>
      <c r="F125" s="25">
        <f>IF(E125=1,C125,G124)</f>
        <v>46604</v>
      </c>
      <c r="G125" s="25">
        <f>IF(E125&lt;参数设置!$B$13,DATE(YEAR(EDATE(C125,E125+1)),MONTH(EDATE(C125,E125+1)),参数设置!$B$14),EDATE(C125,参数设置!$B$13))</f>
        <v>46635</v>
      </c>
      <c r="H125">
        <f>G125-F125</f>
        <v>31</v>
      </c>
      <c r="I125" s="21">
        <f>IF(E125=参数设置!$B$13,D125,0)</f>
        <v>0</v>
      </c>
      <c r="J125" s="21">
        <f>IF(M125=1,ROUND(D125*参数设置!$B$11*H125/参数设置!$B$12,参数设置!$B$15),0)</f>
        <v>66.5</v>
      </c>
      <c r="K125" s="21">
        <f>I125+J125</f>
        <v>66.5</v>
      </c>
      <c r="L125" s="25">
        <f>EDATE(C125,参数设置!$B$13)</f>
        <v>46914</v>
      </c>
      <c r="M125">
        <f>--(D125&gt;0)</f>
        <v>1</v>
      </c>
    </row>
    <row r="126" spans="1:13" ht="15" customHeight="1">
      <c r="A126">
        <v>11</v>
      </c>
      <c r="B126">
        <v>11</v>
      </c>
      <c r="C126" s="25">
        <f>EDATE(参数设置!$B$4,A126-1)</f>
        <v>46548</v>
      </c>
      <c r="D126" s="21">
        <f>IF(AND(A126&lt;=参数设置!$B$6,OR(INDEX(月度资金流!$B$7:$B$42,A126)=策略字典!$A$1,INDEX(月度资金流!$B$7:$B$42,A126)=策略字典!$A$2)),参数设置!$B$5,0)</f>
        <v>23400</v>
      </c>
      <c r="E126">
        <v>3</v>
      </c>
      <c r="F126" s="25">
        <f>IF(E126=1,C126,G125)</f>
        <v>46635</v>
      </c>
      <c r="G126" s="25">
        <f>IF(E126&lt;参数设置!$B$13,DATE(YEAR(EDATE(C126,E126+1)),MONTH(EDATE(C126,E126+1)),参数设置!$B$14),EDATE(C126,参数设置!$B$13))</f>
        <v>46665</v>
      </c>
      <c r="H126">
        <f>G126-F126</f>
        <v>30</v>
      </c>
      <c r="I126" s="21">
        <f>IF(E126=参数设置!$B$13,D126,0)</f>
        <v>0</v>
      </c>
      <c r="J126" s="21">
        <f>IF(M126=1,ROUND(D126*参数设置!$B$11*H126/参数设置!$B$12,参数设置!$B$15),0)</f>
        <v>64.349999999999994</v>
      </c>
      <c r="K126" s="21">
        <f>I126+J126</f>
        <v>64.349999999999994</v>
      </c>
      <c r="L126" s="25">
        <f>EDATE(C126,参数设置!$B$13)</f>
        <v>46914</v>
      </c>
      <c r="M126">
        <f>--(D126&gt;0)</f>
        <v>1</v>
      </c>
    </row>
    <row r="127" spans="1:13" ht="15" customHeight="1">
      <c r="A127">
        <v>11</v>
      </c>
      <c r="B127">
        <v>11</v>
      </c>
      <c r="C127" s="25">
        <f>EDATE(参数设置!$B$4,A127-1)</f>
        <v>46548</v>
      </c>
      <c r="D127" s="21">
        <f>IF(AND(A127&lt;=参数设置!$B$6,OR(INDEX(月度资金流!$B$7:$B$42,A127)=策略字典!$A$1,INDEX(月度资金流!$B$7:$B$42,A127)=策略字典!$A$2)),参数设置!$B$5,0)</f>
        <v>23400</v>
      </c>
      <c r="E127">
        <v>4</v>
      </c>
      <c r="F127" s="25">
        <f>IF(E127=1,C127,G126)</f>
        <v>46665</v>
      </c>
      <c r="G127" s="25">
        <f>IF(E127&lt;参数设置!$B$13,DATE(YEAR(EDATE(C127,E127+1)),MONTH(EDATE(C127,E127+1)),参数设置!$B$14),EDATE(C127,参数设置!$B$13))</f>
        <v>46696</v>
      </c>
      <c r="H127">
        <f>G127-F127</f>
        <v>31</v>
      </c>
      <c r="I127" s="21">
        <f>IF(E127=参数设置!$B$13,D127,0)</f>
        <v>0</v>
      </c>
      <c r="J127" s="21">
        <f>IF(M127=1,ROUND(D127*参数设置!$B$11*H127/参数设置!$B$12,参数设置!$B$15),0)</f>
        <v>66.5</v>
      </c>
      <c r="K127" s="21">
        <f>I127+J127</f>
        <v>66.5</v>
      </c>
      <c r="L127" s="25">
        <f>EDATE(C127,参数设置!$B$13)</f>
        <v>46914</v>
      </c>
      <c r="M127">
        <f>--(D127&gt;0)</f>
        <v>1</v>
      </c>
    </row>
    <row r="128" spans="1:13" ht="15" customHeight="1">
      <c r="A128">
        <v>11</v>
      </c>
      <c r="B128">
        <v>11</v>
      </c>
      <c r="C128" s="25">
        <f>EDATE(参数设置!$B$4,A128-1)</f>
        <v>46548</v>
      </c>
      <c r="D128" s="21">
        <f>IF(AND(A128&lt;=参数设置!$B$6,OR(INDEX(月度资金流!$B$7:$B$42,A128)=策略字典!$A$1,INDEX(月度资金流!$B$7:$B$42,A128)=策略字典!$A$2)),参数设置!$B$5,0)</f>
        <v>23400</v>
      </c>
      <c r="E128">
        <v>5</v>
      </c>
      <c r="F128" s="25">
        <f>IF(E128=1,C128,G127)</f>
        <v>46696</v>
      </c>
      <c r="G128" s="25">
        <f>IF(E128&lt;参数设置!$B$13,DATE(YEAR(EDATE(C128,E128+1)),MONTH(EDATE(C128,E128+1)),参数设置!$B$14),EDATE(C128,参数设置!$B$13))</f>
        <v>46726</v>
      </c>
      <c r="H128">
        <f>G128-F128</f>
        <v>30</v>
      </c>
      <c r="I128" s="21">
        <f>IF(E128=参数设置!$B$13,D128,0)</f>
        <v>0</v>
      </c>
      <c r="J128" s="21">
        <f>IF(M128=1,ROUND(D128*参数设置!$B$11*H128/参数设置!$B$12,参数设置!$B$15),0)</f>
        <v>64.349999999999994</v>
      </c>
      <c r="K128" s="21">
        <f>I128+J128</f>
        <v>64.349999999999994</v>
      </c>
      <c r="L128" s="25">
        <f>EDATE(C128,参数设置!$B$13)</f>
        <v>46914</v>
      </c>
      <c r="M128">
        <f>--(D128&gt;0)</f>
        <v>1</v>
      </c>
    </row>
    <row r="129" spans="1:13" ht="15" customHeight="1">
      <c r="A129">
        <v>11</v>
      </c>
      <c r="B129">
        <v>11</v>
      </c>
      <c r="C129" s="25">
        <f>EDATE(参数设置!$B$4,A129-1)</f>
        <v>46548</v>
      </c>
      <c r="D129" s="21">
        <f>IF(AND(A129&lt;=参数设置!$B$6,OR(INDEX(月度资金流!$B$7:$B$42,A129)=策略字典!$A$1,INDEX(月度资金流!$B$7:$B$42,A129)=策略字典!$A$2)),参数设置!$B$5,0)</f>
        <v>23400</v>
      </c>
      <c r="E129">
        <v>6</v>
      </c>
      <c r="F129" s="25">
        <f>IF(E129=1,C129,G128)</f>
        <v>46726</v>
      </c>
      <c r="G129" s="25">
        <f>IF(E129&lt;参数设置!$B$13,DATE(YEAR(EDATE(C129,E129+1)),MONTH(EDATE(C129,E129+1)),参数设置!$B$14),EDATE(C129,参数设置!$B$13))</f>
        <v>46757</v>
      </c>
      <c r="H129">
        <f>G129-F129</f>
        <v>31</v>
      </c>
      <c r="I129" s="21">
        <f>IF(E129=参数设置!$B$13,D129,0)</f>
        <v>0</v>
      </c>
      <c r="J129" s="21">
        <f>IF(M129=1,ROUND(D129*参数设置!$B$11*H129/参数设置!$B$12,参数设置!$B$15),0)</f>
        <v>66.5</v>
      </c>
      <c r="K129" s="21">
        <f>I129+J129</f>
        <v>66.5</v>
      </c>
      <c r="L129" s="25">
        <f>EDATE(C129,参数设置!$B$13)</f>
        <v>46914</v>
      </c>
      <c r="M129">
        <f>--(D129&gt;0)</f>
        <v>1</v>
      </c>
    </row>
    <row r="130" spans="1:13" ht="15" customHeight="1">
      <c r="A130">
        <v>11</v>
      </c>
      <c r="B130">
        <v>11</v>
      </c>
      <c r="C130" s="25">
        <f>EDATE(参数设置!$B$4,A130-1)</f>
        <v>46548</v>
      </c>
      <c r="D130" s="21">
        <f>IF(AND(A130&lt;=参数设置!$B$6,OR(INDEX(月度资金流!$B$7:$B$42,A130)=策略字典!$A$1,INDEX(月度资金流!$B$7:$B$42,A130)=策略字典!$A$2)),参数设置!$B$5,0)</f>
        <v>23400</v>
      </c>
      <c r="E130">
        <v>7</v>
      </c>
      <c r="F130" s="25">
        <f>IF(E130=1,C130,G129)</f>
        <v>46757</v>
      </c>
      <c r="G130" s="25">
        <f>IF(E130&lt;参数设置!$B$13,DATE(YEAR(EDATE(C130,E130+1)),MONTH(EDATE(C130,E130+1)),参数设置!$B$14),EDATE(C130,参数设置!$B$13))</f>
        <v>46788</v>
      </c>
      <c r="H130">
        <f>G130-F130</f>
        <v>31</v>
      </c>
      <c r="I130" s="21">
        <f>IF(E130=参数设置!$B$13,D130,0)</f>
        <v>0</v>
      </c>
      <c r="J130" s="21">
        <f>IF(M130=1,ROUND(D130*参数设置!$B$11*H130/参数设置!$B$12,参数设置!$B$15),0)</f>
        <v>66.5</v>
      </c>
      <c r="K130" s="21">
        <f>I130+J130</f>
        <v>66.5</v>
      </c>
      <c r="L130" s="25">
        <f>EDATE(C130,参数设置!$B$13)</f>
        <v>46914</v>
      </c>
      <c r="M130">
        <f>--(D130&gt;0)</f>
        <v>1</v>
      </c>
    </row>
    <row r="131" spans="1:13" ht="15" customHeight="1">
      <c r="A131">
        <v>11</v>
      </c>
      <c r="B131">
        <v>11</v>
      </c>
      <c r="C131" s="25">
        <f>EDATE(参数设置!$B$4,A131-1)</f>
        <v>46548</v>
      </c>
      <c r="D131" s="21">
        <f>IF(AND(A131&lt;=参数设置!$B$6,OR(INDEX(月度资金流!$B$7:$B$42,A131)=策略字典!$A$1,INDEX(月度资金流!$B$7:$B$42,A131)=策略字典!$A$2)),参数设置!$B$5,0)</f>
        <v>23400</v>
      </c>
      <c r="E131">
        <v>8</v>
      </c>
      <c r="F131" s="25">
        <f>IF(E131=1,C131,G130)</f>
        <v>46788</v>
      </c>
      <c r="G131" s="25">
        <f>IF(E131&lt;参数设置!$B$13,DATE(YEAR(EDATE(C131,E131+1)),MONTH(EDATE(C131,E131+1)),参数设置!$B$14),EDATE(C131,参数设置!$B$13))</f>
        <v>46817</v>
      </c>
      <c r="H131">
        <f>G131-F131</f>
        <v>29</v>
      </c>
      <c r="I131" s="21">
        <f>IF(E131=参数设置!$B$13,D131,0)</f>
        <v>0</v>
      </c>
      <c r="J131" s="21">
        <f>IF(M131=1,ROUND(D131*参数设置!$B$11*H131/参数设置!$B$12,参数设置!$B$15),0)</f>
        <v>62.21</v>
      </c>
      <c r="K131" s="21">
        <f>I131+J131</f>
        <v>62.21</v>
      </c>
      <c r="L131" s="25">
        <f>EDATE(C131,参数设置!$B$13)</f>
        <v>46914</v>
      </c>
      <c r="M131">
        <f>--(D131&gt;0)</f>
        <v>1</v>
      </c>
    </row>
    <row r="132" spans="1:13" ht="15" customHeight="1">
      <c r="A132">
        <v>11</v>
      </c>
      <c r="B132">
        <v>11</v>
      </c>
      <c r="C132" s="25">
        <f>EDATE(参数设置!$B$4,A132-1)</f>
        <v>46548</v>
      </c>
      <c r="D132" s="21">
        <f>IF(AND(A132&lt;=参数设置!$B$6,OR(INDEX(月度资金流!$B$7:$B$42,A132)=策略字典!$A$1,INDEX(月度资金流!$B$7:$B$42,A132)=策略字典!$A$2)),参数设置!$B$5,0)</f>
        <v>23400</v>
      </c>
      <c r="E132">
        <v>9</v>
      </c>
      <c r="F132" s="25">
        <f>IF(E132=1,C132,G131)</f>
        <v>46817</v>
      </c>
      <c r="G132" s="25">
        <f>IF(E132&lt;参数设置!$B$13,DATE(YEAR(EDATE(C132,E132+1)),MONTH(EDATE(C132,E132+1)),参数设置!$B$14),EDATE(C132,参数设置!$B$13))</f>
        <v>46848</v>
      </c>
      <c r="H132">
        <f>G132-F132</f>
        <v>31</v>
      </c>
      <c r="I132" s="21">
        <f>IF(E132=参数设置!$B$13,D132,0)</f>
        <v>0</v>
      </c>
      <c r="J132" s="21">
        <f>IF(M132=1,ROUND(D132*参数设置!$B$11*H132/参数设置!$B$12,参数设置!$B$15),0)</f>
        <v>66.5</v>
      </c>
      <c r="K132" s="21">
        <f>I132+J132</f>
        <v>66.5</v>
      </c>
      <c r="L132" s="25">
        <f>EDATE(C132,参数设置!$B$13)</f>
        <v>46914</v>
      </c>
      <c r="M132">
        <f>--(D132&gt;0)</f>
        <v>1</v>
      </c>
    </row>
    <row r="133" spans="1:13" ht="15" customHeight="1">
      <c r="A133">
        <v>11</v>
      </c>
      <c r="B133">
        <v>11</v>
      </c>
      <c r="C133" s="25">
        <f>EDATE(参数设置!$B$4,A133-1)</f>
        <v>46548</v>
      </c>
      <c r="D133" s="21">
        <f>IF(AND(A133&lt;=参数设置!$B$6,OR(INDEX(月度资金流!$B$7:$B$42,A133)=策略字典!$A$1,INDEX(月度资金流!$B$7:$B$42,A133)=策略字典!$A$2)),参数设置!$B$5,0)</f>
        <v>23400</v>
      </c>
      <c r="E133">
        <v>10</v>
      </c>
      <c r="F133" s="25">
        <f>IF(E133=1,C133,G132)</f>
        <v>46848</v>
      </c>
      <c r="G133" s="25">
        <f>IF(E133&lt;参数设置!$B$13,DATE(YEAR(EDATE(C133,E133+1)),MONTH(EDATE(C133,E133+1)),参数设置!$B$14),EDATE(C133,参数设置!$B$13))</f>
        <v>46878</v>
      </c>
      <c r="H133">
        <f>G133-F133</f>
        <v>30</v>
      </c>
      <c r="I133" s="21">
        <f>IF(E133=参数设置!$B$13,D133,0)</f>
        <v>0</v>
      </c>
      <c r="J133" s="21">
        <f>IF(M133=1,ROUND(D133*参数设置!$B$11*H133/参数设置!$B$12,参数设置!$B$15),0)</f>
        <v>64.349999999999994</v>
      </c>
      <c r="K133" s="21">
        <f>I133+J133</f>
        <v>64.349999999999994</v>
      </c>
      <c r="L133" s="25">
        <f>EDATE(C133,参数设置!$B$13)</f>
        <v>46914</v>
      </c>
      <c r="M133">
        <f>--(D133&gt;0)</f>
        <v>1</v>
      </c>
    </row>
    <row r="134" spans="1:13" ht="15" customHeight="1">
      <c r="A134">
        <v>11</v>
      </c>
      <c r="B134">
        <v>11</v>
      </c>
      <c r="C134" s="25">
        <f>EDATE(参数设置!$B$4,A134-1)</f>
        <v>46548</v>
      </c>
      <c r="D134" s="21">
        <f>IF(AND(A134&lt;=参数设置!$B$6,OR(INDEX(月度资金流!$B$7:$B$42,A134)=策略字典!$A$1,INDEX(月度资金流!$B$7:$B$42,A134)=策略字典!$A$2)),参数设置!$B$5,0)</f>
        <v>23400</v>
      </c>
      <c r="E134">
        <v>11</v>
      </c>
      <c r="F134" s="25">
        <f>IF(E134=1,C134,G133)</f>
        <v>46878</v>
      </c>
      <c r="G134" s="25">
        <f>IF(E134&lt;参数设置!$B$13,DATE(YEAR(EDATE(C134,E134+1)),MONTH(EDATE(C134,E134+1)),参数设置!$B$14),EDATE(C134,参数设置!$B$13))</f>
        <v>46909</v>
      </c>
      <c r="H134">
        <f>G134-F134</f>
        <v>31</v>
      </c>
      <c r="I134" s="21">
        <f>IF(E134=参数设置!$B$13,D134,0)</f>
        <v>0</v>
      </c>
      <c r="J134" s="21">
        <f>IF(M134=1,ROUND(D134*参数设置!$B$11*H134/参数设置!$B$12,参数设置!$B$15),0)</f>
        <v>66.5</v>
      </c>
      <c r="K134" s="21">
        <f>I134+J134</f>
        <v>66.5</v>
      </c>
      <c r="L134" s="25">
        <f>EDATE(C134,参数设置!$B$13)</f>
        <v>46914</v>
      </c>
      <c r="M134">
        <f>--(D134&gt;0)</f>
        <v>1</v>
      </c>
    </row>
    <row r="135" spans="1:13" ht="15" customHeight="1">
      <c r="A135">
        <v>11</v>
      </c>
      <c r="B135">
        <v>11</v>
      </c>
      <c r="C135" s="25">
        <f>EDATE(参数设置!$B$4,A135-1)</f>
        <v>46548</v>
      </c>
      <c r="D135" s="21">
        <f>IF(AND(A135&lt;=参数设置!$B$6,OR(INDEX(月度资金流!$B$7:$B$42,A135)=策略字典!$A$1,INDEX(月度资金流!$B$7:$B$42,A135)=策略字典!$A$2)),参数设置!$B$5,0)</f>
        <v>23400</v>
      </c>
      <c r="E135">
        <v>12</v>
      </c>
      <c r="F135" s="25">
        <f>IF(E135=1,C135,G134)</f>
        <v>46909</v>
      </c>
      <c r="G135" s="25">
        <f>IF(E135&lt;参数设置!$B$13,DATE(YEAR(EDATE(C135,E135+1)),MONTH(EDATE(C135,E135+1)),参数设置!$B$14),EDATE(C135,参数设置!$B$13))</f>
        <v>46914</v>
      </c>
      <c r="H135">
        <f>G135-F135</f>
        <v>5</v>
      </c>
      <c r="I135" s="21">
        <f>IF(E135=参数设置!$B$13,D135,0)</f>
        <v>23400</v>
      </c>
      <c r="J135" s="21">
        <f>IF(M135=1,ROUND(D135*参数设置!$B$11*H135/参数设置!$B$12,参数设置!$B$15),0)</f>
        <v>10.73</v>
      </c>
      <c r="K135" s="21">
        <f>I135+J135</f>
        <v>23410.73</v>
      </c>
      <c r="L135" s="25">
        <f>EDATE(C135,参数设置!$B$13)</f>
        <v>46914</v>
      </c>
      <c r="M135">
        <f>--(D135&gt;0)</f>
        <v>1</v>
      </c>
    </row>
    <row r="136" spans="1:13" ht="15" customHeight="1">
      <c r="A136">
        <v>12</v>
      </c>
      <c r="B136">
        <v>12</v>
      </c>
      <c r="C136" s="25">
        <f>EDATE(参数设置!$B$4,A136-1)</f>
        <v>46578</v>
      </c>
      <c r="D136" s="21">
        <f>IF(AND(A136&lt;=参数设置!$B$6,OR(INDEX(月度资金流!$B$7:$B$42,A136)=策略字典!$A$1,INDEX(月度资金流!$B$7:$B$42,A136)=策略字典!$A$2)),参数设置!$B$5,0)</f>
        <v>23400</v>
      </c>
      <c r="E136">
        <v>1</v>
      </c>
      <c r="F136" s="25">
        <f>IF(E136=1,C136,G135)</f>
        <v>46578</v>
      </c>
      <c r="G136" s="25">
        <f>IF(E136&lt;参数设置!$B$13,DATE(YEAR(EDATE(C136,E136+1)),MONTH(EDATE(C136,E136+1)),参数设置!$B$14),EDATE(C136,参数设置!$B$13))</f>
        <v>46635</v>
      </c>
      <c r="H136">
        <f>G136-F136</f>
        <v>57</v>
      </c>
      <c r="I136" s="21">
        <f>IF(E136=参数设置!$B$13,D136,0)</f>
        <v>0</v>
      </c>
      <c r="J136" s="21">
        <f>IF(M136=1,ROUND(D136*参数设置!$B$11*H136/参数设置!$B$12,参数设置!$B$15),0)</f>
        <v>122.27</v>
      </c>
      <c r="K136" s="21">
        <f>I136+J136</f>
        <v>122.27</v>
      </c>
      <c r="L136" s="25">
        <f>EDATE(C136,参数设置!$B$13)</f>
        <v>46944</v>
      </c>
      <c r="M136">
        <f>--(D136&gt;0)</f>
        <v>1</v>
      </c>
    </row>
    <row r="137" spans="1:13" ht="15" customHeight="1">
      <c r="A137">
        <v>12</v>
      </c>
      <c r="B137">
        <v>12</v>
      </c>
      <c r="C137" s="25">
        <f>EDATE(参数设置!$B$4,A137-1)</f>
        <v>46578</v>
      </c>
      <c r="D137" s="21">
        <f>IF(AND(A137&lt;=参数设置!$B$6,OR(INDEX(月度资金流!$B$7:$B$42,A137)=策略字典!$A$1,INDEX(月度资金流!$B$7:$B$42,A137)=策略字典!$A$2)),参数设置!$B$5,0)</f>
        <v>23400</v>
      </c>
      <c r="E137">
        <v>2</v>
      </c>
      <c r="F137" s="25">
        <f>IF(E137=1,C137,G136)</f>
        <v>46635</v>
      </c>
      <c r="G137" s="25">
        <f>IF(E137&lt;参数设置!$B$13,DATE(YEAR(EDATE(C137,E137+1)),MONTH(EDATE(C137,E137+1)),参数设置!$B$14),EDATE(C137,参数设置!$B$13))</f>
        <v>46665</v>
      </c>
      <c r="H137">
        <f>G137-F137</f>
        <v>30</v>
      </c>
      <c r="I137" s="21">
        <f>IF(E137=参数设置!$B$13,D137,0)</f>
        <v>0</v>
      </c>
      <c r="J137" s="21">
        <f>IF(M137=1,ROUND(D137*参数设置!$B$11*H137/参数设置!$B$12,参数设置!$B$15),0)</f>
        <v>64.349999999999994</v>
      </c>
      <c r="K137" s="21">
        <f>I137+J137</f>
        <v>64.349999999999994</v>
      </c>
      <c r="L137" s="25">
        <f>EDATE(C137,参数设置!$B$13)</f>
        <v>46944</v>
      </c>
      <c r="M137">
        <f>--(D137&gt;0)</f>
        <v>1</v>
      </c>
    </row>
    <row r="138" spans="1:13" ht="15" customHeight="1">
      <c r="A138">
        <v>12</v>
      </c>
      <c r="B138">
        <v>12</v>
      </c>
      <c r="C138" s="25">
        <f>EDATE(参数设置!$B$4,A138-1)</f>
        <v>46578</v>
      </c>
      <c r="D138" s="21">
        <f>IF(AND(A138&lt;=参数设置!$B$6,OR(INDEX(月度资金流!$B$7:$B$42,A138)=策略字典!$A$1,INDEX(月度资金流!$B$7:$B$42,A138)=策略字典!$A$2)),参数设置!$B$5,0)</f>
        <v>23400</v>
      </c>
      <c r="E138">
        <v>3</v>
      </c>
      <c r="F138" s="25">
        <f>IF(E138=1,C138,G137)</f>
        <v>46665</v>
      </c>
      <c r="G138" s="25">
        <f>IF(E138&lt;参数设置!$B$13,DATE(YEAR(EDATE(C138,E138+1)),MONTH(EDATE(C138,E138+1)),参数设置!$B$14),EDATE(C138,参数设置!$B$13))</f>
        <v>46696</v>
      </c>
      <c r="H138">
        <f>G138-F138</f>
        <v>31</v>
      </c>
      <c r="I138" s="21">
        <f>IF(E138=参数设置!$B$13,D138,0)</f>
        <v>0</v>
      </c>
      <c r="J138" s="21">
        <f>IF(M138=1,ROUND(D138*参数设置!$B$11*H138/参数设置!$B$12,参数设置!$B$15),0)</f>
        <v>66.5</v>
      </c>
      <c r="K138" s="21">
        <f>I138+J138</f>
        <v>66.5</v>
      </c>
      <c r="L138" s="25">
        <f>EDATE(C138,参数设置!$B$13)</f>
        <v>46944</v>
      </c>
      <c r="M138">
        <f>--(D138&gt;0)</f>
        <v>1</v>
      </c>
    </row>
    <row r="139" spans="1:13" ht="15" customHeight="1">
      <c r="A139">
        <v>12</v>
      </c>
      <c r="B139">
        <v>12</v>
      </c>
      <c r="C139" s="25">
        <f>EDATE(参数设置!$B$4,A139-1)</f>
        <v>46578</v>
      </c>
      <c r="D139" s="21">
        <f>IF(AND(A139&lt;=参数设置!$B$6,OR(INDEX(月度资金流!$B$7:$B$42,A139)=策略字典!$A$1,INDEX(月度资金流!$B$7:$B$42,A139)=策略字典!$A$2)),参数设置!$B$5,0)</f>
        <v>23400</v>
      </c>
      <c r="E139">
        <v>4</v>
      </c>
      <c r="F139" s="25">
        <f>IF(E139=1,C139,G138)</f>
        <v>46696</v>
      </c>
      <c r="G139" s="25">
        <f>IF(E139&lt;参数设置!$B$13,DATE(YEAR(EDATE(C139,E139+1)),MONTH(EDATE(C139,E139+1)),参数设置!$B$14),EDATE(C139,参数设置!$B$13))</f>
        <v>46726</v>
      </c>
      <c r="H139">
        <f>G139-F139</f>
        <v>30</v>
      </c>
      <c r="I139" s="21">
        <f>IF(E139=参数设置!$B$13,D139,0)</f>
        <v>0</v>
      </c>
      <c r="J139" s="21">
        <f>IF(M139=1,ROUND(D139*参数设置!$B$11*H139/参数设置!$B$12,参数设置!$B$15),0)</f>
        <v>64.349999999999994</v>
      </c>
      <c r="K139" s="21">
        <f>I139+J139</f>
        <v>64.349999999999994</v>
      </c>
      <c r="L139" s="25">
        <f>EDATE(C139,参数设置!$B$13)</f>
        <v>46944</v>
      </c>
      <c r="M139">
        <f>--(D139&gt;0)</f>
        <v>1</v>
      </c>
    </row>
    <row r="140" spans="1:13" ht="15" customHeight="1">
      <c r="A140">
        <v>12</v>
      </c>
      <c r="B140">
        <v>12</v>
      </c>
      <c r="C140" s="25">
        <f>EDATE(参数设置!$B$4,A140-1)</f>
        <v>46578</v>
      </c>
      <c r="D140" s="21">
        <f>IF(AND(A140&lt;=参数设置!$B$6,OR(INDEX(月度资金流!$B$7:$B$42,A140)=策略字典!$A$1,INDEX(月度资金流!$B$7:$B$42,A140)=策略字典!$A$2)),参数设置!$B$5,0)</f>
        <v>23400</v>
      </c>
      <c r="E140">
        <v>5</v>
      </c>
      <c r="F140" s="25">
        <f>IF(E140=1,C140,G139)</f>
        <v>46726</v>
      </c>
      <c r="G140" s="25">
        <f>IF(E140&lt;参数设置!$B$13,DATE(YEAR(EDATE(C140,E140+1)),MONTH(EDATE(C140,E140+1)),参数设置!$B$14),EDATE(C140,参数设置!$B$13))</f>
        <v>46757</v>
      </c>
      <c r="H140">
        <f>G140-F140</f>
        <v>31</v>
      </c>
      <c r="I140" s="21">
        <f>IF(E140=参数设置!$B$13,D140,0)</f>
        <v>0</v>
      </c>
      <c r="J140" s="21">
        <f>IF(M140=1,ROUND(D140*参数设置!$B$11*H140/参数设置!$B$12,参数设置!$B$15),0)</f>
        <v>66.5</v>
      </c>
      <c r="K140" s="21">
        <f>I140+J140</f>
        <v>66.5</v>
      </c>
      <c r="L140" s="25">
        <f>EDATE(C140,参数设置!$B$13)</f>
        <v>46944</v>
      </c>
      <c r="M140">
        <f>--(D140&gt;0)</f>
        <v>1</v>
      </c>
    </row>
    <row r="141" spans="1:13" ht="15" customHeight="1">
      <c r="A141">
        <v>12</v>
      </c>
      <c r="B141">
        <v>12</v>
      </c>
      <c r="C141" s="25">
        <f>EDATE(参数设置!$B$4,A141-1)</f>
        <v>46578</v>
      </c>
      <c r="D141" s="21">
        <f>IF(AND(A141&lt;=参数设置!$B$6,OR(INDEX(月度资金流!$B$7:$B$42,A141)=策略字典!$A$1,INDEX(月度资金流!$B$7:$B$42,A141)=策略字典!$A$2)),参数设置!$B$5,0)</f>
        <v>23400</v>
      </c>
      <c r="E141">
        <v>6</v>
      </c>
      <c r="F141" s="25">
        <f>IF(E141=1,C141,G140)</f>
        <v>46757</v>
      </c>
      <c r="G141" s="25">
        <f>IF(E141&lt;参数设置!$B$13,DATE(YEAR(EDATE(C141,E141+1)),MONTH(EDATE(C141,E141+1)),参数设置!$B$14),EDATE(C141,参数设置!$B$13))</f>
        <v>46788</v>
      </c>
      <c r="H141">
        <f>G141-F141</f>
        <v>31</v>
      </c>
      <c r="I141" s="21">
        <f>IF(E141=参数设置!$B$13,D141,0)</f>
        <v>0</v>
      </c>
      <c r="J141" s="21">
        <f>IF(M141=1,ROUND(D141*参数设置!$B$11*H141/参数设置!$B$12,参数设置!$B$15),0)</f>
        <v>66.5</v>
      </c>
      <c r="K141" s="21">
        <f>I141+J141</f>
        <v>66.5</v>
      </c>
      <c r="L141" s="25">
        <f>EDATE(C141,参数设置!$B$13)</f>
        <v>46944</v>
      </c>
      <c r="M141">
        <f>--(D141&gt;0)</f>
        <v>1</v>
      </c>
    </row>
    <row r="142" spans="1:13" ht="15" customHeight="1">
      <c r="A142">
        <v>12</v>
      </c>
      <c r="B142">
        <v>12</v>
      </c>
      <c r="C142" s="25">
        <f>EDATE(参数设置!$B$4,A142-1)</f>
        <v>46578</v>
      </c>
      <c r="D142" s="21">
        <f>IF(AND(A142&lt;=参数设置!$B$6,OR(INDEX(月度资金流!$B$7:$B$42,A142)=策略字典!$A$1,INDEX(月度资金流!$B$7:$B$42,A142)=策略字典!$A$2)),参数设置!$B$5,0)</f>
        <v>23400</v>
      </c>
      <c r="E142">
        <v>7</v>
      </c>
      <c r="F142" s="25">
        <f>IF(E142=1,C142,G141)</f>
        <v>46788</v>
      </c>
      <c r="G142" s="25">
        <f>IF(E142&lt;参数设置!$B$13,DATE(YEAR(EDATE(C142,E142+1)),MONTH(EDATE(C142,E142+1)),参数设置!$B$14),EDATE(C142,参数设置!$B$13))</f>
        <v>46817</v>
      </c>
      <c r="H142">
        <f>G142-F142</f>
        <v>29</v>
      </c>
      <c r="I142" s="21">
        <f>IF(E142=参数设置!$B$13,D142,0)</f>
        <v>0</v>
      </c>
      <c r="J142" s="21">
        <f>IF(M142=1,ROUND(D142*参数设置!$B$11*H142/参数设置!$B$12,参数设置!$B$15),0)</f>
        <v>62.21</v>
      </c>
      <c r="K142" s="21">
        <f>I142+J142</f>
        <v>62.21</v>
      </c>
      <c r="L142" s="25">
        <f>EDATE(C142,参数设置!$B$13)</f>
        <v>46944</v>
      </c>
      <c r="M142">
        <f>--(D142&gt;0)</f>
        <v>1</v>
      </c>
    </row>
    <row r="143" spans="1:13" ht="15" customHeight="1">
      <c r="A143">
        <v>12</v>
      </c>
      <c r="B143">
        <v>12</v>
      </c>
      <c r="C143" s="25">
        <f>EDATE(参数设置!$B$4,A143-1)</f>
        <v>46578</v>
      </c>
      <c r="D143" s="21">
        <f>IF(AND(A143&lt;=参数设置!$B$6,OR(INDEX(月度资金流!$B$7:$B$42,A143)=策略字典!$A$1,INDEX(月度资金流!$B$7:$B$42,A143)=策略字典!$A$2)),参数设置!$B$5,0)</f>
        <v>23400</v>
      </c>
      <c r="E143">
        <v>8</v>
      </c>
      <c r="F143" s="25">
        <f>IF(E143=1,C143,G142)</f>
        <v>46817</v>
      </c>
      <c r="G143" s="25">
        <f>IF(E143&lt;参数设置!$B$13,DATE(YEAR(EDATE(C143,E143+1)),MONTH(EDATE(C143,E143+1)),参数设置!$B$14),EDATE(C143,参数设置!$B$13))</f>
        <v>46848</v>
      </c>
      <c r="H143">
        <f>G143-F143</f>
        <v>31</v>
      </c>
      <c r="I143" s="21">
        <f>IF(E143=参数设置!$B$13,D143,0)</f>
        <v>0</v>
      </c>
      <c r="J143" s="21">
        <f>IF(M143=1,ROUND(D143*参数设置!$B$11*H143/参数设置!$B$12,参数设置!$B$15),0)</f>
        <v>66.5</v>
      </c>
      <c r="K143" s="21">
        <f>I143+J143</f>
        <v>66.5</v>
      </c>
      <c r="L143" s="25">
        <f>EDATE(C143,参数设置!$B$13)</f>
        <v>46944</v>
      </c>
      <c r="M143">
        <f>--(D143&gt;0)</f>
        <v>1</v>
      </c>
    </row>
    <row r="144" spans="1:13" ht="15" customHeight="1">
      <c r="A144">
        <v>12</v>
      </c>
      <c r="B144">
        <v>12</v>
      </c>
      <c r="C144" s="25">
        <f>EDATE(参数设置!$B$4,A144-1)</f>
        <v>46578</v>
      </c>
      <c r="D144" s="21">
        <f>IF(AND(A144&lt;=参数设置!$B$6,OR(INDEX(月度资金流!$B$7:$B$42,A144)=策略字典!$A$1,INDEX(月度资金流!$B$7:$B$42,A144)=策略字典!$A$2)),参数设置!$B$5,0)</f>
        <v>23400</v>
      </c>
      <c r="E144">
        <v>9</v>
      </c>
      <c r="F144" s="25">
        <f>IF(E144=1,C144,G143)</f>
        <v>46848</v>
      </c>
      <c r="G144" s="25">
        <f>IF(E144&lt;参数设置!$B$13,DATE(YEAR(EDATE(C144,E144+1)),MONTH(EDATE(C144,E144+1)),参数设置!$B$14),EDATE(C144,参数设置!$B$13))</f>
        <v>46878</v>
      </c>
      <c r="H144">
        <f>G144-F144</f>
        <v>30</v>
      </c>
      <c r="I144" s="21">
        <f>IF(E144=参数设置!$B$13,D144,0)</f>
        <v>0</v>
      </c>
      <c r="J144" s="21">
        <f>IF(M144=1,ROUND(D144*参数设置!$B$11*H144/参数设置!$B$12,参数设置!$B$15),0)</f>
        <v>64.349999999999994</v>
      </c>
      <c r="K144" s="21">
        <f>I144+J144</f>
        <v>64.349999999999994</v>
      </c>
      <c r="L144" s="25">
        <f>EDATE(C144,参数设置!$B$13)</f>
        <v>46944</v>
      </c>
      <c r="M144">
        <f>--(D144&gt;0)</f>
        <v>1</v>
      </c>
    </row>
    <row r="145" spans="1:13" ht="15" customHeight="1">
      <c r="A145">
        <v>12</v>
      </c>
      <c r="B145">
        <v>12</v>
      </c>
      <c r="C145" s="25">
        <f>EDATE(参数设置!$B$4,A145-1)</f>
        <v>46578</v>
      </c>
      <c r="D145" s="21">
        <f>IF(AND(A145&lt;=参数设置!$B$6,OR(INDEX(月度资金流!$B$7:$B$42,A145)=策略字典!$A$1,INDEX(月度资金流!$B$7:$B$42,A145)=策略字典!$A$2)),参数设置!$B$5,0)</f>
        <v>23400</v>
      </c>
      <c r="E145">
        <v>10</v>
      </c>
      <c r="F145" s="25">
        <f>IF(E145=1,C145,G144)</f>
        <v>46878</v>
      </c>
      <c r="G145" s="25">
        <f>IF(E145&lt;参数设置!$B$13,DATE(YEAR(EDATE(C145,E145+1)),MONTH(EDATE(C145,E145+1)),参数设置!$B$14),EDATE(C145,参数设置!$B$13))</f>
        <v>46909</v>
      </c>
      <c r="H145">
        <f>G145-F145</f>
        <v>31</v>
      </c>
      <c r="I145" s="21">
        <f>IF(E145=参数设置!$B$13,D145,0)</f>
        <v>0</v>
      </c>
      <c r="J145" s="21">
        <f>IF(M145=1,ROUND(D145*参数设置!$B$11*H145/参数设置!$B$12,参数设置!$B$15),0)</f>
        <v>66.5</v>
      </c>
      <c r="K145" s="21">
        <f>I145+J145</f>
        <v>66.5</v>
      </c>
      <c r="L145" s="25">
        <f>EDATE(C145,参数设置!$B$13)</f>
        <v>46944</v>
      </c>
      <c r="M145">
        <f>--(D145&gt;0)</f>
        <v>1</v>
      </c>
    </row>
    <row r="146" spans="1:13" ht="15" customHeight="1">
      <c r="A146">
        <v>12</v>
      </c>
      <c r="B146">
        <v>12</v>
      </c>
      <c r="C146" s="25">
        <f>EDATE(参数设置!$B$4,A146-1)</f>
        <v>46578</v>
      </c>
      <c r="D146" s="21">
        <f>IF(AND(A146&lt;=参数设置!$B$6,OR(INDEX(月度资金流!$B$7:$B$42,A146)=策略字典!$A$1,INDEX(月度资金流!$B$7:$B$42,A146)=策略字典!$A$2)),参数设置!$B$5,0)</f>
        <v>23400</v>
      </c>
      <c r="E146">
        <v>11</v>
      </c>
      <c r="F146" s="25">
        <f>IF(E146=1,C146,G145)</f>
        <v>46909</v>
      </c>
      <c r="G146" s="25">
        <f>IF(E146&lt;参数设置!$B$13,DATE(YEAR(EDATE(C146,E146+1)),MONTH(EDATE(C146,E146+1)),参数设置!$B$14),EDATE(C146,参数设置!$B$13))</f>
        <v>46939</v>
      </c>
      <c r="H146">
        <f>G146-F146</f>
        <v>30</v>
      </c>
      <c r="I146" s="21">
        <f>IF(E146=参数设置!$B$13,D146,0)</f>
        <v>0</v>
      </c>
      <c r="J146" s="21">
        <f>IF(M146=1,ROUND(D146*参数设置!$B$11*H146/参数设置!$B$12,参数设置!$B$15),0)</f>
        <v>64.349999999999994</v>
      </c>
      <c r="K146" s="21">
        <f>I146+J146</f>
        <v>64.349999999999994</v>
      </c>
      <c r="L146" s="25">
        <f>EDATE(C146,参数设置!$B$13)</f>
        <v>46944</v>
      </c>
      <c r="M146">
        <f>--(D146&gt;0)</f>
        <v>1</v>
      </c>
    </row>
    <row r="147" spans="1:13" ht="15" customHeight="1">
      <c r="A147">
        <v>12</v>
      </c>
      <c r="B147">
        <v>12</v>
      </c>
      <c r="C147" s="25">
        <f>EDATE(参数设置!$B$4,A147-1)</f>
        <v>46578</v>
      </c>
      <c r="D147" s="21">
        <f>IF(AND(A147&lt;=参数设置!$B$6,OR(INDEX(月度资金流!$B$7:$B$42,A147)=策略字典!$A$1,INDEX(月度资金流!$B$7:$B$42,A147)=策略字典!$A$2)),参数设置!$B$5,0)</f>
        <v>23400</v>
      </c>
      <c r="E147">
        <v>12</v>
      </c>
      <c r="F147" s="25">
        <f>IF(E147=1,C147,G146)</f>
        <v>46939</v>
      </c>
      <c r="G147" s="25">
        <f>IF(E147&lt;参数设置!$B$13,DATE(YEAR(EDATE(C147,E147+1)),MONTH(EDATE(C147,E147+1)),参数设置!$B$14),EDATE(C147,参数设置!$B$13))</f>
        <v>46944</v>
      </c>
      <c r="H147">
        <f>G147-F147</f>
        <v>5</v>
      </c>
      <c r="I147" s="21">
        <f>IF(E147=参数设置!$B$13,D147,0)</f>
        <v>23400</v>
      </c>
      <c r="J147" s="21">
        <f>IF(M147=1,ROUND(D147*参数设置!$B$11*H147/参数设置!$B$12,参数设置!$B$15),0)</f>
        <v>10.73</v>
      </c>
      <c r="K147" s="21">
        <f>I147+J147</f>
        <v>23410.73</v>
      </c>
      <c r="L147" s="25">
        <f>EDATE(C147,参数设置!$B$13)</f>
        <v>46944</v>
      </c>
      <c r="M147">
        <f>--(D147&gt;0)</f>
        <v>1</v>
      </c>
    </row>
    <row r="148" spans="1:13" ht="15" customHeight="1">
      <c r="A148">
        <v>13</v>
      </c>
      <c r="B148">
        <v>13</v>
      </c>
      <c r="C148" s="25">
        <f>EDATE(参数设置!$B$4,A148-1)</f>
        <v>46609</v>
      </c>
      <c r="D148" s="21">
        <f>IF(AND(A148&lt;=参数设置!$B$6,OR(INDEX(月度资金流!$B$7:$B$42,A148)=策略字典!$A$1,INDEX(月度资金流!$B$7:$B$42,A148)=策略字典!$A$2)),参数设置!$B$5,0)</f>
        <v>23400</v>
      </c>
      <c r="E148">
        <v>1</v>
      </c>
      <c r="F148" s="25">
        <f>IF(E148=1,C148,G147)</f>
        <v>46609</v>
      </c>
      <c r="G148" s="25">
        <f>IF(E148&lt;参数设置!$B$13,DATE(YEAR(EDATE(C148,E148+1)),MONTH(EDATE(C148,E148+1)),参数设置!$B$14),EDATE(C148,参数设置!$B$13))</f>
        <v>46665</v>
      </c>
      <c r="H148">
        <f>G148-F148</f>
        <v>56</v>
      </c>
      <c r="I148" s="21">
        <f>IF(E148=参数设置!$B$13,D148,0)</f>
        <v>0</v>
      </c>
      <c r="J148" s="21">
        <f>IF(M148=1,ROUND(D148*参数设置!$B$11*H148/参数设置!$B$12,参数设置!$B$15),0)</f>
        <v>120.12</v>
      </c>
      <c r="K148" s="21">
        <f>I148+J148</f>
        <v>120.12</v>
      </c>
      <c r="L148" s="25">
        <f>EDATE(C148,参数设置!$B$13)</f>
        <v>46975</v>
      </c>
      <c r="M148">
        <f>--(D148&gt;0)</f>
        <v>1</v>
      </c>
    </row>
    <row r="149" spans="1:13" ht="15" customHeight="1">
      <c r="A149">
        <v>13</v>
      </c>
      <c r="B149">
        <v>13</v>
      </c>
      <c r="C149" s="25">
        <f>EDATE(参数设置!$B$4,A149-1)</f>
        <v>46609</v>
      </c>
      <c r="D149" s="21">
        <f>IF(AND(A149&lt;=参数设置!$B$6,OR(INDEX(月度资金流!$B$7:$B$42,A149)=策略字典!$A$1,INDEX(月度资金流!$B$7:$B$42,A149)=策略字典!$A$2)),参数设置!$B$5,0)</f>
        <v>23400</v>
      </c>
      <c r="E149">
        <v>2</v>
      </c>
      <c r="F149" s="25">
        <f>IF(E149=1,C149,G148)</f>
        <v>46665</v>
      </c>
      <c r="G149" s="25">
        <f>IF(E149&lt;参数设置!$B$13,DATE(YEAR(EDATE(C149,E149+1)),MONTH(EDATE(C149,E149+1)),参数设置!$B$14),EDATE(C149,参数设置!$B$13))</f>
        <v>46696</v>
      </c>
      <c r="H149">
        <f>G149-F149</f>
        <v>31</v>
      </c>
      <c r="I149" s="21">
        <f>IF(E149=参数设置!$B$13,D149,0)</f>
        <v>0</v>
      </c>
      <c r="J149" s="21">
        <f>IF(M149=1,ROUND(D149*参数设置!$B$11*H149/参数设置!$B$12,参数设置!$B$15),0)</f>
        <v>66.5</v>
      </c>
      <c r="K149" s="21">
        <f>I149+J149</f>
        <v>66.5</v>
      </c>
      <c r="L149" s="25">
        <f>EDATE(C149,参数设置!$B$13)</f>
        <v>46975</v>
      </c>
      <c r="M149">
        <f>--(D149&gt;0)</f>
        <v>1</v>
      </c>
    </row>
    <row r="150" spans="1:13" ht="15" customHeight="1">
      <c r="A150">
        <v>13</v>
      </c>
      <c r="B150">
        <v>13</v>
      </c>
      <c r="C150" s="25">
        <f>EDATE(参数设置!$B$4,A150-1)</f>
        <v>46609</v>
      </c>
      <c r="D150" s="21">
        <f>IF(AND(A150&lt;=参数设置!$B$6,OR(INDEX(月度资金流!$B$7:$B$42,A150)=策略字典!$A$1,INDEX(月度资金流!$B$7:$B$42,A150)=策略字典!$A$2)),参数设置!$B$5,0)</f>
        <v>23400</v>
      </c>
      <c r="E150">
        <v>3</v>
      </c>
      <c r="F150" s="25">
        <f>IF(E150=1,C150,G149)</f>
        <v>46696</v>
      </c>
      <c r="G150" s="25">
        <f>IF(E150&lt;参数设置!$B$13,DATE(YEAR(EDATE(C150,E150+1)),MONTH(EDATE(C150,E150+1)),参数设置!$B$14),EDATE(C150,参数设置!$B$13))</f>
        <v>46726</v>
      </c>
      <c r="H150">
        <f>G150-F150</f>
        <v>30</v>
      </c>
      <c r="I150" s="21">
        <f>IF(E150=参数设置!$B$13,D150,0)</f>
        <v>0</v>
      </c>
      <c r="J150" s="21">
        <f>IF(M150=1,ROUND(D150*参数设置!$B$11*H150/参数设置!$B$12,参数设置!$B$15),0)</f>
        <v>64.349999999999994</v>
      </c>
      <c r="K150" s="21">
        <f>I150+J150</f>
        <v>64.349999999999994</v>
      </c>
      <c r="L150" s="25">
        <f>EDATE(C150,参数设置!$B$13)</f>
        <v>46975</v>
      </c>
      <c r="M150">
        <f>--(D150&gt;0)</f>
        <v>1</v>
      </c>
    </row>
    <row r="151" spans="1:13" ht="15" customHeight="1">
      <c r="A151">
        <v>13</v>
      </c>
      <c r="B151">
        <v>13</v>
      </c>
      <c r="C151" s="25">
        <f>EDATE(参数设置!$B$4,A151-1)</f>
        <v>46609</v>
      </c>
      <c r="D151" s="21">
        <f>IF(AND(A151&lt;=参数设置!$B$6,OR(INDEX(月度资金流!$B$7:$B$42,A151)=策略字典!$A$1,INDEX(月度资金流!$B$7:$B$42,A151)=策略字典!$A$2)),参数设置!$B$5,0)</f>
        <v>23400</v>
      </c>
      <c r="E151">
        <v>4</v>
      </c>
      <c r="F151" s="25">
        <f>IF(E151=1,C151,G150)</f>
        <v>46726</v>
      </c>
      <c r="G151" s="25">
        <f>IF(E151&lt;参数设置!$B$13,DATE(YEAR(EDATE(C151,E151+1)),MONTH(EDATE(C151,E151+1)),参数设置!$B$14),EDATE(C151,参数设置!$B$13))</f>
        <v>46757</v>
      </c>
      <c r="H151">
        <f>G151-F151</f>
        <v>31</v>
      </c>
      <c r="I151" s="21">
        <f>IF(E151=参数设置!$B$13,D151,0)</f>
        <v>0</v>
      </c>
      <c r="J151" s="21">
        <f>IF(M151=1,ROUND(D151*参数设置!$B$11*H151/参数设置!$B$12,参数设置!$B$15),0)</f>
        <v>66.5</v>
      </c>
      <c r="K151" s="21">
        <f>I151+J151</f>
        <v>66.5</v>
      </c>
      <c r="L151" s="25">
        <f>EDATE(C151,参数设置!$B$13)</f>
        <v>46975</v>
      </c>
      <c r="M151">
        <f>--(D151&gt;0)</f>
        <v>1</v>
      </c>
    </row>
    <row r="152" spans="1:13" ht="15" customHeight="1">
      <c r="A152">
        <v>13</v>
      </c>
      <c r="B152">
        <v>13</v>
      </c>
      <c r="C152" s="25">
        <f>EDATE(参数设置!$B$4,A152-1)</f>
        <v>46609</v>
      </c>
      <c r="D152" s="21">
        <f>IF(AND(A152&lt;=参数设置!$B$6,OR(INDEX(月度资金流!$B$7:$B$42,A152)=策略字典!$A$1,INDEX(月度资金流!$B$7:$B$42,A152)=策略字典!$A$2)),参数设置!$B$5,0)</f>
        <v>23400</v>
      </c>
      <c r="E152">
        <v>5</v>
      </c>
      <c r="F152" s="25">
        <f>IF(E152=1,C152,G151)</f>
        <v>46757</v>
      </c>
      <c r="G152" s="25">
        <f>IF(E152&lt;参数设置!$B$13,DATE(YEAR(EDATE(C152,E152+1)),MONTH(EDATE(C152,E152+1)),参数设置!$B$14),EDATE(C152,参数设置!$B$13))</f>
        <v>46788</v>
      </c>
      <c r="H152">
        <f>G152-F152</f>
        <v>31</v>
      </c>
      <c r="I152" s="21">
        <f>IF(E152=参数设置!$B$13,D152,0)</f>
        <v>0</v>
      </c>
      <c r="J152" s="21">
        <f>IF(M152=1,ROUND(D152*参数设置!$B$11*H152/参数设置!$B$12,参数设置!$B$15),0)</f>
        <v>66.5</v>
      </c>
      <c r="K152" s="21">
        <f>I152+J152</f>
        <v>66.5</v>
      </c>
      <c r="L152" s="25">
        <f>EDATE(C152,参数设置!$B$13)</f>
        <v>46975</v>
      </c>
      <c r="M152">
        <f>--(D152&gt;0)</f>
        <v>1</v>
      </c>
    </row>
    <row r="153" spans="1:13" ht="15" customHeight="1">
      <c r="A153">
        <v>13</v>
      </c>
      <c r="B153">
        <v>13</v>
      </c>
      <c r="C153" s="25">
        <f>EDATE(参数设置!$B$4,A153-1)</f>
        <v>46609</v>
      </c>
      <c r="D153" s="21">
        <f>IF(AND(A153&lt;=参数设置!$B$6,OR(INDEX(月度资金流!$B$7:$B$42,A153)=策略字典!$A$1,INDEX(月度资金流!$B$7:$B$42,A153)=策略字典!$A$2)),参数设置!$B$5,0)</f>
        <v>23400</v>
      </c>
      <c r="E153">
        <v>6</v>
      </c>
      <c r="F153" s="25">
        <f>IF(E153=1,C153,G152)</f>
        <v>46788</v>
      </c>
      <c r="G153" s="25">
        <f>IF(E153&lt;参数设置!$B$13,DATE(YEAR(EDATE(C153,E153+1)),MONTH(EDATE(C153,E153+1)),参数设置!$B$14),EDATE(C153,参数设置!$B$13))</f>
        <v>46817</v>
      </c>
      <c r="H153">
        <f>G153-F153</f>
        <v>29</v>
      </c>
      <c r="I153" s="21">
        <f>IF(E153=参数设置!$B$13,D153,0)</f>
        <v>0</v>
      </c>
      <c r="J153" s="21">
        <f>IF(M153=1,ROUND(D153*参数设置!$B$11*H153/参数设置!$B$12,参数设置!$B$15),0)</f>
        <v>62.21</v>
      </c>
      <c r="K153" s="21">
        <f>I153+J153</f>
        <v>62.21</v>
      </c>
      <c r="L153" s="25">
        <f>EDATE(C153,参数设置!$B$13)</f>
        <v>46975</v>
      </c>
      <c r="M153">
        <f>--(D153&gt;0)</f>
        <v>1</v>
      </c>
    </row>
    <row r="154" spans="1:13" ht="15" customHeight="1">
      <c r="A154">
        <v>13</v>
      </c>
      <c r="B154">
        <v>13</v>
      </c>
      <c r="C154" s="25">
        <f>EDATE(参数设置!$B$4,A154-1)</f>
        <v>46609</v>
      </c>
      <c r="D154" s="21">
        <f>IF(AND(A154&lt;=参数设置!$B$6,OR(INDEX(月度资金流!$B$7:$B$42,A154)=策略字典!$A$1,INDEX(月度资金流!$B$7:$B$42,A154)=策略字典!$A$2)),参数设置!$B$5,0)</f>
        <v>23400</v>
      </c>
      <c r="E154">
        <v>7</v>
      </c>
      <c r="F154" s="25">
        <f>IF(E154=1,C154,G153)</f>
        <v>46817</v>
      </c>
      <c r="G154" s="25">
        <f>IF(E154&lt;参数设置!$B$13,DATE(YEAR(EDATE(C154,E154+1)),MONTH(EDATE(C154,E154+1)),参数设置!$B$14),EDATE(C154,参数设置!$B$13))</f>
        <v>46848</v>
      </c>
      <c r="H154">
        <f>G154-F154</f>
        <v>31</v>
      </c>
      <c r="I154" s="21">
        <f>IF(E154=参数设置!$B$13,D154,0)</f>
        <v>0</v>
      </c>
      <c r="J154" s="21">
        <f>IF(M154=1,ROUND(D154*参数设置!$B$11*H154/参数设置!$B$12,参数设置!$B$15),0)</f>
        <v>66.5</v>
      </c>
      <c r="K154" s="21">
        <f>I154+J154</f>
        <v>66.5</v>
      </c>
      <c r="L154" s="25">
        <f>EDATE(C154,参数设置!$B$13)</f>
        <v>46975</v>
      </c>
      <c r="M154">
        <f>--(D154&gt;0)</f>
        <v>1</v>
      </c>
    </row>
    <row r="155" spans="1:13" ht="15" customHeight="1">
      <c r="A155">
        <v>13</v>
      </c>
      <c r="B155">
        <v>13</v>
      </c>
      <c r="C155" s="25">
        <f>EDATE(参数设置!$B$4,A155-1)</f>
        <v>46609</v>
      </c>
      <c r="D155" s="21">
        <f>IF(AND(A155&lt;=参数设置!$B$6,OR(INDEX(月度资金流!$B$7:$B$42,A155)=策略字典!$A$1,INDEX(月度资金流!$B$7:$B$42,A155)=策略字典!$A$2)),参数设置!$B$5,0)</f>
        <v>23400</v>
      </c>
      <c r="E155">
        <v>8</v>
      </c>
      <c r="F155" s="25">
        <f>IF(E155=1,C155,G154)</f>
        <v>46848</v>
      </c>
      <c r="G155" s="25">
        <f>IF(E155&lt;参数设置!$B$13,DATE(YEAR(EDATE(C155,E155+1)),MONTH(EDATE(C155,E155+1)),参数设置!$B$14),EDATE(C155,参数设置!$B$13))</f>
        <v>46878</v>
      </c>
      <c r="H155">
        <f>G155-F155</f>
        <v>30</v>
      </c>
      <c r="I155" s="21">
        <f>IF(E155=参数设置!$B$13,D155,0)</f>
        <v>0</v>
      </c>
      <c r="J155" s="21">
        <f>IF(M155=1,ROUND(D155*参数设置!$B$11*H155/参数设置!$B$12,参数设置!$B$15),0)</f>
        <v>64.349999999999994</v>
      </c>
      <c r="K155" s="21">
        <f>I155+J155</f>
        <v>64.349999999999994</v>
      </c>
      <c r="L155" s="25">
        <f>EDATE(C155,参数设置!$B$13)</f>
        <v>46975</v>
      </c>
      <c r="M155">
        <f>--(D155&gt;0)</f>
        <v>1</v>
      </c>
    </row>
    <row r="156" spans="1:13" ht="15" customHeight="1">
      <c r="A156">
        <v>13</v>
      </c>
      <c r="B156">
        <v>13</v>
      </c>
      <c r="C156" s="25">
        <f>EDATE(参数设置!$B$4,A156-1)</f>
        <v>46609</v>
      </c>
      <c r="D156" s="21">
        <f>IF(AND(A156&lt;=参数设置!$B$6,OR(INDEX(月度资金流!$B$7:$B$42,A156)=策略字典!$A$1,INDEX(月度资金流!$B$7:$B$42,A156)=策略字典!$A$2)),参数设置!$B$5,0)</f>
        <v>23400</v>
      </c>
      <c r="E156">
        <v>9</v>
      </c>
      <c r="F156" s="25">
        <f>IF(E156=1,C156,G155)</f>
        <v>46878</v>
      </c>
      <c r="G156" s="25">
        <f>IF(E156&lt;参数设置!$B$13,DATE(YEAR(EDATE(C156,E156+1)),MONTH(EDATE(C156,E156+1)),参数设置!$B$14),EDATE(C156,参数设置!$B$13))</f>
        <v>46909</v>
      </c>
      <c r="H156">
        <f>G156-F156</f>
        <v>31</v>
      </c>
      <c r="I156" s="21">
        <f>IF(E156=参数设置!$B$13,D156,0)</f>
        <v>0</v>
      </c>
      <c r="J156" s="21">
        <f>IF(M156=1,ROUND(D156*参数设置!$B$11*H156/参数设置!$B$12,参数设置!$B$15),0)</f>
        <v>66.5</v>
      </c>
      <c r="K156" s="21">
        <f>I156+J156</f>
        <v>66.5</v>
      </c>
      <c r="L156" s="25">
        <f>EDATE(C156,参数设置!$B$13)</f>
        <v>46975</v>
      </c>
      <c r="M156">
        <f>--(D156&gt;0)</f>
        <v>1</v>
      </c>
    </row>
    <row r="157" spans="1:13" ht="15" customHeight="1">
      <c r="A157">
        <v>13</v>
      </c>
      <c r="B157">
        <v>13</v>
      </c>
      <c r="C157" s="25">
        <f>EDATE(参数设置!$B$4,A157-1)</f>
        <v>46609</v>
      </c>
      <c r="D157" s="21">
        <f>IF(AND(A157&lt;=参数设置!$B$6,OR(INDEX(月度资金流!$B$7:$B$42,A157)=策略字典!$A$1,INDEX(月度资金流!$B$7:$B$42,A157)=策略字典!$A$2)),参数设置!$B$5,0)</f>
        <v>23400</v>
      </c>
      <c r="E157">
        <v>10</v>
      </c>
      <c r="F157" s="25">
        <f>IF(E157=1,C157,G156)</f>
        <v>46909</v>
      </c>
      <c r="G157" s="25">
        <f>IF(E157&lt;参数设置!$B$13,DATE(YEAR(EDATE(C157,E157+1)),MONTH(EDATE(C157,E157+1)),参数设置!$B$14),EDATE(C157,参数设置!$B$13))</f>
        <v>46939</v>
      </c>
      <c r="H157">
        <f>G157-F157</f>
        <v>30</v>
      </c>
      <c r="I157" s="21">
        <f>IF(E157=参数设置!$B$13,D157,0)</f>
        <v>0</v>
      </c>
      <c r="J157" s="21">
        <f>IF(M157=1,ROUND(D157*参数设置!$B$11*H157/参数设置!$B$12,参数设置!$B$15),0)</f>
        <v>64.349999999999994</v>
      </c>
      <c r="K157" s="21">
        <f>I157+J157</f>
        <v>64.349999999999994</v>
      </c>
      <c r="L157" s="25">
        <f>EDATE(C157,参数设置!$B$13)</f>
        <v>46975</v>
      </c>
      <c r="M157">
        <f>--(D157&gt;0)</f>
        <v>1</v>
      </c>
    </row>
    <row r="158" spans="1:13" ht="15" customHeight="1">
      <c r="A158">
        <v>13</v>
      </c>
      <c r="B158">
        <v>13</v>
      </c>
      <c r="C158" s="25">
        <f>EDATE(参数设置!$B$4,A158-1)</f>
        <v>46609</v>
      </c>
      <c r="D158" s="21">
        <f>IF(AND(A158&lt;=参数设置!$B$6,OR(INDEX(月度资金流!$B$7:$B$42,A158)=策略字典!$A$1,INDEX(月度资金流!$B$7:$B$42,A158)=策略字典!$A$2)),参数设置!$B$5,0)</f>
        <v>23400</v>
      </c>
      <c r="E158">
        <v>11</v>
      </c>
      <c r="F158" s="25">
        <f>IF(E158=1,C158,G157)</f>
        <v>46939</v>
      </c>
      <c r="G158" s="25">
        <f>IF(E158&lt;参数设置!$B$13,DATE(YEAR(EDATE(C158,E158+1)),MONTH(EDATE(C158,E158+1)),参数设置!$B$14),EDATE(C158,参数设置!$B$13))</f>
        <v>46970</v>
      </c>
      <c r="H158">
        <f>G158-F158</f>
        <v>31</v>
      </c>
      <c r="I158" s="21">
        <f>IF(E158=参数设置!$B$13,D158,0)</f>
        <v>0</v>
      </c>
      <c r="J158" s="21">
        <f>IF(M158=1,ROUND(D158*参数设置!$B$11*H158/参数设置!$B$12,参数设置!$B$15),0)</f>
        <v>66.5</v>
      </c>
      <c r="K158" s="21">
        <f>I158+J158</f>
        <v>66.5</v>
      </c>
      <c r="L158" s="25">
        <f>EDATE(C158,参数设置!$B$13)</f>
        <v>46975</v>
      </c>
      <c r="M158">
        <f>--(D158&gt;0)</f>
        <v>1</v>
      </c>
    </row>
    <row r="159" spans="1:13" ht="15" customHeight="1">
      <c r="A159">
        <v>13</v>
      </c>
      <c r="B159">
        <v>13</v>
      </c>
      <c r="C159" s="25">
        <f>EDATE(参数设置!$B$4,A159-1)</f>
        <v>46609</v>
      </c>
      <c r="D159" s="21">
        <f>IF(AND(A159&lt;=参数设置!$B$6,OR(INDEX(月度资金流!$B$7:$B$42,A159)=策略字典!$A$1,INDEX(月度资金流!$B$7:$B$42,A159)=策略字典!$A$2)),参数设置!$B$5,0)</f>
        <v>23400</v>
      </c>
      <c r="E159">
        <v>12</v>
      </c>
      <c r="F159" s="25">
        <f>IF(E159=1,C159,G158)</f>
        <v>46970</v>
      </c>
      <c r="G159" s="25">
        <f>IF(E159&lt;参数设置!$B$13,DATE(YEAR(EDATE(C159,E159+1)),MONTH(EDATE(C159,E159+1)),参数设置!$B$14),EDATE(C159,参数设置!$B$13))</f>
        <v>46975</v>
      </c>
      <c r="H159">
        <f>G159-F159</f>
        <v>5</v>
      </c>
      <c r="I159" s="21">
        <f>IF(E159=参数设置!$B$13,D159,0)</f>
        <v>23400</v>
      </c>
      <c r="J159" s="21">
        <f>IF(M159=1,ROUND(D159*参数设置!$B$11*H159/参数设置!$B$12,参数设置!$B$15),0)</f>
        <v>10.73</v>
      </c>
      <c r="K159" s="21">
        <f>I159+J159</f>
        <v>23410.73</v>
      </c>
      <c r="L159" s="25">
        <f>EDATE(C159,参数设置!$B$13)</f>
        <v>46975</v>
      </c>
      <c r="M159">
        <f>--(D159&gt;0)</f>
        <v>1</v>
      </c>
    </row>
    <row r="160" spans="1:13" ht="15" customHeight="1">
      <c r="A160">
        <v>14</v>
      </c>
      <c r="B160">
        <v>14</v>
      </c>
      <c r="C160" s="25">
        <f>EDATE(参数设置!$B$4,A160-1)</f>
        <v>46640</v>
      </c>
      <c r="D160" s="21">
        <f>IF(AND(A160&lt;=参数设置!$B$6,OR(INDEX(月度资金流!$B$7:$B$42,A160)=策略字典!$A$1,INDEX(月度资金流!$B$7:$B$42,A160)=策略字典!$A$2)),参数设置!$B$5,0)</f>
        <v>23400</v>
      </c>
      <c r="E160">
        <v>1</v>
      </c>
      <c r="F160" s="25">
        <f>IF(E160=1,C160,G159)</f>
        <v>46640</v>
      </c>
      <c r="G160" s="25">
        <f>IF(E160&lt;参数设置!$B$13,DATE(YEAR(EDATE(C160,E160+1)),MONTH(EDATE(C160,E160+1)),参数设置!$B$14),EDATE(C160,参数设置!$B$13))</f>
        <v>46696</v>
      </c>
      <c r="H160">
        <f>G160-F160</f>
        <v>56</v>
      </c>
      <c r="I160" s="21">
        <f>IF(E160=参数设置!$B$13,D160,0)</f>
        <v>0</v>
      </c>
      <c r="J160" s="21">
        <f>IF(M160=1,ROUND(D160*参数设置!$B$11*H160/参数设置!$B$12,参数设置!$B$15),0)</f>
        <v>120.12</v>
      </c>
      <c r="K160" s="21">
        <f>I160+J160</f>
        <v>120.12</v>
      </c>
      <c r="L160" s="25">
        <f>EDATE(C160,参数设置!$B$13)</f>
        <v>47006</v>
      </c>
      <c r="M160">
        <f>--(D160&gt;0)</f>
        <v>1</v>
      </c>
    </row>
    <row r="161" spans="1:13" ht="15" customHeight="1">
      <c r="A161">
        <v>14</v>
      </c>
      <c r="B161">
        <v>14</v>
      </c>
      <c r="C161" s="25">
        <f>EDATE(参数设置!$B$4,A161-1)</f>
        <v>46640</v>
      </c>
      <c r="D161" s="21">
        <f>IF(AND(A161&lt;=参数设置!$B$6,OR(INDEX(月度资金流!$B$7:$B$42,A161)=策略字典!$A$1,INDEX(月度资金流!$B$7:$B$42,A161)=策略字典!$A$2)),参数设置!$B$5,0)</f>
        <v>23400</v>
      </c>
      <c r="E161">
        <v>2</v>
      </c>
      <c r="F161" s="25">
        <f>IF(E161=1,C161,G160)</f>
        <v>46696</v>
      </c>
      <c r="G161" s="25">
        <f>IF(E161&lt;参数设置!$B$13,DATE(YEAR(EDATE(C161,E161+1)),MONTH(EDATE(C161,E161+1)),参数设置!$B$14),EDATE(C161,参数设置!$B$13))</f>
        <v>46726</v>
      </c>
      <c r="H161">
        <f>G161-F161</f>
        <v>30</v>
      </c>
      <c r="I161" s="21">
        <f>IF(E161=参数设置!$B$13,D161,0)</f>
        <v>0</v>
      </c>
      <c r="J161" s="21">
        <f>IF(M161=1,ROUND(D161*参数设置!$B$11*H161/参数设置!$B$12,参数设置!$B$15),0)</f>
        <v>64.349999999999994</v>
      </c>
      <c r="K161" s="21">
        <f>I161+J161</f>
        <v>64.349999999999994</v>
      </c>
      <c r="L161" s="25">
        <f>EDATE(C161,参数设置!$B$13)</f>
        <v>47006</v>
      </c>
      <c r="M161">
        <f>--(D161&gt;0)</f>
        <v>1</v>
      </c>
    </row>
    <row r="162" spans="1:13" ht="15" customHeight="1">
      <c r="A162">
        <v>14</v>
      </c>
      <c r="B162">
        <v>14</v>
      </c>
      <c r="C162" s="25">
        <f>EDATE(参数设置!$B$4,A162-1)</f>
        <v>46640</v>
      </c>
      <c r="D162" s="21">
        <f>IF(AND(A162&lt;=参数设置!$B$6,OR(INDEX(月度资金流!$B$7:$B$42,A162)=策略字典!$A$1,INDEX(月度资金流!$B$7:$B$42,A162)=策略字典!$A$2)),参数设置!$B$5,0)</f>
        <v>23400</v>
      </c>
      <c r="E162">
        <v>3</v>
      </c>
      <c r="F162" s="25">
        <f>IF(E162=1,C162,G161)</f>
        <v>46726</v>
      </c>
      <c r="G162" s="25">
        <f>IF(E162&lt;参数设置!$B$13,DATE(YEAR(EDATE(C162,E162+1)),MONTH(EDATE(C162,E162+1)),参数设置!$B$14),EDATE(C162,参数设置!$B$13))</f>
        <v>46757</v>
      </c>
      <c r="H162">
        <f>G162-F162</f>
        <v>31</v>
      </c>
      <c r="I162" s="21">
        <f>IF(E162=参数设置!$B$13,D162,0)</f>
        <v>0</v>
      </c>
      <c r="J162" s="21">
        <f>IF(M162=1,ROUND(D162*参数设置!$B$11*H162/参数设置!$B$12,参数设置!$B$15),0)</f>
        <v>66.5</v>
      </c>
      <c r="K162" s="21">
        <f>I162+J162</f>
        <v>66.5</v>
      </c>
      <c r="L162" s="25">
        <f>EDATE(C162,参数设置!$B$13)</f>
        <v>47006</v>
      </c>
      <c r="M162">
        <f>--(D162&gt;0)</f>
        <v>1</v>
      </c>
    </row>
    <row r="163" spans="1:13" ht="15" customHeight="1">
      <c r="A163">
        <v>14</v>
      </c>
      <c r="B163">
        <v>14</v>
      </c>
      <c r="C163" s="25">
        <f>EDATE(参数设置!$B$4,A163-1)</f>
        <v>46640</v>
      </c>
      <c r="D163" s="21">
        <f>IF(AND(A163&lt;=参数设置!$B$6,OR(INDEX(月度资金流!$B$7:$B$42,A163)=策略字典!$A$1,INDEX(月度资金流!$B$7:$B$42,A163)=策略字典!$A$2)),参数设置!$B$5,0)</f>
        <v>23400</v>
      </c>
      <c r="E163">
        <v>4</v>
      </c>
      <c r="F163" s="25">
        <f>IF(E163=1,C163,G162)</f>
        <v>46757</v>
      </c>
      <c r="G163" s="25">
        <f>IF(E163&lt;参数设置!$B$13,DATE(YEAR(EDATE(C163,E163+1)),MONTH(EDATE(C163,E163+1)),参数设置!$B$14),EDATE(C163,参数设置!$B$13))</f>
        <v>46788</v>
      </c>
      <c r="H163">
        <f>G163-F163</f>
        <v>31</v>
      </c>
      <c r="I163" s="21">
        <f>IF(E163=参数设置!$B$13,D163,0)</f>
        <v>0</v>
      </c>
      <c r="J163" s="21">
        <f>IF(M163=1,ROUND(D163*参数设置!$B$11*H163/参数设置!$B$12,参数设置!$B$15),0)</f>
        <v>66.5</v>
      </c>
      <c r="K163" s="21">
        <f>I163+J163</f>
        <v>66.5</v>
      </c>
      <c r="L163" s="25">
        <f>EDATE(C163,参数设置!$B$13)</f>
        <v>47006</v>
      </c>
      <c r="M163">
        <f>--(D163&gt;0)</f>
        <v>1</v>
      </c>
    </row>
    <row r="164" spans="1:13" ht="15" customHeight="1">
      <c r="A164">
        <v>14</v>
      </c>
      <c r="B164">
        <v>14</v>
      </c>
      <c r="C164" s="25">
        <f>EDATE(参数设置!$B$4,A164-1)</f>
        <v>46640</v>
      </c>
      <c r="D164" s="21">
        <f>IF(AND(A164&lt;=参数设置!$B$6,OR(INDEX(月度资金流!$B$7:$B$42,A164)=策略字典!$A$1,INDEX(月度资金流!$B$7:$B$42,A164)=策略字典!$A$2)),参数设置!$B$5,0)</f>
        <v>23400</v>
      </c>
      <c r="E164">
        <v>5</v>
      </c>
      <c r="F164" s="25">
        <f>IF(E164=1,C164,G163)</f>
        <v>46788</v>
      </c>
      <c r="G164" s="25">
        <f>IF(E164&lt;参数设置!$B$13,DATE(YEAR(EDATE(C164,E164+1)),MONTH(EDATE(C164,E164+1)),参数设置!$B$14),EDATE(C164,参数设置!$B$13))</f>
        <v>46817</v>
      </c>
      <c r="H164">
        <f>G164-F164</f>
        <v>29</v>
      </c>
      <c r="I164" s="21">
        <f>IF(E164=参数设置!$B$13,D164,0)</f>
        <v>0</v>
      </c>
      <c r="J164" s="21">
        <f>IF(M164=1,ROUND(D164*参数设置!$B$11*H164/参数设置!$B$12,参数设置!$B$15),0)</f>
        <v>62.21</v>
      </c>
      <c r="K164" s="21">
        <f>I164+J164</f>
        <v>62.21</v>
      </c>
      <c r="L164" s="25">
        <f>EDATE(C164,参数设置!$B$13)</f>
        <v>47006</v>
      </c>
      <c r="M164">
        <f>--(D164&gt;0)</f>
        <v>1</v>
      </c>
    </row>
    <row r="165" spans="1:13" ht="15" customHeight="1">
      <c r="A165">
        <v>14</v>
      </c>
      <c r="B165">
        <v>14</v>
      </c>
      <c r="C165" s="25">
        <f>EDATE(参数设置!$B$4,A165-1)</f>
        <v>46640</v>
      </c>
      <c r="D165" s="21">
        <f>IF(AND(A165&lt;=参数设置!$B$6,OR(INDEX(月度资金流!$B$7:$B$42,A165)=策略字典!$A$1,INDEX(月度资金流!$B$7:$B$42,A165)=策略字典!$A$2)),参数设置!$B$5,0)</f>
        <v>23400</v>
      </c>
      <c r="E165">
        <v>6</v>
      </c>
      <c r="F165" s="25">
        <f>IF(E165=1,C165,G164)</f>
        <v>46817</v>
      </c>
      <c r="G165" s="25">
        <f>IF(E165&lt;参数设置!$B$13,DATE(YEAR(EDATE(C165,E165+1)),MONTH(EDATE(C165,E165+1)),参数设置!$B$14),EDATE(C165,参数设置!$B$13))</f>
        <v>46848</v>
      </c>
      <c r="H165">
        <f>G165-F165</f>
        <v>31</v>
      </c>
      <c r="I165" s="21">
        <f>IF(E165=参数设置!$B$13,D165,0)</f>
        <v>0</v>
      </c>
      <c r="J165" s="21">
        <f>IF(M165=1,ROUND(D165*参数设置!$B$11*H165/参数设置!$B$12,参数设置!$B$15),0)</f>
        <v>66.5</v>
      </c>
      <c r="K165" s="21">
        <f>I165+J165</f>
        <v>66.5</v>
      </c>
      <c r="L165" s="25">
        <f>EDATE(C165,参数设置!$B$13)</f>
        <v>47006</v>
      </c>
      <c r="M165">
        <f>--(D165&gt;0)</f>
        <v>1</v>
      </c>
    </row>
    <row r="166" spans="1:13" ht="15" customHeight="1">
      <c r="A166">
        <v>14</v>
      </c>
      <c r="B166">
        <v>14</v>
      </c>
      <c r="C166" s="25">
        <f>EDATE(参数设置!$B$4,A166-1)</f>
        <v>46640</v>
      </c>
      <c r="D166" s="21">
        <f>IF(AND(A166&lt;=参数设置!$B$6,OR(INDEX(月度资金流!$B$7:$B$42,A166)=策略字典!$A$1,INDEX(月度资金流!$B$7:$B$42,A166)=策略字典!$A$2)),参数设置!$B$5,0)</f>
        <v>23400</v>
      </c>
      <c r="E166">
        <v>7</v>
      </c>
      <c r="F166" s="25">
        <f>IF(E166=1,C166,G165)</f>
        <v>46848</v>
      </c>
      <c r="G166" s="25">
        <f>IF(E166&lt;参数设置!$B$13,DATE(YEAR(EDATE(C166,E166+1)),MONTH(EDATE(C166,E166+1)),参数设置!$B$14),EDATE(C166,参数设置!$B$13))</f>
        <v>46878</v>
      </c>
      <c r="H166">
        <f>G166-F166</f>
        <v>30</v>
      </c>
      <c r="I166" s="21">
        <f>IF(E166=参数设置!$B$13,D166,0)</f>
        <v>0</v>
      </c>
      <c r="J166" s="21">
        <f>IF(M166=1,ROUND(D166*参数设置!$B$11*H166/参数设置!$B$12,参数设置!$B$15),0)</f>
        <v>64.349999999999994</v>
      </c>
      <c r="K166" s="21">
        <f>I166+J166</f>
        <v>64.349999999999994</v>
      </c>
      <c r="L166" s="25">
        <f>EDATE(C166,参数设置!$B$13)</f>
        <v>47006</v>
      </c>
      <c r="M166">
        <f>--(D166&gt;0)</f>
        <v>1</v>
      </c>
    </row>
    <row r="167" spans="1:13" ht="15" customHeight="1">
      <c r="A167">
        <v>14</v>
      </c>
      <c r="B167">
        <v>14</v>
      </c>
      <c r="C167" s="25">
        <f>EDATE(参数设置!$B$4,A167-1)</f>
        <v>46640</v>
      </c>
      <c r="D167" s="21">
        <f>IF(AND(A167&lt;=参数设置!$B$6,OR(INDEX(月度资金流!$B$7:$B$42,A167)=策略字典!$A$1,INDEX(月度资金流!$B$7:$B$42,A167)=策略字典!$A$2)),参数设置!$B$5,0)</f>
        <v>23400</v>
      </c>
      <c r="E167">
        <v>8</v>
      </c>
      <c r="F167" s="25">
        <f>IF(E167=1,C167,G166)</f>
        <v>46878</v>
      </c>
      <c r="G167" s="25">
        <f>IF(E167&lt;参数设置!$B$13,DATE(YEAR(EDATE(C167,E167+1)),MONTH(EDATE(C167,E167+1)),参数设置!$B$14),EDATE(C167,参数设置!$B$13))</f>
        <v>46909</v>
      </c>
      <c r="H167">
        <f>G167-F167</f>
        <v>31</v>
      </c>
      <c r="I167" s="21">
        <f>IF(E167=参数设置!$B$13,D167,0)</f>
        <v>0</v>
      </c>
      <c r="J167" s="21">
        <f>IF(M167=1,ROUND(D167*参数设置!$B$11*H167/参数设置!$B$12,参数设置!$B$15),0)</f>
        <v>66.5</v>
      </c>
      <c r="K167" s="21">
        <f>I167+J167</f>
        <v>66.5</v>
      </c>
      <c r="L167" s="25">
        <f>EDATE(C167,参数设置!$B$13)</f>
        <v>47006</v>
      </c>
      <c r="M167">
        <f>--(D167&gt;0)</f>
        <v>1</v>
      </c>
    </row>
    <row r="168" spans="1:13" ht="15" customHeight="1">
      <c r="A168">
        <v>14</v>
      </c>
      <c r="B168">
        <v>14</v>
      </c>
      <c r="C168" s="25">
        <f>EDATE(参数设置!$B$4,A168-1)</f>
        <v>46640</v>
      </c>
      <c r="D168" s="21">
        <f>IF(AND(A168&lt;=参数设置!$B$6,OR(INDEX(月度资金流!$B$7:$B$42,A168)=策略字典!$A$1,INDEX(月度资金流!$B$7:$B$42,A168)=策略字典!$A$2)),参数设置!$B$5,0)</f>
        <v>23400</v>
      </c>
      <c r="E168">
        <v>9</v>
      </c>
      <c r="F168" s="25">
        <f>IF(E168=1,C168,G167)</f>
        <v>46909</v>
      </c>
      <c r="G168" s="25">
        <f>IF(E168&lt;参数设置!$B$13,DATE(YEAR(EDATE(C168,E168+1)),MONTH(EDATE(C168,E168+1)),参数设置!$B$14),EDATE(C168,参数设置!$B$13))</f>
        <v>46939</v>
      </c>
      <c r="H168">
        <f>G168-F168</f>
        <v>30</v>
      </c>
      <c r="I168" s="21">
        <f>IF(E168=参数设置!$B$13,D168,0)</f>
        <v>0</v>
      </c>
      <c r="J168" s="21">
        <f>IF(M168=1,ROUND(D168*参数设置!$B$11*H168/参数设置!$B$12,参数设置!$B$15),0)</f>
        <v>64.349999999999994</v>
      </c>
      <c r="K168" s="21">
        <f>I168+J168</f>
        <v>64.349999999999994</v>
      </c>
      <c r="L168" s="25">
        <f>EDATE(C168,参数设置!$B$13)</f>
        <v>47006</v>
      </c>
      <c r="M168">
        <f>--(D168&gt;0)</f>
        <v>1</v>
      </c>
    </row>
    <row r="169" spans="1:13" ht="15" customHeight="1">
      <c r="A169">
        <v>14</v>
      </c>
      <c r="B169">
        <v>14</v>
      </c>
      <c r="C169" s="25">
        <f>EDATE(参数设置!$B$4,A169-1)</f>
        <v>46640</v>
      </c>
      <c r="D169" s="21">
        <f>IF(AND(A169&lt;=参数设置!$B$6,OR(INDEX(月度资金流!$B$7:$B$42,A169)=策略字典!$A$1,INDEX(月度资金流!$B$7:$B$42,A169)=策略字典!$A$2)),参数设置!$B$5,0)</f>
        <v>23400</v>
      </c>
      <c r="E169">
        <v>10</v>
      </c>
      <c r="F169" s="25">
        <f>IF(E169=1,C169,G168)</f>
        <v>46939</v>
      </c>
      <c r="G169" s="25">
        <f>IF(E169&lt;参数设置!$B$13,DATE(YEAR(EDATE(C169,E169+1)),MONTH(EDATE(C169,E169+1)),参数设置!$B$14),EDATE(C169,参数设置!$B$13))</f>
        <v>46970</v>
      </c>
      <c r="H169">
        <f>G169-F169</f>
        <v>31</v>
      </c>
      <c r="I169" s="21">
        <f>IF(E169=参数设置!$B$13,D169,0)</f>
        <v>0</v>
      </c>
      <c r="J169" s="21">
        <f>IF(M169=1,ROUND(D169*参数设置!$B$11*H169/参数设置!$B$12,参数设置!$B$15),0)</f>
        <v>66.5</v>
      </c>
      <c r="K169" s="21">
        <f>I169+J169</f>
        <v>66.5</v>
      </c>
      <c r="L169" s="25">
        <f>EDATE(C169,参数设置!$B$13)</f>
        <v>47006</v>
      </c>
      <c r="M169">
        <f>--(D169&gt;0)</f>
        <v>1</v>
      </c>
    </row>
    <row r="170" spans="1:13" ht="15" customHeight="1">
      <c r="A170">
        <v>14</v>
      </c>
      <c r="B170">
        <v>14</v>
      </c>
      <c r="C170" s="25">
        <f>EDATE(参数设置!$B$4,A170-1)</f>
        <v>46640</v>
      </c>
      <c r="D170" s="21">
        <f>IF(AND(A170&lt;=参数设置!$B$6,OR(INDEX(月度资金流!$B$7:$B$42,A170)=策略字典!$A$1,INDEX(月度资金流!$B$7:$B$42,A170)=策略字典!$A$2)),参数设置!$B$5,0)</f>
        <v>23400</v>
      </c>
      <c r="E170">
        <v>11</v>
      </c>
      <c r="F170" s="25">
        <f>IF(E170=1,C170,G169)</f>
        <v>46970</v>
      </c>
      <c r="G170" s="25">
        <f>IF(E170&lt;参数设置!$B$13,DATE(YEAR(EDATE(C170,E170+1)),MONTH(EDATE(C170,E170+1)),参数设置!$B$14),EDATE(C170,参数设置!$B$13))</f>
        <v>47001</v>
      </c>
      <c r="H170">
        <f>G170-F170</f>
        <v>31</v>
      </c>
      <c r="I170" s="21">
        <f>IF(E170=参数设置!$B$13,D170,0)</f>
        <v>0</v>
      </c>
      <c r="J170" s="21">
        <f>IF(M170=1,ROUND(D170*参数设置!$B$11*H170/参数设置!$B$12,参数设置!$B$15),0)</f>
        <v>66.5</v>
      </c>
      <c r="K170" s="21">
        <f>I170+J170</f>
        <v>66.5</v>
      </c>
      <c r="L170" s="25">
        <f>EDATE(C170,参数设置!$B$13)</f>
        <v>47006</v>
      </c>
      <c r="M170">
        <f>--(D170&gt;0)</f>
        <v>1</v>
      </c>
    </row>
    <row r="171" spans="1:13" ht="15" customHeight="1">
      <c r="A171">
        <v>14</v>
      </c>
      <c r="B171">
        <v>14</v>
      </c>
      <c r="C171" s="25">
        <f>EDATE(参数设置!$B$4,A171-1)</f>
        <v>46640</v>
      </c>
      <c r="D171" s="21">
        <f>IF(AND(A171&lt;=参数设置!$B$6,OR(INDEX(月度资金流!$B$7:$B$42,A171)=策略字典!$A$1,INDEX(月度资金流!$B$7:$B$42,A171)=策略字典!$A$2)),参数设置!$B$5,0)</f>
        <v>23400</v>
      </c>
      <c r="E171">
        <v>12</v>
      </c>
      <c r="F171" s="25">
        <f>IF(E171=1,C171,G170)</f>
        <v>47001</v>
      </c>
      <c r="G171" s="25">
        <f>IF(E171&lt;参数设置!$B$13,DATE(YEAR(EDATE(C171,E171+1)),MONTH(EDATE(C171,E171+1)),参数设置!$B$14),EDATE(C171,参数设置!$B$13))</f>
        <v>47006</v>
      </c>
      <c r="H171">
        <f>G171-F171</f>
        <v>5</v>
      </c>
      <c r="I171" s="21">
        <f>IF(E171=参数设置!$B$13,D171,0)</f>
        <v>23400</v>
      </c>
      <c r="J171" s="21">
        <f>IF(M171=1,ROUND(D171*参数设置!$B$11*H171/参数设置!$B$12,参数设置!$B$15),0)</f>
        <v>10.73</v>
      </c>
      <c r="K171" s="21">
        <f>I171+J171</f>
        <v>23410.73</v>
      </c>
      <c r="L171" s="25">
        <f>EDATE(C171,参数设置!$B$13)</f>
        <v>47006</v>
      </c>
      <c r="M171">
        <f>--(D171&gt;0)</f>
        <v>1</v>
      </c>
    </row>
    <row r="172" spans="1:13" ht="15" customHeight="1">
      <c r="A172">
        <v>15</v>
      </c>
      <c r="B172">
        <v>15</v>
      </c>
      <c r="C172" s="25">
        <f>EDATE(参数设置!$B$4,A172-1)</f>
        <v>46670</v>
      </c>
      <c r="D172" s="21">
        <f>IF(AND(A172&lt;=参数设置!$B$6,OR(INDEX(月度资金流!$B$7:$B$42,A172)=策略字典!$A$1,INDEX(月度资金流!$B$7:$B$42,A172)=策略字典!$A$2)),参数设置!$B$5,0)</f>
        <v>23400</v>
      </c>
      <c r="E172">
        <v>1</v>
      </c>
      <c r="F172" s="25">
        <f>IF(E172=1,C172,G171)</f>
        <v>46670</v>
      </c>
      <c r="G172" s="25">
        <f>IF(E172&lt;参数设置!$B$13,DATE(YEAR(EDATE(C172,E172+1)),MONTH(EDATE(C172,E172+1)),参数设置!$B$14),EDATE(C172,参数设置!$B$13))</f>
        <v>46726</v>
      </c>
      <c r="H172">
        <f>G172-F172</f>
        <v>56</v>
      </c>
      <c r="I172" s="21">
        <f>IF(E172=参数设置!$B$13,D172,0)</f>
        <v>0</v>
      </c>
      <c r="J172" s="21">
        <f>IF(M172=1,ROUND(D172*参数设置!$B$11*H172/参数设置!$B$12,参数设置!$B$15),0)</f>
        <v>120.12</v>
      </c>
      <c r="K172" s="21">
        <f>I172+J172</f>
        <v>120.12</v>
      </c>
      <c r="L172" s="25">
        <f>EDATE(C172,参数设置!$B$13)</f>
        <v>47036</v>
      </c>
      <c r="M172">
        <f>--(D172&gt;0)</f>
        <v>1</v>
      </c>
    </row>
    <row r="173" spans="1:13" ht="15" customHeight="1">
      <c r="A173">
        <v>15</v>
      </c>
      <c r="B173">
        <v>15</v>
      </c>
      <c r="C173" s="25">
        <f>EDATE(参数设置!$B$4,A173-1)</f>
        <v>46670</v>
      </c>
      <c r="D173" s="21">
        <f>IF(AND(A173&lt;=参数设置!$B$6,OR(INDEX(月度资金流!$B$7:$B$42,A173)=策略字典!$A$1,INDEX(月度资金流!$B$7:$B$42,A173)=策略字典!$A$2)),参数设置!$B$5,0)</f>
        <v>23400</v>
      </c>
      <c r="E173">
        <v>2</v>
      </c>
      <c r="F173" s="25">
        <f>IF(E173=1,C173,G172)</f>
        <v>46726</v>
      </c>
      <c r="G173" s="25">
        <f>IF(E173&lt;参数设置!$B$13,DATE(YEAR(EDATE(C173,E173+1)),MONTH(EDATE(C173,E173+1)),参数设置!$B$14),EDATE(C173,参数设置!$B$13))</f>
        <v>46757</v>
      </c>
      <c r="H173">
        <f>G173-F173</f>
        <v>31</v>
      </c>
      <c r="I173" s="21">
        <f>IF(E173=参数设置!$B$13,D173,0)</f>
        <v>0</v>
      </c>
      <c r="J173" s="21">
        <f>IF(M173=1,ROUND(D173*参数设置!$B$11*H173/参数设置!$B$12,参数设置!$B$15),0)</f>
        <v>66.5</v>
      </c>
      <c r="K173" s="21">
        <f>I173+J173</f>
        <v>66.5</v>
      </c>
      <c r="L173" s="25">
        <f>EDATE(C173,参数设置!$B$13)</f>
        <v>47036</v>
      </c>
      <c r="M173">
        <f>--(D173&gt;0)</f>
        <v>1</v>
      </c>
    </row>
    <row r="174" spans="1:13" ht="15" customHeight="1">
      <c r="A174">
        <v>15</v>
      </c>
      <c r="B174">
        <v>15</v>
      </c>
      <c r="C174" s="25">
        <f>EDATE(参数设置!$B$4,A174-1)</f>
        <v>46670</v>
      </c>
      <c r="D174" s="21">
        <f>IF(AND(A174&lt;=参数设置!$B$6,OR(INDEX(月度资金流!$B$7:$B$42,A174)=策略字典!$A$1,INDEX(月度资金流!$B$7:$B$42,A174)=策略字典!$A$2)),参数设置!$B$5,0)</f>
        <v>23400</v>
      </c>
      <c r="E174">
        <v>3</v>
      </c>
      <c r="F174" s="25">
        <f>IF(E174=1,C174,G173)</f>
        <v>46757</v>
      </c>
      <c r="G174" s="25">
        <f>IF(E174&lt;参数设置!$B$13,DATE(YEAR(EDATE(C174,E174+1)),MONTH(EDATE(C174,E174+1)),参数设置!$B$14),EDATE(C174,参数设置!$B$13))</f>
        <v>46788</v>
      </c>
      <c r="H174">
        <f>G174-F174</f>
        <v>31</v>
      </c>
      <c r="I174" s="21">
        <f>IF(E174=参数设置!$B$13,D174,0)</f>
        <v>0</v>
      </c>
      <c r="J174" s="21">
        <f>IF(M174=1,ROUND(D174*参数设置!$B$11*H174/参数设置!$B$12,参数设置!$B$15),0)</f>
        <v>66.5</v>
      </c>
      <c r="K174" s="21">
        <f>I174+J174</f>
        <v>66.5</v>
      </c>
      <c r="L174" s="25">
        <f>EDATE(C174,参数设置!$B$13)</f>
        <v>47036</v>
      </c>
      <c r="M174">
        <f>--(D174&gt;0)</f>
        <v>1</v>
      </c>
    </row>
    <row r="175" spans="1:13" ht="15" customHeight="1">
      <c r="A175">
        <v>15</v>
      </c>
      <c r="B175">
        <v>15</v>
      </c>
      <c r="C175" s="25">
        <f>EDATE(参数设置!$B$4,A175-1)</f>
        <v>46670</v>
      </c>
      <c r="D175" s="21">
        <f>IF(AND(A175&lt;=参数设置!$B$6,OR(INDEX(月度资金流!$B$7:$B$42,A175)=策略字典!$A$1,INDEX(月度资金流!$B$7:$B$42,A175)=策略字典!$A$2)),参数设置!$B$5,0)</f>
        <v>23400</v>
      </c>
      <c r="E175">
        <v>4</v>
      </c>
      <c r="F175" s="25">
        <f>IF(E175=1,C175,G174)</f>
        <v>46788</v>
      </c>
      <c r="G175" s="25">
        <f>IF(E175&lt;参数设置!$B$13,DATE(YEAR(EDATE(C175,E175+1)),MONTH(EDATE(C175,E175+1)),参数设置!$B$14),EDATE(C175,参数设置!$B$13))</f>
        <v>46817</v>
      </c>
      <c r="H175">
        <f>G175-F175</f>
        <v>29</v>
      </c>
      <c r="I175" s="21">
        <f>IF(E175=参数设置!$B$13,D175,0)</f>
        <v>0</v>
      </c>
      <c r="J175" s="21">
        <f>IF(M175=1,ROUND(D175*参数设置!$B$11*H175/参数设置!$B$12,参数设置!$B$15),0)</f>
        <v>62.21</v>
      </c>
      <c r="K175" s="21">
        <f>I175+J175</f>
        <v>62.21</v>
      </c>
      <c r="L175" s="25">
        <f>EDATE(C175,参数设置!$B$13)</f>
        <v>47036</v>
      </c>
      <c r="M175">
        <f>--(D175&gt;0)</f>
        <v>1</v>
      </c>
    </row>
    <row r="176" spans="1:13" ht="15" customHeight="1">
      <c r="A176">
        <v>15</v>
      </c>
      <c r="B176">
        <v>15</v>
      </c>
      <c r="C176" s="25">
        <f>EDATE(参数设置!$B$4,A176-1)</f>
        <v>46670</v>
      </c>
      <c r="D176" s="21">
        <f>IF(AND(A176&lt;=参数设置!$B$6,OR(INDEX(月度资金流!$B$7:$B$42,A176)=策略字典!$A$1,INDEX(月度资金流!$B$7:$B$42,A176)=策略字典!$A$2)),参数设置!$B$5,0)</f>
        <v>23400</v>
      </c>
      <c r="E176">
        <v>5</v>
      </c>
      <c r="F176" s="25">
        <f>IF(E176=1,C176,G175)</f>
        <v>46817</v>
      </c>
      <c r="G176" s="25">
        <f>IF(E176&lt;参数设置!$B$13,DATE(YEAR(EDATE(C176,E176+1)),MONTH(EDATE(C176,E176+1)),参数设置!$B$14),EDATE(C176,参数设置!$B$13))</f>
        <v>46848</v>
      </c>
      <c r="H176">
        <f>G176-F176</f>
        <v>31</v>
      </c>
      <c r="I176" s="21">
        <f>IF(E176=参数设置!$B$13,D176,0)</f>
        <v>0</v>
      </c>
      <c r="J176" s="21">
        <f>IF(M176=1,ROUND(D176*参数设置!$B$11*H176/参数设置!$B$12,参数设置!$B$15),0)</f>
        <v>66.5</v>
      </c>
      <c r="K176" s="21">
        <f>I176+J176</f>
        <v>66.5</v>
      </c>
      <c r="L176" s="25">
        <f>EDATE(C176,参数设置!$B$13)</f>
        <v>47036</v>
      </c>
      <c r="M176">
        <f>--(D176&gt;0)</f>
        <v>1</v>
      </c>
    </row>
    <row r="177" spans="1:13" ht="15" customHeight="1">
      <c r="A177">
        <v>15</v>
      </c>
      <c r="B177">
        <v>15</v>
      </c>
      <c r="C177" s="25">
        <f>EDATE(参数设置!$B$4,A177-1)</f>
        <v>46670</v>
      </c>
      <c r="D177" s="21">
        <f>IF(AND(A177&lt;=参数设置!$B$6,OR(INDEX(月度资金流!$B$7:$B$42,A177)=策略字典!$A$1,INDEX(月度资金流!$B$7:$B$42,A177)=策略字典!$A$2)),参数设置!$B$5,0)</f>
        <v>23400</v>
      </c>
      <c r="E177">
        <v>6</v>
      </c>
      <c r="F177" s="25">
        <f>IF(E177=1,C177,G176)</f>
        <v>46848</v>
      </c>
      <c r="G177" s="25">
        <f>IF(E177&lt;参数设置!$B$13,DATE(YEAR(EDATE(C177,E177+1)),MONTH(EDATE(C177,E177+1)),参数设置!$B$14),EDATE(C177,参数设置!$B$13))</f>
        <v>46878</v>
      </c>
      <c r="H177">
        <f>G177-F177</f>
        <v>30</v>
      </c>
      <c r="I177" s="21">
        <f>IF(E177=参数设置!$B$13,D177,0)</f>
        <v>0</v>
      </c>
      <c r="J177" s="21">
        <f>IF(M177=1,ROUND(D177*参数设置!$B$11*H177/参数设置!$B$12,参数设置!$B$15),0)</f>
        <v>64.349999999999994</v>
      </c>
      <c r="K177" s="21">
        <f>I177+J177</f>
        <v>64.349999999999994</v>
      </c>
      <c r="L177" s="25">
        <f>EDATE(C177,参数设置!$B$13)</f>
        <v>47036</v>
      </c>
      <c r="M177">
        <f>--(D177&gt;0)</f>
        <v>1</v>
      </c>
    </row>
    <row r="178" spans="1:13" ht="15" customHeight="1">
      <c r="A178">
        <v>15</v>
      </c>
      <c r="B178">
        <v>15</v>
      </c>
      <c r="C178" s="25">
        <f>EDATE(参数设置!$B$4,A178-1)</f>
        <v>46670</v>
      </c>
      <c r="D178" s="21">
        <f>IF(AND(A178&lt;=参数设置!$B$6,OR(INDEX(月度资金流!$B$7:$B$42,A178)=策略字典!$A$1,INDEX(月度资金流!$B$7:$B$42,A178)=策略字典!$A$2)),参数设置!$B$5,0)</f>
        <v>23400</v>
      </c>
      <c r="E178">
        <v>7</v>
      </c>
      <c r="F178" s="25">
        <f>IF(E178=1,C178,G177)</f>
        <v>46878</v>
      </c>
      <c r="G178" s="25">
        <f>IF(E178&lt;参数设置!$B$13,DATE(YEAR(EDATE(C178,E178+1)),MONTH(EDATE(C178,E178+1)),参数设置!$B$14),EDATE(C178,参数设置!$B$13))</f>
        <v>46909</v>
      </c>
      <c r="H178">
        <f>G178-F178</f>
        <v>31</v>
      </c>
      <c r="I178" s="21">
        <f>IF(E178=参数设置!$B$13,D178,0)</f>
        <v>0</v>
      </c>
      <c r="J178" s="21">
        <f>IF(M178=1,ROUND(D178*参数设置!$B$11*H178/参数设置!$B$12,参数设置!$B$15),0)</f>
        <v>66.5</v>
      </c>
      <c r="K178" s="21">
        <f>I178+J178</f>
        <v>66.5</v>
      </c>
      <c r="L178" s="25">
        <f>EDATE(C178,参数设置!$B$13)</f>
        <v>47036</v>
      </c>
      <c r="M178">
        <f>--(D178&gt;0)</f>
        <v>1</v>
      </c>
    </row>
    <row r="179" spans="1:13" ht="15" customHeight="1">
      <c r="A179">
        <v>15</v>
      </c>
      <c r="B179">
        <v>15</v>
      </c>
      <c r="C179" s="25">
        <f>EDATE(参数设置!$B$4,A179-1)</f>
        <v>46670</v>
      </c>
      <c r="D179" s="21">
        <f>IF(AND(A179&lt;=参数设置!$B$6,OR(INDEX(月度资金流!$B$7:$B$42,A179)=策略字典!$A$1,INDEX(月度资金流!$B$7:$B$42,A179)=策略字典!$A$2)),参数设置!$B$5,0)</f>
        <v>23400</v>
      </c>
      <c r="E179">
        <v>8</v>
      </c>
      <c r="F179" s="25">
        <f>IF(E179=1,C179,G178)</f>
        <v>46909</v>
      </c>
      <c r="G179" s="25">
        <f>IF(E179&lt;参数设置!$B$13,DATE(YEAR(EDATE(C179,E179+1)),MONTH(EDATE(C179,E179+1)),参数设置!$B$14),EDATE(C179,参数设置!$B$13))</f>
        <v>46939</v>
      </c>
      <c r="H179">
        <f>G179-F179</f>
        <v>30</v>
      </c>
      <c r="I179" s="21">
        <f>IF(E179=参数设置!$B$13,D179,0)</f>
        <v>0</v>
      </c>
      <c r="J179" s="21">
        <f>IF(M179=1,ROUND(D179*参数设置!$B$11*H179/参数设置!$B$12,参数设置!$B$15),0)</f>
        <v>64.349999999999994</v>
      </c>
      <c r="K179" s="21">
        <f>I179+J179</f>
        <v>64.349999999999994</v>
      </c>
      <c r="L179" s="25">
        <f>EDATE(C179,参数设置!$B$13)</f>
        <v>47036</v>
      </c>
      <c r="M179">
        <f>--(D179&gt;0)</f>
        <v>1</v>
      </c>
    </row>
    <row r="180" spans="1:13" ht="15" customHeight="1">
      <c r="A180">
        <v>15</v>
      </c>
      <c r="B180">
        <v>15</v>
      </c>
      <c r="C180" s="25">
        <f>EDATE(参数设置!$B$4,A180-1)</f>
        <v>46670</v>
      </c>
      <c r="D180" s="21">
        <f>IF(AND(A180&lt;=参数设置!$B$6,OR(INDEX(月度资金流!$B$7:$B$42,A180)=策略字典!$A$1,INDEX(月度资金流!$B$7:$B$42,A180)=策略字典!$A$2)),参数设置!$B$5,0)</f>
        <v>23400</v>
      </c>
      <c r="E180">
        <v>9</v>
      </c>
      <c r="F180" s="25">
        <f>IF(E180=1,C180,G179)</f>
        <v>46939</v>
      </c>
      <c r="G180" s="25">
        <f>IF(E180&lt;参数设置!$B$13,DATE(YEAR(EDATE(C180,E180+1)),MONTH(EDATE(C180,E180+1)),参数设置!$B$14),EDATE(C180,参数设置!$B$13))</f>
        <v>46970</v>
      </c>
      <c r="H180">
        <f>G180-F180</f>
        <v>31</v>
      </c>
      <c r="I180" s="21">
        <f>IF(E180=参数设置!$B$13,D180,0)</f>
        <v>0</v>
      </c>
      <c r="J180" s="21">
        <f>IF(M180=1,ROUND(D180*参数设置!$B$11*H180/参数设置!$B$12,参数设置!$B$15),0)</f>
        <v>66.5</v>
      </c>
      <c r="K180" s="21">
        <f>I180+J180</f>
        <v>66.5</v>
      </c>
      <c r="L180" s="25">
        <f>EDATE(C180,参数设置!$B$13)</f>
        <v>47036</v>
      </c>
      <c r="M180">
        <f>--(D180&gt;0)</f>
        <v>1</v>
      </c>
    </row>
    <row r="181" spans="1:13" ht="15" customHeight="1">
      <c r="A181">
        <v>15</v>
      </c>
      <c r="B181">
        <v>15</v>
      </c>
      <c r="C181" s="25">
        <f>EDATE(参数设置!$B$4,A181-1)</f>
        <v>46670</v>
      </c>
      <c r="D181" s="21">
        <f>IF(AND(A181&lt;=参数设置!$B$6,OR(INDEX(月度资金流!$B$7:$B$42,A181)=策略字典!$A$1,INDEX(月度资金流!$B$7:$B$42,A181)=策略字典!$A$2)),参数设置!$B$5,0)</f>
        <v>23400</v>
      </c>
      <c r="E181">
        <v>10</v>
      </c>
      <c r="F181" s="25">
        <f>IF(E181=1,C181,G180)</f>
        <v>46970</v>
      </c>
      <c r="G181" s="25">
        <f>IF(E181&lt;参数设置!$B$13,DATE(YEAR(EDATE(C181,E181+1)),MONTH(EDATE(C181,E181+1)),参数设置!$B$14),EDATE(C181,参数设置!$B$13))</f>
        <v>47001</v>
      </c>
      <c r="H181">
        <f>G181-F181</f>
        <v>31</v>
      </c>
      <c r="I181" s="21">
        <f>IF(E181=参数设置!$B$13,D181,0)</f>
        <v>0</v>
      </c>
      <c r="J181" s="21">
        <f>IF(M181=1,ROUND(D181*参数设置!$B$11*H181/参数设置!$B$12,参数设置!$B$15),0)</f>
        <v>66.5</v>
      </c>
      <c r="K181" s="21">
        <f>I181+J181</f>
        <v>66.5</v>
      </c>
      <c r="L181" s="25">
        <f>EDATE(C181,参数设置!$B$13)</f>
        <v>47036</v>
      </c>
      <c r="M181">
        <f>--(D181&gt;0)</f>
        <v>1</v>
      </c>
    </row>
    <row r="182" spans="1:13" ht="15" customHeight="1">
      <c r="A182">
        <v>15</v>
      </c>
      <c r="B182">
        <v>15</v>
      </c>
      <c r="C182" s="25">
        <f>EDATE(参数设置!$B$4,A182-1)</f>
        <v>46670</v>
      </c>
      <c r="D182" s="21">
        <f>IF(AND(A182&lt;=参数设置!$B$6,OR(INDEX(月度资金流!$B$7:$B$42,A182)=策略字典!$A$1,INDEX(月度资金流!$B$7:$B$42,A182)=策略字典!$A$2)),参数设置!$B$5,0)</f>
        <v>23400</v>
      </c>
      <c r="E182">
        <v>11</v>
      </c>
      <c r="F182" s="25">
        <f>IF(E182=1,C182,G181)</f>
        <v>47001</v>
      </c>
      <c r="G182" s="25">
        <f>IF(E182&lt;参数设置!$B$13,DATE(YEAR(EDATE(C182,E182+1)),MONTH(EDATE(C182,E182+1)),参数设置!$B$14),EDATE(C182,参数设置!$B$13))</f>
        <v>47031</v>
      </c>
      <c r="H182">
        <f>G182-F182</f>
        <v>30</v>
      </c>
      <c r="I182" s="21">
        <f>IF(E182=参数设置!$B$13,D182,0)</f>
        <v>0</v>
      </c>
      <c r="J182" s="21">
        <f>IF(M182=1,ROUND(D182*参数设置!$B$11*H182/参数设置!$B$12,参数设置!$B$15),0)</f>
        <v>64.349999999999994</v>
      </c>
      <c r="K182" s="21">
        <f>I182+J182</f>
        <v>64.349999999999994</v>
      </c>
      <c r="L182" s="25">
        <f>EDATE(C182,参数设置!$B$13)</f>
        <v>47036</v>
      </c>
      <c r="M182">
        <f>--(D182&gt;0)</f>
        <v>1</v>
      </c>
    </row>
    <row r="183" spans="1:13" ht="15" customHeight="1">
      <c r="A183">
        <v>15</v>
      </c>
      <c r="B183">
        <v>15</v>
      </c>
      <c r="C183" s="25">
        <f>EDATE(参数设置!$B$4,A183-1)</f>
        <v>46670</v>
      </c>
      <c r="D183" s="21">
        <f>IF(AND(A183&lt;=参数设置!$B$6,OR(INDEX(月度资金流!$B$7:$B$42,A183)=策略字典!$A$1,INDEX(月度资金流!$B$7:$B$42,A183)=策略字典!$A$2)),参数设置!$B$5,0)</f>
        <v>23400</v>
      </c>
      <c r="E183">
        <v>12</v>
      </c>
      <c r="F183" s="25">
        <f>IF(E183=1,C183,G182)</f>
        <v>47031</v>
      </c>
      <c r="G183" s="25">
        <f>IF(E183&lt;参数设置!$B$13,DATE(YEAR(EDATE(C183,E183+1)),MONTH(EDATE(C183,E183+1)),参数设置!$B$14),EDATE(C183,参数设置!$B$13))</f>
        <v>47036</v>
      </c>
      <c r="H183">
        <f>G183-F183</f>
        <v>5</v>
      </c>
      <c r="I183" s="21">
        <f>IF(E183=参数设置!$B$13,D183,0)</f>
        <v>23400</v>
      </c>
      <c r="J183" s="21">
        <f>IF(M183=1,ROUND(D183*参数设置!$B$11*H183/参数设置!$B$12,参数设置!$B$15),0)</f>
        <v>10.73</v>
      </c>
      <c r="K183" s="21">
        <f>I183+J183</f>
        <v>23410.73</v>
      </c>
      <c r="L183" s="25">
        <f>EDATE(C183,参数设置!$B$13)</f>
        <v>47036</v>
      </c>
      <c r="M183">
        <f>--(D183&gt;0)</f>
        <v>1</v>
      </c>
    </row>
    <row r="184" spans="1:13" ht="15" customHeight="1">
      <c r="A184">
        <v>16</v>
      </c>
      <c r="B184">
        <v>16</v>
      </c>
      <c r="C184" s="25">
        <f>EDATE(参数设置!$B$4,A184-1)</f>
        <v>46701</v>
      </c>
      <c r="D184" s="21">
        <f>IF(AND(A184&lt;=参数设置!$B$6,OR(INDEX(月度资金流!$B$7:$B$42,A184)=策略字典!$A$1,INDEX(月度资金流!$B$7:$B$42,A184)=策略字典!$A$2)),参数设置!$B$5,0)</f>
        <v>23400</v>
      </c>
      <c r="E184">
        <v>1</v>
      </c>
      <c r="F184" s="25">
        <f>IF(E184=1,C184,G183)</f>
        <v>46701</v>
      </c>
      <c r="G184" s="25">
        <f>IF(E184&lt;参数设置!$B$13,DATE(YEAR(EDATE(C184,E184+1)),MONTH(EDATE(C184,E184+1)),参数设置!$B$14),EDATE(C184,参数设置!$B$13))</f>
        <v>46757</v>
      </c>
      <c r="H184">
        <f>G184-F184</f>
        <v>56</v>
      </c>
      <c r="I184" s="21">
        <f>IF(E184=参数设置!$B$13,D184,0)</f>
        <v>0</v>
      </c>
      <c r="J184" s="21">
        <f>IF(M184=1,ROUND(D184*参数设置!$B$11*H184/参数设置!$B$12,参数设置!$B$15),0)</f>
        <v>120.12</v>
      </c>
      <c r="K184" s="21">
        <f>I184+J184</f>
        <v>120.12</v>
      </c>
      <c r="L184" s="25">
        <f>EDATE(C184,参数设置!$B$13)</f>
        <v>47067</v>
      </c>
      <c r="M184">
        <f>--(D184&gt;0)</f>
        <v>1</v>
      </c>
    </row>
    <row r="185" spans="1:13" ht="15" customHeight="1">
      <c r="A185">
        <v>16</v>
      </c>
      <c r="B185">
        <v>16</v>
      </c>
      <c r="C185" s="25">
        <f>EDATE(参数设置!$B$4,A185-1)</f>
        <v>46701</v>
      </c>
      <c r="D185" s="21">
        <f>IF(AND(A185&lt;=参数设置!$B$6,OR(INDEX(月度资金流!$B$7:$B$42,A185)=策略字典!$A$1,INDEX(月度资金流!$B$7:$B$42,A185)=策略字典!$A$2)),参数设置!$B$5,0)</f>
        <v>23400</v>
      </c>
      <c r="E185">
        <v>2</v>
      </c>
      <c r="F185" s="25">
        <f>IF(E185=1,C185,G184)</f>
        <v>46757</v>
      </c>
      <c r="G185" s="25">
        <f>IF(E185&lt;参数设置!$B$13,DATE(YEAR(EDATE(C185,E185+1)),MONTH(EDATE(C185,E185+1)),参数设置!$B$14),EDATE(C185,参数设置!$B$13))</f>
        <v>46788</v>
      </c>
      <c r="H185">
        <f>G185-F185</f>
        <v>31</v>
      </c>
      <c r="I185" s="21">
        <f>IF(E185=参数设置!$B$13,D185,0)</f>
        <v>0</v>
      </c>
      <c r="J185" s="21">
        <f>IF(M185=1,ROUND(D185*参数设置!$B$11*H185/参数设置!$B$12,参数设置!$B$15),0)</f>
        <v>66.5</v>
      </c>
      <c r="K185" s="21">
        <f>I185+J185</f>
        <v>66.5</v>
      </c>
      <c r="L185" s="25">
        <f>EDATE(C185,参数设置!$B$13)</f>
        <v>47067</v>
      </c>
      <c r="M185">
        <f>--(D185&gt;0)</f>
        <v>1</v>
      </c>
    </row>
    <row r="186" spans="1:13" ht="15" customHeight="1">
      <c r="A186">
        <v>16</v>
      </c>
      <c r="B186">
        <v>16</v>
      </c>
      <c r="C186" s="25">
        <f>EDATE(参数设置!$B$4,A186-1)</f>
        <v>46701</v>
      </c>
      <c r="D186" s="21">
        <f>IF(AND(A186&lt;=参数设置!$B$6,OR(INDEX(月度资金流!$B$7:$B$42,A186)=策略字典!$A$1,INDEX(月度资金流!$B$7:$B$42,A186)=策略字典!$A$2)),参数设置!$B$5,0)</f>
        <v>23400</v>
      </c>
      <c r="E186">
        <v>3</v>
      </c>
      <c r="F186" s="25">
        <f>IF(E186=1,C186,G185)</f>
        <v>46788</v>
      </c>
      <c r="G186" s="25">
        <f>IF(E186&lt;参数设置!$B$13,DATE(YEAR(EDATE(C186,E186+1)),MONTH(EDATE(C186,E186+1)),参数设置!$B$14),EDATE(C186,参数设置!$B$13))</f>
        <v>46817</v>
      </c>
      <c r="H186">
        <f>G186-F186</f>
        <v>29</v>
      </c>
      <c r="I186" s="21">
        <f>IF(E186=参数设置!$B$13,D186,0)</f>
        <v>0</v>
      </c>
      <c r="J186" s="21">
        <f>IF(M186=1,ROUND(D186*参数设置!$B$11*H186/参数设置!$B$12,参数设置!$B$15),0)</f>
        <v>62.21</v>
      </c>
      <c r="K186" s="21">
        <f>I186+J186</f>
        <v>62.21</v>
      </c>
      <c r="L186" s="25">
        <f>EDATE(C186,参数设置!$B$13)</f>
        <v>47067</v>
      </c>
      <c r="M186">
        <f>--(D186&gt;0)</f>
        <v>1</v>
      </c>
    </row>
    <row r="187" spans="1:13" ht="15" customHeight="1">
      <c r="A187">
        <v>16</v>
      </c>
      <c r="B187">
        <v>16</v>
      </c>
      <c r="C187" s="25">
        <f>EDATE(参数设置!$B$4,A187-1)</f>
        <v>46701</v>
      </c>
      <c r="D187" s="21">
        <f>IF(AND(A187&lt;=参数设置!$B$6,OR(INDEX(月度资金流!$B$7:$B$42,A187)=策略字典!$A$1,INDEX(月度资金流!$B$7:$B$42,A187)=策略字典!$A$2)),参数设置!$B$5,0)</f>
        <v>23400</v>
      </c>
      <c r="E187">
        <v>4</v>
      </c>
      <c r="F187" s="25">
        <f>IF(E187=1,C187,G186)</f>
        <v>46817</v>
      </c>
      <c r="G187" s="25">
        <f>IF(E187&lt;参数设置!$B$13,DATE(YEAR(EDATE(C187,E187+1)),MONTH(EDATE(C187,E187+1)),参数设置!$B$14),EDATE(C187,参数设置!$B$13))</f>
        <v>46848</v>
      </c>
      <c r="H187">
        <f>G187-F187</f>
        <v>31</v>
      </c>
      <c r="I187" s="21">
        <f>IF(E187=参数设置!$B$13,D187,0)</f>
        <v>0</v>
      </c>
      <c r="J187" s="21">
        <f>IF(M187=1,ROUND(D187*参数设置!$B$11*H187/参数设置!$B$12,参数设置!$B$15),0)</f>
        <v>66.5</v>
      </c>
      <c r="K187" s="21">
        <f>I187+J187</f>
        <v>66.5</v>
      </c>
      <c r="L187" s="25">
        <f>EDATE(C187,参数设置!$B$13)</f>
        <v>47067</v>
      </c>
      <c r="M187">
        <f>--(D187&gt;0)</f>
        <v>1</v>
      </c>
    </row>
    <row r="188" spans="1:13" ht="15" customHeight="1">
      <c r="A188">
        <v>16</v>
      </c>
      <c r="B188">
        <v>16</v>
      </c>
      <c r="C188" s="25">
        <f>EDATE(参数设置!$B$4,A188-1)</f>
        <v>46701</v>
      </c>
      <c r="D188" s="21">
        <f>IF(AND(A188&lt;=参数设置!$B$6,OR(INDEX(月度资金流!$B$7:$B$42,A188)=策略字典!$A$1,INDEX(月度资金流!$B$7:$B$42,A188)=策略字典!$A$2)),参数设置!$B$5,0)</f>
        <v>23400</v>
      </c>
      <c r="E188">
        <v>5</v>
      </c>
      <c r="F188" s="25">
        <f>IF(E188=1,C188,G187)</f>
        <v>46848</v>
      </c>
      <c r="G188" s="25">
        <f>IF(E188&lt;参数设置!$B$13,DATE(YEAR(EDATE(C188,E188+1)),MONTH(EDATE(C188,E188+1)),参数设置!$B$14),EDATE(C188,参数设置!$B$13))</f>
        <v>46878</v>
      </c>
      <c r="H188">
        <f>G188-F188</f>
        <v>30</v>
      </c>
      <c r="I188" s="21">
        <f>IF(E188=参数设置!$B$13,D188,0)</f>
        <v>0</v>
      </c>
      <c r="J188" s="21">
        <f>IF(M188=1,ROUND(D188*参数设置!$B$11*H188/参数设置!$B$12,参数设置!$B$15),0)</f>
        <v>64.349999999999994</v>
      </c>
      <c r="K188" s="21">
        <f>I188+J188</f>
        <v>64.349999999999994</v>
      </c>
      <c r="L188" s="25">
        <f>EDATE(C188,参数设置!$B$13)</f>
        <v>47067</v>
      </c>
      <c r="M188">
        <f>--(D188&gt;0)</f>
        <v>1</v>
      </c>
    </row>
    <row r="189" spans="1:13" ht="15" customHeight="1">
      <c r="A189">
        <v>16</v>
      </c>
      <c r="B189">
        <v>16</v>
      </c>
      <c r="C189" s="25">
        <f>EDATE(参数设置!$B$4,A189-1)</f>
        <v>46701</v>
      </c>
      <c r="D189" s="21">
        <f>IF(AND(A189&lt;=参数设置!$B$6,OR(INDEX(月度资金流!$B$7:$B$42,A189)=策略字典!$A$1,INDEX(月度资金流!$B$7:$B$42,A189)=策略字典!$A$2)),参数设置!$B$5,0)</f>
        <v>23400</v>
      </c>
      <c r="E189">
        <v>6</v>
      </c>
      <c r="F189" s="25">
        <f>IF(E189=1,C189,G188)</f>
        <v>46878</v>
      </c>
      <c r="G189" s="25">
        <f>IF(E189&lt;参数设置!$B$13,DATE(YEAR(EDATE(C189,E189+1)),MONTH(EDATE(C189,E189+1)),参数设置!$B$14),EDATE(C189,参数设置!$B$13))</f>
        <v>46909</v>
      </c>
      <c r="H189">
        <f>G189-F189</f>
        <v>31</v>
      </c>
      <c r="I189" s="21">
        <f>IF(E189=参数设置!$B$13,D189,0)</f>
        <v>0</v>
      </c>
      <c r="J189" s="21">
        <f>IF(M189=1,ROUND(D189*参数设置!$B$11*H189/参数设置!$B$12,参数设置!$B$15),0)</f>
        <v>66.5</v>
      </c>
      <c r="K189" s="21">
        <f>I189+J189</f>
        <v>66.5</v>
      </c>
      <c r="L189" s="25">
        <f>EDATE(C189,参数设置!$B$13)</f>
        <v>47067</v>
      </c>
      <c r="M189">
        <f>--(D189&gt;0)</f>
        <v>1</v>
      </c>
    </row>
    <row r="190" spans="1:13" ht="15" customHeight="1">
      <c r="A190">
        <v>16</v>
      </c>
      <c r="B190">
        <v>16</v>
      </c>
      <c r="C190" s="25">
        <f>EDATE(参数设置!$B$4,A190-1)</f>
        <v>46701</v>
      </c>
      <c r="D190" s="21">
        <f>IF(AND(A190&lt;=参数设置!$B$6,OR(INDEX(月度资金流!$B$7:$B$42,A190)=策略字典!$A$1,INDEX(月度资金流!$B$7:$B$42,A190)=策略字典!$A$2)),参数设置!$B$5,0)</f>
        <v>23400</v>
      </c>
      <c r="E190">
        <v>7</v>
      </c>
      <c r="F190" s="25">
        <f>IF(E190=1,C190,G189)</f>
        <v>46909</v>
      </c>
      <c r="G190" s="25">
        <f>IF(E190&lt;参数设置!$B$13,DATE(YEAR(EDATE(C190,E190+1)),MONTH(EDATE(C190,E190+1)),参数设置!$B$14),EDATE(C190,参数设置!$B$13))</f>
        <v>46939</v>
      </c>
      <c r="H190">
        <f>G190-F190</f>
        <v>30</v>
      </c>
      <c r="I190" s="21">
        <f>IF(E190=参数设置!$B$13,D190,0)</f>
        <v>0</v>
      </c>
      <c r="J190" s="21">
        <f>IF(M190=1,ROUND(D190*参数设置!$B$11*H190/参数设置!$B$12,参数设置!$B$15),0)</f>
        <v>64.349999999999994</v>
      </c>
      <c r="K190" s="21">
        <f>I190+J190</f>
        <v>64.349999999999994</v>
      </c>
      <c r="L190" s="25">
        <f>EDATE(C190,参数设置!$B$13)</f>
        <v>47067</v>
      </c>
      <c r="M190">
        <f>--(D190&gt;0)</f>
        <v>1</v>
      </c>
    </row>
    <row r="191" spans="1:13" ht="15" customHeight="1">
      <c r="A191">
        <v>16</v>
      </c>
      <c r="B191">
        <v>16</v>
      </c>
      <c r="C191" s="25">
        <f>EDATE(参数设置!$B$4,A191-1)</f>
        <v>46701</v>
      </c>
      <c r="D191" s="21">
        <f>IF(AND(A191&lt;=参数设置!$B$6,OR(INDEX(月度资金流!$B$7:$B$42,A191)=策略字典!$A$1,INDEX(月度资金流!$B$7:$B$42,A191)=策略字典!$A$2)),参数设置!$B$5,0)</f>
        <v>23400</v>
      </c>
      <c r="E191">
        <v>8</v>
      </c>
      <c r="F191" s="25">
        <f>IF(E191=1,C191,G190)</f>
        <v>46939</v>
      </c>
      <c r="G191" s="25">
        <f>IF(E191&lt;参数设置!$B$13,DATE(YEAR(EDATE(C191,E191+1)),MONTH(EDATE(C191,E191+1)),参数设置!$B$14),EDATE(C191,参数设置!$B$13))</f>
        <v>46970</v>
      </c>
      <c r="H191">
        <f>G191-F191</f>
        <v>31</v>
      </c>
      <c r="I191" s="21">
        <f>IF(E191=参数设置!$B$13,D191,0)</f>
        <v>0</v>
      </c>
      <c r="J191" s="21">
        <f>IF(M191=1,ROUND(D191*参数设置!$B$11*H191/参数设置!$B$12,参数设置!$B$15),0)</f>
        <v>66.5</v>
      </c>
      <c r="K191" s="21">
        <f>I191+J191</f>
        <v>66.5</v>
      </c>
      <c r="L191" s="25">
        <f>EDATE(C191,参数设置!$B$13)</f>
        <v>47067</v>
      </c>
      <c r="M191">
        <f>--(D191&gt;0)</f>
        <v>1</v>
      </c>
    </row>
    <row r="192" spans="1:13" ht="15" customHeight="1">
      <c r="A192">
        <v>16</v>
      </c>
      <c r="B192">
        <v>16</v>
      </c>
      <c r="C192" s="25">
        <f>EDATE(参数设置!$B$4,A192-1)</f>
        <v>46701</v>
      </c>
      <c r="D192" s="21">
        <f>IF(AND(A192&lt;=参数设置!$B$6,OR(INDEX(月度资金流!$B$7:$B$42,A192)=策略字典!$A$1,INDEX(月度资金流!$B$7:$B$42,A192)=策略字典!$A$2)),参数设置!$B$5,0)</f>
        <v>23400</v>
      </c>
      <c r="E192">
        <v>9</v>
      </c>
      <c r="F192" s="25">
        <f>IF(E192=1,C192,G191)</f>
        <v>46970</v>
      </c>
      <c r="G192" s="25">
        <f>IF(E192&lt;参数设置!$B$13,DATE(YEAR(EDATE(C192,E192+1)),MONTH(EDATE(C192,E192+1)),参数设置!$B$14),EDATE(C192,参数设置!$B$13))</f>
        <v>47001</v>
      </c>
      <c r="H192">
        <f>G192-F192</f>
        <v>31</v>
      </c>
      <c r="I192" s="21">
        <f>IF(E192=参数设置!$B$13,D192,0)</f>
        <v>0</v>
      </c>
      <c r="J192" s="21">
        <f>IF(M192=1,ROUND(D192*参数设置!$B$11*H192/参数设置!$B$12,参数设置!$B$15),0)</f>
        <v>66.5</v>
      </c>
      <c r="K192" s="21">
        <f>I192+J192</f>
        <v>66.5</v>
      </c>
      <c r="L192" s="25">
        <f>EDATE(C192,参数设置!$B$13)</f>
        <v>47067</v>
      </c>
      <c r="M192">
        <f>--(D192&gt;0)</f>
        <v>1</v>
      </c>
    </row>
    <row r="193" spans="1:13" ht="15" customHeight="1">
      <c r="A193">
        <v>16</v>
      </c>
      <c r="B193">
        <v>16</v>
      </c>
      <c r="C193" s="25">
        <f>EDATE(参数设置!$B$4,A193-1)</f>
        <v>46701</v>
      </c>
      <c r="D193" s="21">
        <f>IF(AND(A193&lt;=参数设置!$B$6,OR(INDEX(月度资金流!$B$7:$B$42,A193)=策略字典!$A$1,INDEX(月度资金流!$B$7:$B$42,A193)=策略字典!$A$2)),参数设置!$B$5,0)</f>
        <v>23400</v>
      </c>
      <c r="E193">
        <v>10</v>
      </c>
      <c r="F193" s="25">
        <f>IF(E193=1,C193,G192)</f>
        <v>47001</v>
      </c>
      <c r="G193" s="25">
        <f>IF(E193&lt;参数设置!$B$13,DATE(YEAR(EDATE(C193,E193+1)),MONTH(EDATE(C193,E193+1)),参数设置!$B$14),EDATE(C193,参数设置!$B$13))</f>
        <v>47031</v>
      </c>
      <c r="H193">
        <f>G193-F193</f>
        <v>30</v>
      </c>
      <c r="I193" s="21">
        <f>IF(E193=参数设置!$B$13,D193,0)</f>
        <v>0</v>
      </c>
      <c r="J193" s="21">
        <f>IF(M193=1,ROUND(D193*参数设置!$B$11*H193/参数设置!$B$12,参数设置!$B$15),0)</f>
        <v>64.349999999999994</v>
      </c>
      <c r="K193" s="21">
        <f>I193+J193</f>
        <v>64.349999999999994</v>
      </c>
      <c r="L193" s="25">
        <f>EDATE(C193,参数设置!$B$13)</f>
        <v>47067</v>
      </c>
      <c r="M193">
        <f>--(D193&gt;0)</f>
        <v>1</v>
      </c>
    </row>
    <row r="194" spans="1:13" ht="15" customHeight="1">
      <c r="A194">
        <v>16</v>
      </c>
      <c r="B194">
        <v>16</v>
      </c>
      <c r="C194" s="25">
        <f>EDATE(参数设置!$B$4,A194-1)</f>
        <v>46701</v>
      </c>
      <c r="D194" s="21">
        <f>IF(AND(A194&lt;=参数设置!$B$6,OR(INDEX(月度资金流!$B$7:$B$42,A194)=策略字典!$A$1,INDEX(月度资金流!$B$7:$B$42,A194)=策略字典!$A$2)),参数设置!$B$5,0)</f>
        <v>23400</v>
      </c>
      <c r="E194">
        <v>11</v>
      </c>
      <c r="F194" s="25">
        <f>IF(E194=1,C194,G193)</f>
        <v>47031</v>
      </c>
      <c r="G194" s="25">
        <f>IF(E194&lt;参数设置!$B$13,DATE(YEAR(EDATE(C194,E194+1)),MONTH(EDATE(C194,E194+1)),参数设置!$B$14),EDATE(C194,参数设置!$B$13))</f>
        <v>47062</v>
      </c>
      <c r="H194">
        <f>G194-F194</f>
        <v>31</v>
      </c>
      <c r="I194" s="21">
        <f>IF(E194=参数设置!$B$13,D194,0)</f>
        <v>0</v>
      </c>
      <c r="J194" s="21">
        <f>IF(M194=1,ROUND(D194*参数设置!$B$11*H194/参数设置!$B$12,参数设置!$B$15),0)</f>
        <v>66.5</v>
      </c>
      <c r="K194" s="21">
        <f>I194+J194</f>
        <v>66.5</v>
      </c>
      <c r="L194" s="25">
        <f>EDATE(C194,参数设置!$B$13)</f>
        <v>47067</v>
      </c>
      <c r="M194">
        <f>--(D194&gt;0)</f>
        <v>1</v>
      </c>
    </row>
    <row r="195" spans="1:13" ht="15" customHeight="1">
      <c r="A195">
        <v>16</v>
      </c>
      <c r="B195">
        <v>16</v>
      </c>
      <c r="C195" s="25">
        <f>EDATE(参数设置!$B$4,A195-1)</f>
        <v>46701</v>
      </c>
      <c r="D195" s="21">
        <f>IF(AND(A195&lt;=参数设置!$B$6,OR(INDEX(月度资金流!$B$7:$B$42,A195)=策略字典!$A$1,INDEX(月度资金流!$B$7:$B$42,A195)=策略字典!$A$2)),参数设置!$B$5,0)</f>
        <v>23400</v>
      </c>
      <c r="E195">
        <v>12</v>
      </c>
      <c r="F195" s="25">
        <f>IF(E195=1,C195,G194)</f>
        <v>47062</v>
      </c>
      <c r="G195" s="25">
        <f>IF(E195&lt;参数设置!$B$13,DATE(YEAR(EDATE(C195,E195+1)),MONTH(EDATE(C195,E195+1)),参数设置!$B$14),EDATE(C195,参数设置!$B$13))</f>
        <v>47067</v>
      </c>
      <c r="H195">
        <f>G195-F195</f>
        <v>5</v>
      </c>
      <c r="I195" s="21">
        <f>IF(E195=参数设置!$B$13,D195,0)</f>
        <v>23400</v>
      </c>
      <c r="J195" s="21">
        <f>IF(M195=1,ROUND(D195*参数设置!$B$11*H195/参数设置!$B$12,参数设置!$B$15),0)</f>
        <v>10.73</v>
      </c>
      <c r="K195" s="21">
        <f>I195+J195</f>
        <v>23410.73</v>
      </c>
      <c r="L195" s="25">
        <f>EDATE(C195,参数设置!$B$13)</f>
        <v>47067</v>
      </c>
      <c r="M195">
        <f>--(D195&gt;0)</f>
        <v>1</v>
      </c>
    </row>
    <row r="196" spans="1:13" ht="15" customHeight="1">
      <c r="A196">
        <v>17</v>
      </c>
      <c r="B196">
        <v>17</v>
      </c>
      <c r="C196" s="25">
        <f>EDATE(参数设置!$B$4,A196-1)</f>
        <v>46731</v>
      </c>
      <c r="D196" s="21">
        <f>IF(AND(A196&lt;=参数设置!$B$6,OR(INDEX(月度资金流!$B$7:$B$42,A196)=策略字典!$A$1,INDEX(月度资金流!$B$7:$B$42,A196)=策略字典!$A$2)),参数设置!$B$5,0)</f>
        <v>23400</v>
      </c>
      <c r="E196">
        <v>1</v>
      </c>
      <c r="F196" s="25">
        <f>IF(E196=1,C196,G195)</f>
        <v>46731</v>
      </c>
      <c r="G196" s="25">
        <f>IF(E196&lt;参数设置!$B$13,DATE(YEAR(EDATE(C196,E196+1)),MONTH(EDATE(C196,E196+1)),参数设置!$B$14),EDATE(C196,参数设置!$B$13))</f>
        <v>46788</v>
      </c>
      <c r="H196">
        <f>G196-F196</f>
        <v>57</v>
      </c>
      <c r="I196" s="21">
        <f>IF(E196=参数设置!$B$13,D196,0)</f>
        <v>0</v>
      </c>
      <c r="J196" s="21">
        <f>IF(M196=1,ROUND(D196*参数设置!$B$11*H196/参数设置!$B$12,参数设置!$B$15),0)</f>
        <v>122.27</v>
      </c>
      <c r="K196" s="21">
        <f>I196+J196</f>
        <v>122.27</v>
      </c>
      <c r="L196" s="25">
        <f>EDATE(C196,参数设置!$B$13)</f>
        <v>47097</v>
      </c>
      <c r="M196">
        <f>--(D196&gt;0)</f>
        <v>1</v>
      </c>
    </row>
    <row r="197" spans="1:13" ht="15" customHeight="1">
      <c r="A197">
        <v>17</v>
      </c>
      <c r="B197">
        <v>17</v>
      </c>
      <c r="C197" s="25">
        <f>EDATE(参数设置!$B$4,A197-1)</f>
        <v>46731</v>
      </c>
      <c r="D197" s="21">
        <f>IF(AND(A197&lt;=参数设置!$B$6,OR(INDEX(月度资金流!$B$7:$B$42,A197)=策略字典!$A$1,INDEX(月度资金流!$B$7:$B$42,A197)=策略字典!$A$2)),参数设置!$B$5,0)</f>
        <v>23400</v>
      </c>
      <c r="E197">
        <v>2</v>
      </c>
      <c r="F197" s="25">
        <f>IF(E197=1,C197,G196)</f>
        <v>46788</v>
      </c>
      <c r="G197" s="25">
        <f>IF(E197&lt;参数设置!$B$13,DATE(YEAR(EDATE(C197,E197+1)),MONTH(EDATE(C197,E197+1)),参数设置!$B$14),EDATE(C197,参数设置!$B$13))</f>
        <v>46817</v>
      </c>
      <c r="H197">
        <f>G197-F197</f>
        <v>29</v>
      </c>
      <c r="I197" s="21">
        <f>IF(E197=参数设置!$B$13,D197,0)</f>
        <v>0</v>
      </c>
      <c r="J197" s="21">
        <f>IF(M197=1,ROUND(D197*参数设置!$B$11*H197/参数设置!$B$12,参数设置!$B$15),0)</f>
        <v>62.21</v>
      </c>
      <c r="K197" s="21">
        <f>I197+J197</f>
        <v>62.21</v>
      </c>
      <c r="L197" s="25">
        <f>EDATE(C197,参数设置!$B$13)</f>
        <v>47097</v>
      </c>
      <c r="M197">
        <f>--(D197&gt;0)</f>
        <v>1</v>
      </c>
    </row>
    <row r="198" spans="1:13" ht="15" customHeight="1">
      <c r="A198">
        <v>17</v>
      </c>
      <c r="B198">
        <v>17</v>
      </c>
      <c r="C198" s="25">
        <f>EDATE(参数设置!$B$4,A198-1)</f>
        <v>46731</v>
      </c>
      <c r="D198" s="21">
        <f>IF(AND(A198&lt;=参数设置!$B$6,OR(INDEX(月度资金流!$B$7:$B$42,A198)=策略字典!$A$1,INDEX(月度资金流!$B$7:$B$42,A198)=策略字典!$A$2)),参数设置!$B$5,0)</f>
        <v>23400</v>
      </c>
      <c r="E198">
        <v>3</v>
      </c>
      <c r="F198" s="25">
        <f>IF(E198=1,C198,G197)</f>
        <v>46817</v>
      </c>
      <c r="G198" s="25">
        <f>IF(E198&lt;参数设置!$B$13,DATE(YEAR(EDATE(C198,E198+1)),MONTH(EDATE(C198,E198+1)),参数设置!$B$14),EDATE(C198,参数设置!$B$13))</f>
        <v>46848</v>
      </c>
      <c r="H198">
        <f>G198-F198</f>
        <v>31</v>
      </c>
      <c r="I198" s="21">
        <f>IF(E198=参数设置!$B$13,D198,0)</f>
        <v>0</v>
      </c>
      <c r="J198" s="21">
        <f>IF(M198=1,ROUND(D198*参数设置!$B$11*H198/参数设置!$B$12,参数设置!$B$15),0)</f>
        <v>66.5</v>
      </c>
      <c r="K198" s="21">
        <f>I198+J198</f>
        <v>66.5</v>
      </c>
      <c r="L198" s="25">
        <f>EDATE(C198,参数设置!$B$13)</f>
        <v>47097</v>
      </c>
      <c r="M198">
        <f>--(D198&gt;0)</f>
        <v>1</v>
      </c>
    </row>
    <row r="199" spans="1:13" ht="15" customHeight="1">
      <c r="A199">
        <v>17</v>
      </c>
      <c r="B199">
        <v>17</v>
      </c>
      <c r="C199" s="25">
        <f>EDATE(参数设置!$B$4,A199-1)</f>
        <v>46731</v>
      </c>
      <c r="D199" s="21">
        <f>IF(AND(A199&lt;=参数设置!$B$6,OR(INDEX(月度资金流!$B$7:$B$42,A199)=策略字典!$A$1,INDEX(月度资金流!$B$7:$B$42,A199)=策略字典!$A$2)),参数设置!$B$5,0)</f>
        <v>23400</v>
      </c>
      <c r="E199">
        <v>4</v>
      </c>
      <c r="F199" s="25">
        <f>IF(E199=1,C199,G198)</f>
        <v>46848</v>
      </c>
      <c r="G199" s="25">
        <f>IF(E199&lt;参数设置!$B$13,DATE(YEAR(EDATE(C199,E199+1)),MONTH(EDATE(C199,E199+1)),参数设置!$B$14),EDATE(C199,参数设置!$B$13))</f>
        <v>46878</v>
      </c>
      <c r="H199">
        <f>G199-F199</f>
        <v>30</v>
      </c>
      <c r="I199" s="21">
        <f>IF(E199=参数设置!$B$13,D199,0)</f>
        <v>0</v>
      </c>
      <c r="J199" s="21">
        <f>IF(M199=1,ROUND(D199*参数设置!$B$11*H199/参数设置!$B$12,参数设置!$B$15),0)</f>
        <v>64.349999999999994</v>
      </c>
      <c r="K199" s="21">
        <f>I199+J199</f>
        <v>64.349999999999994</v>
      </c>
      <c r="L199" s="25">
        <f>EDATE(C199,参数设置!$B$13)</f>
        <v>47097</v>
      </c>
      <c r="M199">
        <f>--(D199&gt;0)</f>
        <v>1</v>
      </c>
    </row>
    <row r="200" spans="1:13" ht="15" customHeight="1">
      <c r="A200">
        <v>17</v>
      </c>
      <c r="B200">
        <v>17</v>
      </c>
      <c r="C200" s="25">
        <f>EDATE(参数设置!$B$4,A200-1)</f>
        <v>46731</v>
      </c>
      <c r="D200" s="21">
        <f>IF(AND(A200&lt;=参数设置!$B$6,OR(INDEX(月度资金流!$B$7:$B$42,A200)=策略字典!$A$1,INDEX(月度资金流!$B$7:$B$42,A200)=策略字典!$A$2)),参数设置!$B$5,0)</f>
        <v>23400</v>
      </c>
      <c r="E200">
        <v>5</v>
      </c>
      <c r="F200" s="25">
        <f>IF(E200=1,C200,G199)</f>
        <v>46878</v>
      </c>
      <c r="G200" s="25">
        <f>IF(E200&lt;参数设置!$B$13,DATE(YEAR(EDATE(C200,E200+1)),MONTH(EDATE(C200,E200+1)),参数设置!$B$14),EDATE(C200,参数设置!$B$13))</f>
        <v>46909</v>
      </c>
      <c r="H200">
        <f>G200-F200</f>
        <v>31</v>
      </c>
      <c r="I200" s="21">
        <f>IF(E200=参数设置!$B$13,D200,0)</f>
        <v>0</v>
      </c>
      <c r="J200" s="21">
        <f>IF(M200=1,ROUND(D200*参数设置!$B$11*H200/参数设置!$B$12,参数设置!$B$15),0)</f>
        <v>66.5</v>
      </c>
      <c r="K200" s="21">
        <f>I200+J200</f>
        <v>66.5</v>
      </c>
      <c r="L200" s="25">
        <f>EDATE(C200,参数设置!$B$13)</f>
        <v>47097</v>
      </c>
      <c r="M200">
        <f>--(D200&gt;0)</f>
        <v>1</v>
      </c>
    </row>
    <row r="201" spans="1:13" ht="15" customHeight="1">
      <c r="A201">
        <v>17</v>
      </c>
      <c r="B201">
        <v>17</v>
      </c>
      <c r="C201" s="25">
        <f>EDATE(参数设置!$B$4,A201-1)</f>
        <v>46731</v>
      </c>
      <c r="D201" s="21">
        <f>IF(AND(A201&lt;=参数设置!$B$6,OR(INDEX(月度资金流!$B$7:$B$42,A201)=策略字典!$A$1,INDEX(月度资金流!$B$7:$B$42,A201)=策略字典!$A$2)),参数设置!$B$5,0)</f>
        <v>23400</v>
      </c>
      <c r="E201">
        <v>6</v>
      </c>
      <c r="F201" s="25">
        <f>IF(E201=1,C201,G200)</f>
        <v>46909</v>
      </c>
      <c r="G201" s="25">
        <f>IF(E201&lt;参数设置!$B$13,DATE(YEAR(EDATE(C201,E201+1)),MONTH(EDATE(C201,E201+1)),参数设置!$B$14),EDATE(C201,参数设置!$B$13))</f>
        <v>46939</v>
      </c>
      <c r="H201">
        <f>G201-F201</f>
        <v>30</v>
      </c>
      <c r="I201" s="21">
        <f>IF(E201=参数设置!$B$13,D201,0)</f>
        <v>0</v>
      </c>
      <c r="J201" s="21">
        <f>IF(M201=1,ROUND(D201*参数设置!$B$11*H201/参数设置!$B$12,参数设置!$B$15),0)</f>
        <v>64.349999999999994</v>
      </c>
      <c r="K201" s="21">
        <f>I201+J201</f>
        <v>64.349999999999994</v>
      </c>
      <c r="L201" s="25">
        <f>EDATE(C201,参数设置!$B$13)</f>
        <v>47097</v>
      </c>
      <c r="M201">
        <f>--(D201&gt;0)</f>
        <v>1</v>
      </c>
    </row>
    <row r="202" spans="1:13" ht="15" customHeight="1">
      <c r="A202">
        <v>17</v>
      </c>
      <c r="B202">
        <v>17</v>
      </c>
      <c r="C202" s="25">
        <f>EDATE(参数设置!$B$4,A202-1)</f>
        <v>46731</v>
      </c>
      <c r="D202" s="21">
        <f>IF(AND(A202&lt;=参数设置!$B$6,OR(INDEX(月度资金流!$B$7:$B$42,A202)=策略字典!$A$1,INDEX(月度资金流!$B$7:$B$42,A202)=策略字典!$A$2)),参数设置!$B$5,0)</f>
        <v>23400</v>
      </c>
      <c r="E202">
        <v>7</v>
      </c>
      <c r="F202" s="25">
        <f>IF(E202=1,C202,G201)</f>
        <v>46939</v>
      </c>
      <c r="G202" s="25">
        <f>IF(E202&lt;参数设置!$B$13,DATE(YEAR(EDATE(C202,E202+1)),MONTH(EDATE(C202,E202+1)),参数设置!$B$14),EDATE(C202,参数设置!$B$13))</f>
        <v>46970</v>
      </c>
      <c r="H202">
        <f>G202-F202</f>
        <v>31</v>
      </c>
      <c r="I202" s="21">
        <f>IF(E202=参数设置!$B$13,D202,0)</f>
        <v>0</v>
      </c>
      <c r="J202" s="21">
        <f>IF(M202=1,ROUND(D202*参数设置!$B$11*H202/参数设置!$B$12,参数设置!$B$15),0)</f>
        <v>66.5</v>
      </c>
      <c r="K202" s="21">
        <f>I202+J202</f>
        <v>66.5</v>
      </c>
      <c r="L202" s="25">
        <f>EDATE(C202,参数设置!$B$13)</f>
        <v>47097</v>
      </c>
      <c r="M202">
        <f>--(D202&gt;0)</f>
        <v>1</v>
      </c>
    </row>
    <row r="203" spans="1:13" ht="15" customHeight="1">
      <c r="A203">
        <v>17</v>
      </c>
      <c r="B203">
        <v>17</v>
      </c>
      <c r="C203" s="25">
        <f>EDATE(参数设置!$B$4,A203-1)</f>
        <v>46731</v>
      </c>
      <c r="D203" s="21">
        <f>IF(AND(A203&lt;=参数设置!$B$6,OR(INDEX(月度资金流!$B$7:$B$42,A203)=策略字典!$A$1,INDEX(月度资金流!$B$7:$B$42,A203)=策略字典!$A$2)),参数设置!$B$5,0)</f>
        <v>23400</v>
      </c>
      <c r="E203">
        <v>8</v>
      </c>
      <c r="F203" s="25">
        <f>IF(E203=1,C203,G202)</f>
        <v>46970</v>
      </c>
      <c r="G203" s="25">
        <f>IF(E203&lt;参数设置!$B$13,DATE(YEAR(EDATE(C203,E203+1)),MONTH(EDATE(C203,E203+1)),参数设置!$B$14),EDATE(C203,参数设置!$B$13))</f>
        <v>47001</v>
      </c>
      <c r="H203">
        <f>G203-F203</f>
        <v>31</v>
      </c>
      <c r="I203" s="21">
        <f>IF(E203=参数设置!$B$13,D203,0)</f>
        <v>0</v>
      </c>
      <c r="J203" s="21">
        <f>IF(M203=1,ROUND(D203*参数设置!$B$11*H203/参数设置!$B$12,参数设置!$B$15),0)</f>
        <v>66.5</v>
      </c>
      <c r="K203" s="21">
        <f>I203+J203</f>
        <v>66.5</v>
      </c>
      <c r="L203" s="25">
        <f>EDATE(C203,参数设置!$B$13)</f>
        <v>47097</v>
      </c>
      <c r="M203">
        <f>--(D203&gt;0)</f>
        <v>1</v>
      </c>
    </row>
    <row r="204" spans="1:13" ht="15" customHeight="1">
      <c r="A204">
        <v>17</v>
      </c>
      <c r="B204">
        <v>17</v>
      </c>
      <c r="C204" s="25">
        <f>EDATE(参数设置!$B$4,A204-1)</f>
        <v>46731</v>
      </c>
      <c r="D204" s="21">
        <f>IF(AND(A204&lt;=参数设置!$B$6,OR(INDEX(月度资金流!$B$7:$B$42,A204)=策略字典!$A$1,INDEX(月度资金流!$B$7:$B$42,A204)=策略字典!$A$2)),参数设置!$B$5,0)</f>
        <v>23400</v>
      </c>
      <c r="E204">
        <v>9</v>
      </c>
      <c r="F204" s="25">
        <f>IF(E204=1,C204,G203)</f>
        <v>47001</v>
      </c>
      <c r="G204" s="25">
        <f>IF(E204&lt;参数设置!$B$13,DATE(YEAR(EDATE(C204,E204+1)),MONTH(EDATE(C204,E204+1)),参数设置!$B$14),EDATE(C204,参数设置!$B$13))</f>
        <v>47031</v>
      </c>
      <c r="H204">
        <f>G204-F204</f>
        <v>30</v>
      </c>
      <c r="I204" s="21">
        <f>IF(E204=参数设置!$B$13,D204,0)</f>
        <v>0</v>
      </c>
      <c r="J204" s="21">
        <f>IF(M204=1,ROUND(D204*参数设置!$B$11*H204/参数设置!$B$12,参数设置!$B$15),0)</f>
        <v>64.349999999999994</v>
      </c>
      <c r="K204" s="21">
        <f>I204+J204</f>
        <v>64.349999999999994</v>
      </c>
      <c r="L204" s="25">
        <f>EDATE(C204,参数设置!$B$13)</f>
        <v>47097</v>
      </c>
      <c r="M204">
        <f>--(D204&gt;0)</f>
        <v>1</v>
      </c>
    </row>
    <row r="205" spans="1:13" ht="15" customHeight="1">
      <c r="A205">
        <v>17</v>
      </c>
      <c r="B205">
        <v>17</v>
      </c>
      <c r="C205" s="25">
        <f>EDATE(参数设置!$B$4,A205-1)</f>
        <v>46731</v>
      </c>
      <c r="D205" s="21">
        <f>IF(AND(A205&lt;=参数设置!$B$6,OR(INDEX(月度资金流!$B$7:$B$42,A205)=策略字典!$A$1,INDEX(月度资金流!$B$7:$B$42,A205)=策略字典!$A$2)),参数设置!$B$5,0)</f>
        <v>23400</v>
      </c>
      <c r="E205">
        <v>10</v>
      </c>
      <c r="F205" s="25">
        <f>IF(E205=1,C205,G204)</f>
        <v>47031</v>
      </c>
      <c r="G205" s="25">
        <f>IF(E205&lt;参数设置!$B$13,DATE(YEAR(EDATE(C205,E205+1)),MONTH(EDATE(C205,E205+1)),参数设置!$B$14),EDATE(C205,参数设置!$B$13))</f>
        <v>47062</v>
      </c>
      <c r="H205">
        <f>G205-F205</f>
        <v>31</v>
      </c>
      <c r="I205" s="21">
        <f>IF(E205=参数设置!$B$13,D205,0)</f>
        <v>0</v>
      </c>
      <c r="J205" s="21">
        <f>IF(M205=1,ROUND(D205*参数设置!$B$11*H205/参数设置!$B$12,参数设置!$B$15),0)</f>
        <v>66.5</v>
      </c>
      <c r="K205" s="21">
        <f>I205+J205</f>
        <v>66.5</v>
      </c>
      <c r="L205" s="25">
        <f>EDATE(C205,参数设置!$B$13)</f>
        <v>47097</v>
      </c>
      <c r="M205">
        <f>--(D205&gt;0)</f>
        <v>1</v>
      </c>
    </row>
    <row r="206" spans="1:13" ht="15" customHeight="1">
      <c r="A206">
        <v>17</v>
      </c>
      <c r="B206">
        <v>17</v>
      </c>
      <c r="C206" s="25">
        <f>EDATE(参数设置!$B$4,A206-1)</f>
        <v>46731</v>
      </c>
      <c r="D206" s="21">
        <f>IF(AND(A206&lt;=参数设置!$B$6,OR(INDEX(月度资金流!$B$7:$B$42,A206)=策略字典!$A$1,INDEX(月度资金流!$B$7:$B$42,A206)=策略字典!$A$2)),参数设置!$B$5,0)</f>
        <v>23400</v>
      </c>
      <c r="E206">
        <v>11</v>
      </c>
      <c r="F206" s="25">
        <f>IF(E206=1,C206,G205)</f>
        <v>47062</v>
      </c>
      <c r="G206" s="25">
        <f>IF(E206&lt;参数设置!$B$13,DATE(YEAR(EDATE(C206,E206+1)),MONTH(EDATE(C206,E206+1)),参数设置!$B$14),EDATE(C206,参数设置!$B$13))</f>
        <v>47092</v>
      </c>
      <c r="H206">
        <f>G206-F206</f>
        <v>30</v>
      </c>
      <c r="I206" s="21">
        <f>IF(E206=参数设置!$B$13,D206,0)</f>
        <v>0</v>
      </c>
      <c r="J206" s="21">
        <f>IF(M206=1,ROUND(D206*参数设置!$B$11*H206/参数设置!$B$12,参数设置!$B$15),0)</f>
        <v>64.349999999999994</v>
      </c>
      <c r="K206" s="21">
        <f>I206+J206</f>
        <v>64.349999999999994</v>
      </c>
      <c r="L206" s="25">
        <f>EDATE(C206,参数设置!$B$13)</f>
        <v>47097</v>
      </c>
      <c r="M206">
        <f>--(D206&gt;0)</f>
        <v>1</v>
      </c>
    </row>
    <row r="207" spans="1:13" ht="15" customHeight="1">
      <c r="A207">
        <v>17</v>
      </c>
      <c r="B207">
        <v>17</v>
      </c>
      <c r="C207" s="25">
        <f>EDATE(参数设置!$B$4,A207-1)</f>
        <v>46731</v>
      </c>
      <c r="D207" s="21">
        <f>IF(AND(A207&lt;=参数设置!$B$6,OR(INDEX(月度资金流!$B$7:$B$42,A207)=策略字典!$A$1,INDEX(月度资金流!$B$7:$B$42,A207)=策略字典!$A$2)),参数设置!$B$5,0)</f>
        <v>23400</v>
      </c>
      <c r="E207">
        <v>12</v>
      </c>
      <c r="F207" s="25">
        <f>IF(E207=1,C207,G206)</f>
        <v>47092</v>
      </c>
      <c r="G207" s="25">
        <f>IF(E207&lt;参数设置!$B$13,DATE(YEAR(EDATE(C207,E207+1)),MONTH(EDATE(C207,E207+1)),参数设置!$B$14),EDATE(C207,参数设置!$B$13))</f>
        <v>47097</v>
      </c>
      <c r="H207">
        <f>G207-F207</f>
        <v>5</v>
      </c>
      <c r="I207" s="21">
        <f>IF(E207=参数设置!$B$13,D207,0)</f>
        <v>23400</v>
      </c>
      <c r="J207" s="21">
        <f>IF(M207=1,ROUND(D207*参数设置!$B$11*H207/参数设置!$B$12,参数设置!$B$15),0)</f>
        <v>10.73</v>
      </c>
      <c r="K207" s="21">
        <f>I207+J207</f>
        <v>23410.73</v>
      </c>
      <c r="L207" s="25">
        <f>EDATE(C207,参数设置!$B$13)</f>
        <v>47097</v>
      </c>
      <c r="M207">
        <f>--(D207&gt;0)</f>
        <v>1</v>
      </c>
    </row>
    <row r="208" spans="1:13" ht="15" customHeight="1">
      <c r="A208">
        <v>18</v>
      </c>
      <c r="B208">
        <v>18</v>
      </c>
      <c r="C208" s="25">
        <f>EDATE(参数设置!$B$4,A208-1)</f>
        <v>46762</v>
      </c>
      <c r="D208" s="21">
        <f>IF(AND(A208&lt;=参数设置!$B$6,OR(INDEX(月度资金流!$B$7:$B$42,A208)=策略字典!$A$1,INDEX(月度资金流!$B$7:$B$42,A208)=策略字典!$A$2)),参数设置!$B$5,0)</f>
        <v>23400</v>
      </c>
      <c r="E208">
        <v>1</v>
      </c>
      <c r="F208" s="25">
        <f>IF(E208=1,C208,G207)</f>
        <v>46762</v>
      </c>
      <c r="G208" s="25">
        <f>IF(E208&lt;参数设置!$B$13,DATE(YEAR(EDATE(C208,E208+1)),MONTH(EDATE(C208,E208+1)),参数设置!$B$14),EDATE(C208,参数设置!$B$13))</f>
        <v>46817</v>
      </c>
      <c r="H208">
        <f>G208-F208</f>
        <v>55</v>
      </c>
      <c r="I208" s="21">
        <f>IF(E208=参数设置!$B$13,D208,0)</f>
        <v>0</v>
      </c>
      <c r="J208" s="21">
        <f>IF(M208=1,ROUND(D208*参数设置!$B$11*H208/参数设置!$B$12,参数设置!$B$15),0)</f>
        <v>117.98</v>
      </c>
      <c r="K208" s="21">
        <f>I208+J208</f>
        <v>117.98</v>
      </c>
      <c r="L208" s="25">
        <f>EDATE(C208,参数设置!$B$13)</f>
        <v>47128</v>
      </c>
      <c r="M208">
        <f>--(D208&gt;0)</f>
        <v>1</v>
      </c>
    </row>
    <row r="209" spans="1:13" ht="15" customHeight="1">
      <c r="A209">
        <v>18</v>
      </c>
      <c r="B209">
        <v>18</v>
      </c>
      <c r="C209" s="25">
        <f>EDATE(参数设置!$B$4,A209-1)</f>
        <v>46762</v>
      </c>
      <c r="D209" s="21">
        <f>IF(AND(A209&lt;=参数设置!$B$6,OR(INDEX(月度资金流!$B$7:$B$42,A209)=策略字典!$A$1,INDEX(月度资金流!$B$7:$B$42,A209)=策略字典!$A$2)),参数设置!$B$5,0)</f>
        <v>23400</v>
      </c>
      <c r="E209">
        <v>2</v>
      </c>
      <c r="F209" s="25">
        <f>IF(E209=1,C209,G208)</f>
        <v>46817</v>
      </c>
      <c r="G209" s="25">
        <f>IF(E209&lt;参数设置!$B$13,DATE(YEAR(EDATE(C209,E209+1)),MONTH(EDATE(C209,E209+1)),参数设置!$B$14),EDATE(C209,参数设置!$B$13))</f>
        <v>46848</v>
      </c>
      <c r="H209">
        <f>G209-F209</f>
        <v>31</v>
      </c>
      <c r="I209" s="21">
        <f>IF(E209=参数设置!$B$13,D209,0)</f>
        <v>0</v>
      </c>
      <c r="J209" s="21">
        <f>IF(M209=1,ROUND(D209*参数设置!$B$11*H209/参数设置!$B$12,参数设置!$B$15),0)</f>
        <v>66.5</v>
      </c>
      <c r="K209" s="21">
        <f>I209+J209</f>
        <v>66.5</v>
      </c>
      <c r="L209" s="25">
        <f>EDATE(C209,参数设置!$B$13)</f>
        <v>47128</v>
      </c>
      <c r="M209">
        <f>--(D209&gt;0)</f>
        <v>1</v>
      </c>
    </row>
    <row r="210" spans="1:13" ht="15" customHeight="1">
      <c r="A210">
        <v>18</v>
      </c>
      <c r="B210">
        <v>18</v>
      </c>
      <c r="C210" s="25">
        <f>EDATE(参数设置!$B$4,A210-1)</f>
        <v>46762</v>
      </c>
      <c r="D210" s="21">
        <f>IF(AND(A210&lt;=参数设置!$B$6,OR(INDEX(月度资金流!$B$7:$B$42,A210)=策略字典!$A$1,INDEX(月度资金流!$B$7:$B$42,A210)=策略字典!$A$2)),参数设置!$B$5,0)</f>
        <v>23400</v>
      </c>
      <c r="E210">
        <v>3</v>
      </c>
      <c r="F210" s="25">
        <f>IF(E210=1,C210,G209)</f>
        <v>46848</v>
      </c>
      <c r="G210" s="25">
        <f>IF(E210&lt;参数设置!$B$13,DATE(YEAR(EDATE(C210,E210+1)),MONTH(EDATE(C210,E210+1)),参数设置!$B$14),EDATE(C210,参数设置!$B$13))</f>
        <v>46878</v>
      </c>
      <c r="H210">
        <f>G210-F210</f>
        <v>30</v>
      </c>
      <c r="I210" s="21">
        <f>IF(E210=参数设置!$B$13,D210,0)</f>
        <v>0</v>
      </c>
      <c r="J210" s="21">
        <f>IF(M210=1,ROUND(D210*参数设置!$B$11*H210/参数设置!$B$12,参数设置!$B$15),0)</f>
        <v>64.349999999999994</v>
      </c>
      <c r="K210" s="21">
        <f>I210+J210</f>
        <v>64.349999999999994</v>
      </c>
      <c r="L210" s="25">
        <f>EDATE(C210,参数设置!$B$13)</f>
        <v>47128</v>
      </c>
      <c r="M210">
        <f>--(D210&gt;0)</f>
        <v>1</v>
      </c>
    </row>
    <row r="211" spans="1:13" ht="15" customHeight="1">
      <c r="A211">
        <v>18</v>
      </c>
      <c r="B211">
        <v>18</v>
      </c>
      <c r="C211" s="25">
        <f>EDATE(参数设置!$B$4,A211-1)</f>
        <v>46762</v>
      </c>
      <c r="D211" s="21">
        <f>IF(AND(A211&lt;=参数设置!$B$6,OR(INDEX(月度资金流!$B$7:$B$42,A211)=策略字典!$A$1,INDEX(月度资金流!$B$7:$B$42,A211)=策略字典!$A$2)),参数设置!$B$5,0)</f>
        <v>23400</v>
      </c>
      <c r="E211">
        <v>4</v>
      </c>
      <c r="F211" s="25">
        <f>IF(E211=1,C211,G210)</f>
        <v>46878</v>
      </c>
      <c r="G211" s="25">
        <f>IF(E211&lt;参数设置!$B$13,DATE(YEAR(EDATE(C211,E211+1)),MONTH(EDATE(C211,E211+1)),参数设置!$B$14),EDATE(C211,参数设置!$B$13))</f>
        <v>46909</v>
      </c>
      <c r="H211">
        <f>G211-F211</f>
        <v>31</v>
      </c>
      <c r="I211" s="21">
        <f>IF(E211=参数设置!$B$13,D211,0)</f>
        <v>0</v>
      </c>
      <c r="J211" s="21">
        <f>IF(M211=1,ROUND(D211*参数设置!$B$11*H211/参数设置!$B$12,参数设置!$B$15),0)</f>
        <v>66.5</v>
      </c>
      <c r="K211" s="21">
        <f>I211+J211</f>
        <v>66.5</v>
      </c>
      <c r="L211" s="25">
        <f>EDATE(C211,参数设置!$B$13)</f>
        <v>47128</v>
      </c>
      <c r="M211">
        <f>--(D211&gt;0)</f>
        <v>1</v>
      </c>
    </row>
    <row r="212" spans="1:13" ht="15" customHeight="1">
      <c r="A212">
        <v>18</v>
      </c>
      <c r="B212">
        <v>18</v>
      </c>
      <c r="C212" s="25">
        <f>EDATE(参数设置!$B$4,A212-1)</f>
        <v>46762</v>
      </c>
      <c r="D212" s="21">
        <f>IF(AND(A212&lt;=参数设置!$B$6,OR(INDEX(月度资金流!$B$7:$B$42,A212)=策略字典!$A$1,INDEX(月度资金流!$B$7:$B$42,A212)=策略字典!$A$2)),参数设置!$B$5,0)</f>
        <v>23400</v>
      </c>
      <c r="E212">
        <v>5</v>
      </c>
      <c r="F212" s="25">
        <f>IF(E212=1,C212,G211)</f>
        <v>46909</v>
      </c>
      <c r="G212" s="25">
        <f>IF(E212&lt;参数设置!$B$13,DATE(YEAR(EDATE(C212,E212+1)),MONTH(EDATE(C212,E212+1)),参数设置!$B$14),EDATE(C212,参数设置!$B$13))</f>
        <v>46939</v>
      </c>
      <c r="H212">
        <f>G212-F212</f>
        <v>30</v>
      </c>
      <c r="I212" s="21">
        <f>IF(E212=参数设置!$B$13,D212,0)</f>
        <v>0</v>
      </c>
      <c r="J212" s="21">
        <f>IF(M212=1,ROUND(D212*参数设置!$B$11*H212/参数设置!$B$12,参数设置!$B$15),0)</f>
        <v>64.349999999999994</v>
      </c>
      <c r="K212" s="21">
        <f>I212+J212</f>
        <v>64.349999999999994</v>
      </c>
      <c r="L212" s="25">
        <f>EDATE(C212,参数设置!$B$13)</f>
        <v>47128</v>
      </c>
      <c r="M212">
        <f>--(D212&gt;0)</f>
        <v>1</v>
      </c>
    </row>
    <row r="213" spans="1:13" ht="15" customHeight="1">
      <c r="A213">
        <v>18</v>
      </c>
      <c r="B213">
        <v>18</v>
      </c>
      <c r="C213" s="25">
        <f>EDATE(参数设置!$B$4,A213-1)</f>
        <v>46762</v>
      </c>
      <c r="D213" s="21">
        <f>IF(AND(A213&lt;=参数设置!$B$6,OR(INDEX(月度资金流!$B$7:$B$42,A213)=策略字典!$A$1,INDEX(月度资金流!$B$7:$B$42,A213)=策略字典!$A$2)),参数设置!$B$5,0)</f>
        <v>23400</v>
      </c>
      <c r="E213">
        <v>6</v>
      </c>
      <c r="F213" s="25">
        <f>IF(E213=1,C213,G212)</f>
        <v>46939</v>
      </c>
      <c r="G213" s="25">
        <f>IF(E213&lt;参数设置!$B$13,DATE(YEAR(EDATE(C213,E213+1)),MONTH(EDATE(C213,E213+1)),参数设置!$B$14),EDATE(C213,参数设置!$B$13))</f>
        <v>46970</v>
      </c>
      <c r="H213">
        <f>G213-F213</f>
        <v>31</v>
      </c>
      <c r="I213" s="21">
        <f>IF(E213=参数设置!$B$13,D213,0)</f>
        <v>0</v>
      </c>
      <c r="J213" s="21">
        <f>IF(M213=1,ROUND(D213*参数设置!$B$11*H213/参数设置!$B$12,参数设置!$B$15),0)</f>
        <v>66.5</v>
      </c>
      <c r="K213" s="21">
        <f>I213+J213</f>
        <v>66.5</v>
      </c>
      <c r="L213" s="25">
        <f>EDATE(C213,参数设置!$B$13)</f>
        <v>47128</v>
      </c>
      <c r="M213">
        <f>--(D213&gt;0)</f>
        <v>1</v>
      </c>
    </row>
    <row r="214" spans="1:13" ht="15" customHeight="1">
      <c r="A214">
        <v>18</v>
      </c>
      <c r="B214">
        <v>18</v>
      </c>
      <c r="C214" s="25">
        <f>EDATE(参数设置!$B$4,A214-1)</f>
        <v>46762</v>
      </c>
      <c r="D214" s="21">
        <f>IF(AND(A214&lt;=参数设置!$B$6,OR(INDEX(月度资金流!$B$7:$B$42,A214)=策略字典!$A$1,INDEX(月度资金流!$B$7:$B$42,A214)=策略字典!$A$2)),参数设置!$B$5,0)</f>
        <v>23400</v>
      </c>
      <c r="E214">
        <v>7</v>
      </c>
      <c r="F214" s="25">
        <f>IF(E214=1,C214,G213)</f>
        <v>46970</v>
      </c>
      <c r="G214" s="25">
        <f>IF(E214&lt;参数设置!$B$13,DATE(YEAR(EDATE(C214,E214+1)),MONTH(EDATE(C214,E214+1)),参数设置!$B$14),EDATE(C214,参数设置!$B$13))</f>
        <v>47001</v>
      </c>
      <c r="H214">
        <f>G214-F214</f>
        <v>31</v>
      </c>
      <c r="I214" s="21">
        <f>IF(E214=参数设置!$B$13,D214,0)</f>
        <v>0</v>
      </c>
      <c r="J214" s="21">
        <f>IF(M214=1,ROUND(D214*参数设置!$B$11*H214/参数设置!$B$12,参数设置!$B$15),0)</f>
        <v>66.5</v>
      </c>
      <c r="K214" s="21">
        <f>I214+J214</f>
        <v>66.5</v>
      </c>
      <c r="L214" s="25">
        <f>EDATE(C214,参数设置!$B$13)</f>
        <v>47128</v>
      </c>
      <c r="M214">
        <f>--(D214&gt;0)</f>
        <v>1</v>
      </c>
    </row>
    <row r="215" spans="1:13" ht="15" customHeight="1">
      <c r="A215">
        <v>18</v>
      </c>
      <c r="B215">
        <v>18</v>
      </c>
      <c r="C215" s="25">
        <f>EDATE(参数设置!$B$4,A215-1)</f>
        <v>46762</v>
      </c>
      <c r="D215" s="21">
        <f>IF(AND(A215&lt;=参数设置!$B$6,OR(INDEX(月度资金流!$B$7:$B$42,A215)=策略字典!$A$1,INDEX(月度资金流!$B$7:$B$42,A215)=策略字典!$A$2)),参数设置!$B$5,0)</f>
        <v>23400</v>
      </c>
      <c r="E215">
        <v>8</v>
      </c>
      <c r="F215" s="25">
        <f>IF(E215=1,C215,G214)</f>
        <v>47001</v>
      </c>
      <c r="G215" s="25">
        <f>IF(E215&lt;参数设置!$B$13,DATE(YEAR(EDATE(C215,E215+1)),MONTH(EDATE(C215,E215+1)),参数设置!$B$14),EDATE(C215,参数设置!$B$13))</f>
        <v>47031</v>
      </c>
      <c r="H215">
        <f>G215-F215</f>
        <v>30</v>
      </c>
      <c r="I215" s="21">
        <f>IF(E215=参数设置!$B$13,D215,0)</f>
        <v>0</v>
      </c>
      <c r="J215" s="21">
        <f>IF(M215=1,ROUND(D215*参数设置!$B$11*H215/参数设置!$B$12,参数设置!$B$15),0)</f>
        <v>64.349999999999994</v>
      </c>
      <c r="K215" s="21">
        <f>I215+J215</f>
        <v>64.349999999999994</v>
      </c>
      <c r="L215" s="25">
        <f>EDATE(C215,参数设置!$B$13)</f>
        <v>47128</v>
      </c>
      <c r="M215">
        <f>--(D215&gt;0)</f>
        <v>1</v>
      </c>
    </row>
    <row r="216" spans="1:13" ht="15" customHeight="1">
      <c r="A216">
        <v>18</v>
      </c>
      <c r="B216">
        <v>18</v>
      </c>
      <c r="C216" s="25">
        <f>EDATE(参数设置!$B$4,A216-1)</f>
        <v>46762</v>
      </c>
      <c r="D216" s="21">
        <f>IF(AND(A216&lt;=参数设置!$B$6,OR(INDEX(月度资金流!$B$7:$B$42,A216)=策略字典!$A$1,INDEX(月度资金流!$B$7:$B$42,A216)=策略字典!$A$2)),参数设置!$B$5,0)</f>
        <v>23400</v>
      </c>
      <c r="E216">
        <v>9</v>
      </c>
      <c r="F216" s="25">
        <f>IF(E216=1,C216,G215)</f>
        <v>47031</v>
      </c>
      <c r="G216" s="25">
        <f>IF(E216&lt;参数设置!$B$13,DATE(YEAR(EDATE(C216,E216+1)),MONTH(EDATE(C216,E216+1)),参数设置!$B$14),EDATE(C216,参数设置!$B$13))</f>
        <v>47062</v>
      </c>
      <c r="H216">
        <f>G216-F216</f>
        <v>31</v>
      </c>
      <c r="I216" s="21">
        <f>IF(E216=参数设置!$B$13,D216,0)</f>
        <v>0</v>
      </c>
      <c r="J216" s="21">
        <f>IF(M216=1,ROUND(D216*参数设置!$B$11*H216/参数设置!$B$12,参数设置!$B$15),0)</f>
        <v>66.5</v>
      </c>
      <c r="K216" s="21">
        <f>I216+J216</f>
        <v>66.5</v>
      </c>
      <c r="L216" s="25">
        <f>EDATE(C216,参数设置!$B$13)</f>
        <v>47128</v>
      </c>
      <c r="M216">
        <f>--(D216&gt;0)</f>
        <v>1</v>
      </c>
    </row>
    <row r="217" spans="1:13" ht="15" customHeight="1">
      <c r="A217">
        <v>18</v>
      </c>
      <c r="B217">
        <v>18</v>
      </c>
      <c r="C217" s="25">
        <f>EDATE(参数设置!$B$4,A217-1)</f>
        <v>46762</v>
      </c>
      <c r="D217" s="21">
        <f>IF(AND(A217&lt;=参数设置!$B$6,OR(INDEX(月度资金流!$B$7:$B$42,A217)=策略字典!$A$1,INDEX(月度资金流!$B$7:$B$42,A217)=策略字典!$A$2)),参数设置!$B$5,0)</f>
        <v>23400</v>
      </c>
      <c r="E217">
        <v>10</v>
      </c>
      <c r="F217" s="25">
        <f>IF(E217=1,C217,G216)</f>
        <v>47062</v>
      </c>
      <c r="G217" s="25">
        <f>IF(E217&lt;参数设置!$B$13,DATE(YEAR(EDATE(C217,E217+1)),MONTH(EDATE(C217,E217+1)),参数设置!$B$14),EDATE(C217,参数设置!$B$13))</f>
        <v>47092</v>
      </c>
      <c r="H217">
        <f>G217-F217</f>
        <v>30</v>
      </c>
      <c r="I217" s="21">
        <f>IF(E217=参数设置!$B$13,D217,0)</f>
        <v>0</v>
      </c>
      <c r="J217" s="21">
        <f>IF(M217=1,ROUND(D217*参数设置!$B$11*H217/参数设置!$B$12,参数设置!$B$15),0)</f>
        <v>64.349999999999994</v>
      </c>
      <c r="K217" s="21">
        <f>I217+J217</f>
        <v>64.349999999999994</v>
      </c>
      <c r="L217" s="25">
        <f>EDATE(C217,参数设置!$B$13)</f>
        <v>47128</v>
      </c>
      <c r="M217">
        <f>--(D217&gt;0)</f>
        <v>1</v>
      </c>
    </row>
    <row r="218" spans="1:13" ht="15" customHeight="1">
      <c r="A218">
        <v>18</v>
      </c>
      <c r="B218">
        <v>18</v>
      </c>
      <c r="C218" s="25">
        <f>EDATE(参数设置!$B$4,A218-1)</f>
        <v>46762</v>
      </c>
      <c r="D218" s="21">
        <f>IF(AND(A218&lt;=参数设置!$B$6,OR(INDEX(月度资金流!$B$7:$B$42,A218)=策略字典!$A$1,INDEX(月度资金流!$B$7:$B$42,A218)=策略字典!$A$2)),参数设置!$B$5,0)</f>
        <v>23400</v>
      </c>
      <c r="E218">
        <v>11</v>
      </c>
      <c r="F218" s="25">
        <f>IF(E218=1,C218,G217)</f>
        <v>47092</v>
      </c>
      <c r="G218" s="25">
        <f>IF(E218&lt;参数设置!$B$13,DATE(YEAR(EDATE(C218,E218+1)),MONTH(EDATE(C218,E218+1)),参数设置!$B$14),EDATE(C218,参数设置!$B$13))</f>
        <v>47123</v>
      </c>
      <c r="H218">
        <f>G218-F218</f>
        <v>31</v>
      </c>
      <c r="I218" s="21">
        <f>IF(E218=参数设置!$B$13,D218,0)</f>
        <v>0</v>
      </c>
      <c r="J218" s="21">
        <f>IF(M218=1,ROUND(D218*参数设置!$B$11*H218/参数设置!$B$12,参数设置!$B$15),0)</f>
        <v>66.5</v>
      </c>
      <c r="K218" s="21">
        <f>I218+J218</f>
        <v>66.5</v>
      </c>
      <c r="L218" s="25">
        <f>EDATE(C218,参数设置!$B$13)</f>
        <v>47128</v>
      </c>
      <c r="M218">
        <f>--(D218&gt;0)</f>
        <v>1</v>
      </c>
    </row>
    <row r="219" spans="1:13" ht="15" customHeight="1">
      <c r="A219">
        <v>18</v>
      </c>
      <c r="B219">
        <v>18</v>
      </c>
      <c r="C219" s="25">
        <f>EDATE(参数设置!$B$4,A219-1)</f>
        <v>46762</v>
      </c>
      <c r="D219" s="21">
        <f>IF(AND(A219&lt;=参数设置!$B$6,OR(INDEX(月度资金流!$B$7:$B$42,A219)=策略字典!$A$1,INDEX(月度资金流!$B$7:$B$42,A219)=策略字典!$A$2)),参数设置!$B$5,0)</f>
        <v>23400</v>
      </c>
      <c r="E219">
        <v>12</v>
      </c>
      <c r="F219" s="25">
        <f>IF(E219=1,C219,G218)</f>
        <v>47123</v>
      </c>
      <c r="G219" s="25">
        <f>IF(E219&lt;参数设置!$B$13,DATE(YEAR(EDATE(C219,E219+1)),MONTH(EDATE(C219,E219+1)),参数设置!$B$14),EDATE(C219,参数设置!$B$13))</f>
        <v>47128</v>
      </c>
      <c r="H219">
        <f>G219-F219</f>
        <v>5</v>
      </c>
      <c r="I219" s="21">
        <f>IF(E219=参数设置!$B$13,D219,0)</f>
        <v>23400</v>
      </c>
      <c r="J219" s="21">
        <f>IF(M219=1,ROUND(D219*参数设置!$B$11*H219/参数设置!$B$12,参数设置!$B$15),0)</f>
        <v>10.73</v>
      </c>
      <c r="K219" s="21">
        <f>I219+J219</f>
        <v>23410.73</v>
      </c>
      <c r="L219" s="25">
        <f>EDATE(C219,参数设置!$B$13)</f>
        <v>47128</v>
      </c>
      <c r="M219">
        <f>--(D219&gt;0)</f>
        <v>1</v>
      </c>
    </row>
    <row r="220" spans="1:13" ht="15" customHeight="1">
      <c r="A220">
        <v>19</v>
      </c>
      <c r="B220">
        <v>19</v>
      </c>
      <c r="C220" s="25">
        <f>EDATE(参数设置!$B$4,A220-1)</f>
        <v>46793</v>
      </c>
      <c r="D220" s="21">
        <f>IF(AND(A220&lt;=参数设置!$B$6,OR(INDEX(月度资金流!$B$7:$B$42,A220)=策略字典!$A$1,INDEX(月度资金流!$B$7:$B$42,A220)=策略字典!$A$2)),参数设置!$B$5,0)</f>
        <v>23400</v>
      </c>
      <c r="E220">
        <v>1</v>
      </c>
      <c r="F220" s="25">
        <f>IF(E220=1,C220,G219)</f>
        <v>46793</v>
      </c>
      <c r="G220" s="25">
        <f>IF(E220&lt;参数设置!$B$13,DATE(YEAR(EDATE(C220,E220+1)),MONTH(EDATE(C220,E220+1)),参数设置!$B$14),EDATE(C220,参数设置!$B$13))</f>
        <v>46848</v>
      </c>
      <c r="H220">
        <f>G220-F220</f>
        <v>55</v>
      </c>
      <c r="I220" s="21">
        <f>IF(E220=参数设置!$B$13,D220,0)</f>
        <v>0</v>
      </c>
      <c r="J220" s="21">
        <f>IF(M220=1,ROUND(D220*参数设置!$B$11*H220/参数设置!$B$12,参数设置!$B$15),0)</f>
        <v>117.98</v>
      </c>
      <c r="K220" s="21">
        <f>I220+J220</f>
        <v>117.98</v>
      </c>
      <c r="L220" s="25">
        <f>EDATE(C220,参数设置!$B$13)</f>
        <v>47159</v>
      </c>
      <c r="M220">
        <f>--(D220&gt;0)</f>
        <v>1</v>
      </c>
    </row>
    <row r="221" spans="1:13" ht="15" customHeight="1">
      <c r="A221">
        <v>19</v>
      </c>
      <c r="B221">
        <v>19</v>
      </c>
      <c r="C221" s="25">
        <f>EDATE(参数设置!$B$4,A221-1)</f>
        <v>46793</v>
      </c>
      <c r="D221" s="21">
        <f>IF(AND(A221&lt;=参数设置!$B$6,OR(INDEX(月度资金流!$B$7:$B$42,A221)=策略字典!$A$1,INDEX(月度资金流!$B$7:$B$42,A221)=策略字典!$A$2)),参数设置!$B$5,0)</f>
        <v>23400</v>
      </c>
      <c r="E221">
        <v>2</v>
      </c>
      <c r="F221" s="25">
        <f>IF(E221=1,C221,G220)</f>
        <v>46848</v>
      </c>
      <c r="G221" s="25">
        <f>IF(E221&lt;参数设置!$B$13,DATE(YEAR(EDATE(C221,E221+1)),MONTH(EDATE(C221,E221+1)),参数设置!$B$14),EDATE(C221,参数设置!$B$13))</f>
        <v>46878</v>
      </c>
      <c r="H221">
        <f>G221-F221</f>
        <v>30</v>
      </c>
      <c r="I221" s="21">
        <f>IF(E221=参数设置!$B$13,D221,0)</f>
        <v>0</v>
      </c>
      <c r="J221" s="21">
        <f>IF(M221=1,ROUND(D221*参数设置!$B$11*H221/参数设置!$B$12,参数设置!$B$15),0)</f>
        <v>64.349999999999994</v>
      </c>
      <c r="K221" s="21">
        <f>I221+J221</f>
        <v>64.349999999999994</v>
      </c>
      <c r="L221" s="25">
        <f>EDATE(C221,参数设置!$B$13)</f>
        <v>47159</v>
      </c>
      <c r="M221">
        <f>--(D221&gt;0)</f>
        <v>1</v>
      </c>
    </row>
    <row r="222" spans="1:13" ht="15" customHeight="1">
      <c r="A222">
        <v>19</v>
      </c>
      <c r="B222">
        <v>19</v>
      </c>
      <c r="C222" s="25">
        <f>EDATE(参数设置!$B$4,A222-1)</f>
        <v>46793</v>
      </c>
      <c r="D222" s="21">
        <f>IF(AND(A222&lt;=参数设置!$B$6,OR(INDEX(月度资金流!$B$7:$B$42,A222)=策略字典!$A$1,INDEX(月度资金流!$B$7:$B$42,A222)=策略字典!$A$2)),参数设置!$B$5,0)</f>
        <v>23400</v>
      </c>
      <c r="E222">
        <v>3</v>
      </c>
      <c r="F222" s="25">
        <f>IF(E222=1,C222,G221)</f>
        <v>46878</v>
      </c>
      <c r="G222" s="25">
        <f>IF(E222&lt;参数设置!$B$13,DATE(YEAR(EDATE(C222,E222+1)),MONTH(EDATE(C222,E222+1)),参数设置!$B$14),EDATE(C222,参数设置!$B$13))</f>
        <v>46909</v>
      </c>
      <c r="H222">
        <f>G222-F222</f>
        <v>31</v>
      </c>
      <c r="I222" s="21">
        <f>IF(E222=参数设置!$B$13,D222,0)</f>
        <v>0</v>
      </c>
      <c r="J222" s="21">
        <f>IF(M222=1,ROUND(D222*参数设置!$B$11*H222/参数设置!$B$12,参数设置!$B$15),0)</f>
        <v>66.5</v>
      </c>
      <c r="K222" s="21">
        <f>I222+J222</f>
        <v>66.5</v>
      </c>
      <c r="L222" s="25">
        <f>EDATE(C222,参数设置!$B$13)</f>
        <v>47159</v>
      </c>
      <c r="M222">
        <f>--(D222&gt;0)</f>
        <v>1</v>
      </c>
    </row>
    <row r="223" spans="1:13" ht="15" customHeight="1">
      <c r="A223">
        <v>19</v>
      </c>
      <c r="B223">
        <v>19</v>
      </c>
      <c r="C223" s="25">
        <f>EDATE(参数设置!$B$4,A223-1)</f>
        <v>46793</v>
      </c>
      <c r="D223" s="21">
        <f>IF(AND(A223&lt;=参数设置!$B$6,OR(INDEX(月度资金流!$B$7:$B$42,A223)=策略字典!$A$1,INDEX(月度资金流!$B$7:$B$42,A223)=策略字典!$A$2)),参数设置!$B$5,0)</f>
        <v>23400</v>
      </c>
      <c r="E223">
        <v>4</v>
      </c>
      <c r="F223" s="25">
        <f>IF(E223=1,C223,G222)</f>
        <v>46909</v>
      </c>
      <c r="G223" s="25">
        <f>IF(E223&lt;参数设置!$B$13,DATE(YEAR(EDATE(C223,E223+1)),MONTH(EDATE(C223,E223+1)),参数设置!$B$14),EDATE(C223,参数设置!$B$13))</f>
        <v>46939</v>
      </c>
      <c r="H223">
        <f>G223-F223</f>
        <v>30</v>
      </c>
      <c r="I223" s="21">
        <f>IF(E223=参数设置!$B$13,D223,0)</f>
        <v>0</v>
      </c>
      <c r="J223" s="21">
        <f>IF(M223=1,ROUND(D223*参数设置!$B$11*H223/参数设置!$B$12,参数设置!$B$15),0)</f>
        <v>64.349999999999994</v>
      </c>
      <c r="K223" s="21">
        <f>I223+J223</f>
        <v>64.349999999999994</v>
      </c>
      <c r="L223" s="25">
        <f>EDATE(C223,参数设置!$B$13)</f>
        <v>47159</v>
      </c>
      <c r="M223">
        <f>--(D223&gt;0)</f>
        <v>1</v>
      </c>
    </row>
    <row r="224" spans="1:13" ht="15" customHeight="1">
      <c r="A224">
        <v>19</v>
      </c>
      <c r="B224">
        <v>19</v>
      </c>
      <c r="C224" s="25">
        <f>EDATE(参数设置!$B$4,A224-1)</f>
        <v>46793</v>
      </c>
      <c r="D224" s="21">
        <f>IF(AND(A224&lt;=参数设置!$B$6,OR(INDEX(月度资金流!$B$7:$B$42,A224)=策略字典!$A$1,INDEX(月度资金流!$B$7:$B$42,A224)=策略字典!$A$2)),参数设置!$B$5,0)</f>
        <v>23400</v>
      </c>
      <c r="E224">
        <v>5</v>
      </c>
      <c r="F224" s="25">
        <f>IF(E224=1,C224,G223)</f>
        <v>46939</v>
      </c>
      <c r="G224" s="25">
        <f>IF(E224&lt;参数设置!$B$13,DATE(YEAR(EDATE(C224,E224+1)),MONTH(EDATE(C224,E224+1)),参数设置!$B$14),EDATE(C224,参数设置!$B$13))</f>
        <v>46970</v>
      </c>
      <c r="H224">
        <f>G224-F224</f>
        <v>31</v>
      </c>
      <c r="I224" s="21">
        <f>IF(E224=参数设置!$B$13,D224,0)</f>
        <v>0</v>
      </c>
      <c r="J224" s="21">
        <f>IF(M224=1,ROUND(D224*参数设置!$B$11*H224/参数设置!$B$12,参数设置!$B$15),0)</f>
        <v>66.5</v>
      </c>
      <c r="K224" s="21">
        <f>I224+J224</f>
        <v>66.5</v>
      </c>
      <c r="L224" s="25">
        <f>EDATE(C224,参数设置!$B$13)</f>
        <v>47159</v>
      </c>
      <c r="M224">
        <f>--(D224&gt;0)</f>
        <v>1</v>
      </c>
    </row>
    <row r="225" spans="1:13" ht="15" customHeight="1">
      <c r="A225">
        <v>19</v>
      </c>
      <c r="B225">
        <v>19</v>
      </c>
      <c r="C225" s="25">
        <f>EDATE(参数设置!$B$4,A225-1)</f>
        <v>46793</v>
      </c>
      <c r="D225" s="21">
        <f>IF(AND(A225&lt;=参数设置!$B$6,OR(INDEX(月度资金流!$B$7:$B$42,A225)=策略字典!$A$1,INDEX(月度资金流!$B$7:$B$42,A225)=策略字典!$A$2)),参数设置!$B$5,0)</f>
        <v>23400</v>
      </c>
      <c r="E225">
        <v>6</v>
      </c>
      <c r="F225" s="25">
        <f>IF(E225=1,C225,G224)</f>
        <v>46970</v>
      </c>
      <c r="G225" s="25">
        <f>IF(E225&lt;参数设置!$B$13,DATE(YEAR(EDATE(C225,E225+1)),MONTH(EDATE(C225,E225+1)),参数设置!$B$14),EDATE(C225,参数设置!$B$13))</f>
        <v>47001</v>
      </c>
      <c r="H225">
        <f>G225-F225</f>
        <v>31</v>
      </c>
      <c r="I225" s="21">
        <f>IF(E225=参数设置!$B$13,D225,0)</f>
        <v>0</v>
      </c>
      <c r="J225" s="21">
        <f>IF(M225=1,ROUND(D225*参数设置!$B$11*H225/参数设置!$B$12,参数设置!$B$15),0)</f>
        <v>66.5</v>
      </c>
      <c r="K225" s="21">
        <f>I225+J225</f>
        <v>66.5</v>
      </c>
      <c r="L225" s="25">
        <f>EDATE(C225,参数设置!$B$13)</f>
        <v>47159</v>
      </c>
      <c r="M225">
        <f>--(D225&gt;0)</f>
        <v>1</v>
      </c>
    </row>
    <row r="226" spans="1:13" ht="15" customHeight="1">
      <c r="A226">
        <v>19</v>
      </c>
      <c r="B226">
        <v>19</v>
      </c>
      <c r="C226" s="25">
        <f>EDATE(参数设置!$B$4,A226-1)</f>
        <v>46793</v>
      </c>
      <c r="D226" s="21">
        <f>IF(AND(A226&lt;=参数设置!$B$6,OR(INDEX(月度资金流!$B$7:$B$42,A226)=策略字典!$A$1,INDEX(月度资金流!$B$7:$B$42,A226)=策略字典!$A$2)),参数设置!$B$5,0)</f>
        <v>23400</v>
      </c>
      <c r="E226">
        <v>7</v>
      </c>
      <c r="F226" s="25">
        <f>IF(E226=1,C226,G225)</f>
        <v>47001</v>
      </c>
      <c r="G226" s="25">
        <f>IF(E226&lt;参数设置!$B$13,DATE(YEAR(EDATE(C226,E226+1)),MONTH(EDATE(C226,E226+1)),参数设置!$B$14),EDATE(C226,参数设置!$B$13))</f>
        <v>47031</v>
      </c>
      <c r="H226">
        <f>G226-F226</f>
        <v>30</v>
      </c>
      <c r="I226" s="21">
        <f>IF(E226=参数设置!$B$13,D226,0)</f>
        <v>0</v>
      </c>
      <c r="J226" s="21">
        <f>IF(M226=1,ROUND(D226*参数设置!$B$11*H226/参数设置!$B$12,参数设置!$B$15),0)</f>
        <v>64.349999999999994</v>
      </c>
      <c r="K226" s="21">
        <f>I226+J226</f>
        <v>64.349999999999994</v>
      </c>
      <c r="L226" s="25">
        <f>EDATE(C226,参数设置!$B$13)</f>
        <v>47159</v>
      </c>
      <c r="M226">
        <f>--(D226&gt;0)</f>
        <v>1</v>
      </c>
    </row>
    <row r="227" spans="1:13" ht="15" customHeight="1">
      <c r="A227">
        <v>19</v>
      </c>
      <c r="B227">
        <v>19</v>
      </c>
      <c r="C227" s="25">
        <f>EDATE(参数设置!$B$4,A227-1)</f>
        <v>46793</v>
      </c>
      <c r="D227" s="21">
        <f>IF(AND(A227&lt;=参数设置!$B$6,OR(INDEX(月度资金流!$B$7:$B$42,A227)=策略字典!$A$1,INDEX(月度资金流!$B$7:$B$42,A227)=策略字典!$A$2)),参数设置!$B$5,0)</f>
        <v>23400</v>
      </c>
      <c r="E227">
        <v>8</v>
      </c>
      <c r="F227" s="25">
        <f>IF(E227=1,C227,G226)</f>
        <v>47031</v>
      </c>
      <c r="G227" s="25">
        <f>IF(E227&lt;参数设置!$B$13,DATE(YEAR(EDATE(C227,E227+1)),MONTH(EDATE(C227,E227+1)),参数设置!$B$14),EDATE(C227,参数设置!$B$13))</f>
        <v>47062</v>
      </c>
      <c r="H227">
        <f>G227-F227</f>
        <v>31</v>
      </c>
      <c r="I227" s="21">
        <f>IF(E227=参数设置!$B$13,D227,0)</f>
        <v>0</v>
      </c>
      <c r="J227" s="21">
        <f>IF(M227=1,ROUND(D227*参数设置!$B$11*H227/参数设置!$B$12,参数设置!$B$15),0)</f>
        <v>66.5</v>
      </c>
      <c r="K227" s="21">
        <f>I227+J227</f>
        <v>66.5</v>
      </c>
      <c r="L227" s="25">
        <f>EDATE(C227,参数设置!$B$13)</f>
        <v>47159</v>
      </c>
      <c r="M227">
        <f>--(D227&gt;0)</f>
        <v>1</v>
      </c>
    </row>
    <row r="228" spans="1:13" ht="15" customHeight="1">
      <c r="A228">
        <v>19</v>
      </c>
      <c r="B228">
        <v>19</v>
      </c>
      <c r="C228" s="25">
        <f>EDATE(参数设置!$B$4,A228-1)</f>
        <v>46793</v>
      </c>
      <c r="D228" s="21">
        <f>IF(AND(A228&lt;=参数设置!$B$6,OR(INDEX(月度资金流!$B$7:$B$42,A228)=策略字典!$A$1,INDEX(月度资金流!$B$7:$B$42,A228)=策略字典!$A$2)),参数设置!$B$5,0)</f>
        <v>23400</v>
      </c>
      <c r="E228">
        <v>9</v>
      </c>
      <c r="F228" s="25">
        <f>IF(E228=1,C228,G227)</f>
        <v>47062</v>
      </c>
      <c r="G228" s="25">
        <f>IF(E228&lt;参数设置!$B$13,DATE(YEAR(EDATE(C228,E228+1)),MONTH(EDATE(C228,E228+1)),参数设置!$B$14),EDATE(C228,参数设置!$B$13))</f>
        <v>47092</v>
      </c>
      <c r="H228">
        <f>G228-F228</f>
        <v>30</v>
      </c>
      <c r="I228" s="21">
        <f>IF(E228=参数设置!$B$13,D228,0)</f>
        <v>0</v>
      </c>
      <c r="J228" s="21">
        <f>IF(M228=1,ROUND(D228*参数设置!$B$11*H228/参数设置!$B$12,参数设置!$B$15),0)</f>
        <v>64.349999999999994</v>
      </c>
      <c r="K228" s="21">
        <f>I228+J228</f>
        <v>64.349999999999994</v>
      </c>
      <c r="L228" s="25">
        <f>EDATE(C228,参数设置!$B$13)</f>
        <v>47159</v>
      </c>
      <c r="M228">
        <f>--(D228&gt;0)</f>
        <v>1</v>
      </c>
    </row>
    <row r="229" spans="1:13" ht="15" customHeight="1">
      <c r="A229">
        <v>19</v>
      </c>
      <c r="B229">
        <v>19</v>
      </c>
      <c r="C229" s="25">
        <f>EDATE(参数设置!$B$4,A229-1)</f>
        <v>46793</v>
      </c>
      <c r="D229" s="21">
        <f>IF(AND(A229&lt;=参数设置!$B$6,OR(INDEX(月度资金流!$B$7:$B$42,A229)=策略字典!$A$1,INDEX(月度资金流!$B$7:$B$42,A229)=策略字典!$A$2)),参数设置!$B$5,0)</f>
        <v>23400</v>
      </c>
      <c r="E229">
        <v>10</v>
      </c>
      <c r="F229" s="25">
        <f>IF(E229=1,C229,G228)</f>
        <v>47092</v>
      </c>
      <c r="G229" s="25">
        <f>IF(E229&lt;参数设置!$B$13,DATE(YEAR(EDATE(C229,E229+1)),MONTH(EDATE(C229,E229+1)),参数设置!$B$14),EDATE(C229,参数设置!$B$13))</f>
        <v>47123</v>
      </c>
      <c r="H229">
        <f>G229-F229</f>
        <v>31</v>
      </c>
      <c r="I229" s="21">
        <f>IF(E229=参数设置!$B$13,D229,0)</f>
        <v>0</v>
      </c>
      <c r="J229" s="21">
        <f>IF(M229=1,ROUND(D229*参数设置!$B$11*H229/参数设置!$B$12,参数设置!$B$15),0)</f>
        <v>66.5</v>
      </c>
      <c r="K229" s="21">
        <f>I229+J229</f>
        <v>66.5</v>
      </c>
      <c r="L229" s="25">
        <f>EDATE(C229,参数设置!$B$13)</f>
        <v>47159</v>
      </c>
      <c r="M229">
        <f>--(D229&gt;0)</f>
        <v>1</v>
      </c>
    </row>
    <row r="230" spans="1:13" ht="15" customHeight="1">
      <c r="A230">
        <v>19</v>
      </c>
      <c r="B230">
        <v>19</v>
      </c>
      <c r="C230" s="25">
        <f>EDATE(参数设置!$B$4,A230-1)</f>
        <v>46793</v>
      </c>
      <c r="D230" s="21">
        <f>IF(AND(A230&lt;=参数设置!$B$6,OR(INDEX(月度资金流!$B$7:$B$42,A230)=策略字典!$A$1,INDEX(月度资金流!$B$7:$B$42,A230)=策略字典!$A$2)),参数设置!$B$5,0)</f>
        <v>23400</v>
      </c>
      <c r="E230">
        <v>11</v>
      </c>
      <c r="F230" s="25">
        <f>IF(E230=1,C230,G229)</f>
        <v>47123</v>
      </c>
      <c r="G230" s="25">
        <f>IF(E230&lt;参数设置!$B$13,DATE(YEAR(EDATE(C230,E230+1)),MONTH(EDATE(C230,E230+1)),参数设置!$B$14),EDATE(C230,参数设置!$B$13))</f>
        <v>47154</v>
      </c>
      <c r="H230">
        <f>G230-F230</f>
        <v>31</v>
      </c>
      <c r="I230" s="21">
        <f>IF(E230=参数设置!$B$13,D230,0)</f>
        <v>0</v>
      </c>
      <c r="J230" s="21">
        <f>IF(M230=1,ROUND(D230*参数设置!$B$11*H230/参数设置!$B$12,参数设置!$B$15),0)</f>
        <v>66.5</v>
      </c>
      <c r="K230" s="21">
        <f>I230+J230</f>
        <v>66.5</v>
      </c>
      <c r="L230" s="25">
        <f>EDATE(C230,参数设置!$B$13)</f>
        <v>47159</v>
      </c>
      <c r="M230">
        <f>--(D230&gt;0)</f>
        <v>1</v>
      </c>
    </row>
    <row r="231" spans="1:13" ht="15" customHeight="1">
      <c r="A231">
        <v>19</v>
      </c>
      <c r="B231">
        <v>19</v>
      </c>
      <c r="C231" s="25">
        <f>EDATE(参数设置!$B$4,A231-1)</f>
        <v>46793</v>
      </c>
      <c r="D231" s="21">
        <f>IF(AND(A231&lt;=参数设置!$B$6,OR(INDEX(月度资金流!$B$7:$B$42,A231)=策略字典!$A$1,INDEX(月度资金流!$B$7:$B$42,A231)=策略字典!$A$2)),参数设置!$B$5,0)</f>
        <v>23400</v>
      </c>
      <c r="E231">
        <v>12</v>
      </c>
      <c r="F231" s="25">
        <f>IF(E231=1,C231,G230)</f>
        <v>47154</v>
      </c>
      <c r="G231" s="25">
        <f>IF(E231&lt;参数设置!$B$13,DATE(YEAR(EDATE(C231,E231+1)),MONTH(EDATE(C231,E231+1)),参数设置!$B$14),EDATE(C231,参数设置!$B$13))</f>
        <v>47159</v>
      </c>
      <c r="H231">
        <f>G231-F231</f>
        <v>5</v>
      </c>
      <c r="I231" s="21">
        <f>IF(E231=参数设置!$B$13,D231,0)</f>
        <v>23400</v>
      </c>
      <c r="J231" s="21">
        <f>IF(M231=1,ROUND(D231*参数设置!$B$11*H231/参数设置!$B$12,参数设置!$B$15),0)</f>
        <v>10.73</v>
      </c>
      <c r="K231" s="21">
        <f>I231+J231</f>
        <v>23410.73</v>
      </c>
      <c r="L231" s="25">
        <f>EDATE(C231,参数设置!$B$13)</f>
        <v>47159</v>
      </c>
      <c r="M231">
        <f>--(D231&gt;0)</f>
        <v>1</v>
      </c>
    </row>
    <row r="232" spans="1:13" ht="15" customHeight="1">
      <c r="A232">
        <v>20</v>
      </c>
      <c r="B232">
        <v>20</v>
      </c>
      <c r="C232" s="25">
        <f>EDATE(参数设置!$B$4,A232-1)</f>
        <v>46822</v>
      </c>
      <c r="D232" s="21">
        <f>IF(AND(A232&lt;=参数设置!$B$6,OR(INDEX(月度资金流!$B$7:$B$42,A232)=策略字典!$A$1,INDEX(月度资金流!$B$7:$B$42,A232)=策略字典!$A$2)),参数设置!$B$5,0)</f>
        <v>23400</v>
      </c>
      <c r="E232">
        <v>1</v>
      </c>
      <c r="F232" s="25">
        <f>IF(E232=1,C232,G231)</f>
        <v>46822</v>
      </c>
      <c r="G232" s="25">
        <f>IF(E232&lt;参数设置!$B$13,DATE(YEAR(EDATE(C232,E232+1)),MONTH(EDATE(C232,E232+1)),参数设置!$B$14),EDATE(C232,参数设置!$B$13))</f>
        <v>46878</v>
      </c>
      <c r="H232">
        <f>G232-F232</f>
        <v>56</v>
      </c>
      <c r="I232" s="21">
        <f>IF(E232=参数设置!$B$13,D232,0)</f>
        <v>0</v>
      </c>
      <c r="J232" s="21">
        <f>IF(M232=1,ROUND(D232*参数设置!$B$11*H232/参数设置!$B$12,参数设置!$B$15),0)</f>
        <v>120.12</v>
      </c>
      <c r="K232" s="21">
        <f>I232+J232</f>
        <v>120.12</v>
      </c>
      <c r="L232" s="25">
        <f>EDATE(C232,参数设置!$B$13)</f>
        <v>47187</v>
      </c>
      <c r="M232">
        <f>--(D232&gt;0)</f>
        <v>1</v>
      </c>
    </row>
    <row r="233" spans="1:13" ht="15" customHeight="1">
      <c r="A233">
        <v>20</v>
      </c>
      <c r="B233">
        <v>20</v>
      </c>
      <c r="C233" s="25">
        <f>EDATE(参数设置!$B$4,A233-1)</f>
        <v>46822</v>
      </c>
      <c r="D233" s="21">
        <f>IF(AND(A233&lt;=参数设置!$B$6,OR(INDEX(月度资金流!$B$7:$B$42,A233)=策略字典!$A$1,INDEX(月度资金流!$B$7:$B$42,A233)=策略字典!$A$2)),参数设置!$B$5,0)</f>
        <v>23400</v>
      </c>
      <c r="E233">
        <v>2</v>
      </c>
      <c r="F233" s="25">
        <f>IF(E233=1,C233,G232)</f>
        <v>46878</v>
      </c>
      <c r="G233" s="25">
        <f>IF(E233&lt;参数设置!$B$13,DATE(YEAR(EDATE(C233,E233+1)),MONTH(EDATE(C233,E233+1)),参数设置!$B$14),EDATE(C233,参数设置!$B$13))</f>
        <v>46909</v>
      </c>
      <c r="H233">
        <f>G233-F233</f>
        <v>31</v>
      </c>
      <c r="I233" s="21">
        <f>IF(E233=参数设置!$B$13,D233,0)</f>
        <v>0</v>
      </c>
      <c r="J233" s="21">
        <f>IF(M233=1,ROUND(D233*参数设置!$B$11*H233/参数设置!$B$12,参数设置!$B$15),0)</f>
        <v>66.5</v>
      </c>
      <c r="K233" s="21">
        <f>I233+J233</f>
        <v>66.5</v>
      </c>
      <c r="L233" s="25">
        <f>EDATE(C233,参数设置!$B$13)</f>
        <v>47187</v>
      </c>
      <c r="M233">
        <f>--(D233&gt;0)</f>
        <v>1</v>
      </c>
    </row>
    <row r="234" spans="1:13" ht="15" customHeight="1">
      <c r="A234">
        <v>20</v>
      </c>
      <c r="B234">
        <v>20</v>
      </c>
      <c r="C234" s="25">
        <f>EDATE(参数设置!$B$4,A234-1)</f>
        <v>46822</v>
      </c>
      <c r="D234" s="21">
        <f>IF(AND(A234&lt;=参数设置!$B$6,OR(INDEX(月度资金流!$B$7:$B$42,A234)=策略字典!$A$1,INDEX(月度资金流!$B$7:$B$42,A234)=策略字典!$A$2)),参数设置!$B$5,0)</f>
        <v>23400</v>
      </c>
      <c r="E234">
        <v>3</v>
      </c>
      <c r="F234" s="25">
        <f>IF(E234=1,C234,G233)</f>
        <v>46909</v>
      </c>
      <c r="G234" s="25">
        <f>IF(E234&lt;参数设置!$B$13,DATE(YEAR(EDATE(C234,E234+1)),MONTH(EDATE(C234,E234+1)),参数设置!$B$14),EDATE(C234,参数设置!$B$13))</f>
        <v>46939</v>
      </c>
      <c r="H234">
        <f>G234-F234</f>
        <v>30</v>
      </c>
      <c r="I234" s="21">
        <f>IF(E234=参数设置!$B$13,D234,0)</f>
        <v>0</v>
      </c>
      <c r="J234" s="21">
        <f>IF(M234=1,ROUND(D234*参数设置!$B$11*H234/参数设置!$B$12,参数设置!$B$15),0)</f>
        <v>64.349999999999994</v>
      </c>
      <c r="K234" s="21">
        <f>I234+J234</f>
        <v>64.349999999999994</v>
      </c>
      <c r="L234" s="25">
        <f>EDATE(C234,参数设置!$B$13)</f>
        <v>47187</v>
      </c>
      <c r="M234">
        <f>--(D234&gt;0)</f>
        <v>1</v>
      </c>
    </row>
    <row r="235" spans="1:13" ht="15" customHeight="1">
      <c r="A235">
        <v>20</v>
      </c>
      <c r="B235">
        <v>20</v>
      </c>
      <c r="C235" s="25">
        <f>EDATE(参数设置!$B$4,A235-1)</f>
        <v>46822</v>
      </c>
      <c r="D235" s="21">
        <f>IF(AND(A235&lt;=参数设置!$B$6,OR(INDEX(月度资金流!$B$7:$B$42,A235)=策略字典!$A$1,INDEX(月度资金流!$B$7:$B$42,A235)=策略字典!$A$2)),参数设置!$B$5,0)</f>
        <v>23400</v>
      </c>
      <c r="E235">
        <v>4</v>
      </c>
      <c r="F235" s="25">
        <f>IF(E235=1,C235,G234)</f>
        <v>46939</v>
      </c>
      <c r="G235" s="25">
        <f>IF(E235&lt;参数设置!$B$13,DATE(YEAR(EDATE(C235,E235+1)),MONTH(EDATE(C235,E235+1)),参数设置!$B$14),EDATE(C235,参数设置!$B$13))</f>
        <v>46970</v>
      </c>
      <c r="H235">
        <f>G235-F235</f>
        <v>31</v>
      </c>
      <c r="I235" s="21">
        <f>IF(E235=参数设置!$B$13,D235,0)</f>
        <v>0</v>
      </c>
      <c r="J235" s="21">
        <f>IF(M235=1,ROUND(D235*参数设置!$B$11*H235/参数设置!$B$12,参数设置!$B$15),0)</f>
        <v>66.5</v>
      </c>
      <c r="K235" s="21">
        <f>I235+J235</f>
        <v>66.5</v>
      </c>
      <c r="L235" s="25">
        <f>EDATE(C235,参数设置!$B$13)</f>
        <v>47187</v>
      </c>
      <c r="M235">
        <f>--(D235&gt;0)</f>
        <v>1</v>
      </c>
    </row>
    <row r="236" spans="1:13" ht="15" customHeight="1">
      <c r="A236">
        <v>20</v>
      </c>
      <c r="B236">
        <v>20</v>
      </c>
      <c r="C236" s="25">
        <f>EDATE(参数设置!$B$4,A236-1)</f>
        <v>46822</v>
      </c>
      <c r="D236" s="21">
        <f>IF(AND(A236&lt;=参数设置!$B$6,OR(INDEX(月度资金流!$B$7:$B$42,A236)=策略字典!$A$1,INDEX(月度资金流!$B$7:$B$42,A236)=策略字典!$A$2)),参数设置!$B$5,0)</f>
        <v>23400</v>
      </c>
      <c r="E236">
        <v>5</v>
      </c>
      <c r="F236" s="25">
        <f>IF(E236=1,C236,G235)</f>
        <v>46970</v>
      </c>
      <c r="G236" s="25">
        <f>IF(E236&lt;参数设置!$B$13,DATE(YEAR(EDATE(C236,E236+1)),MONTH(EDATE(C236,E236+1)),参数设置!$B$14),EDATE(C236,参数设置!$B$13))</f>
        <v>47001</v>
      </c>
      <c r="H236">
        <f>G236-F236</f>
        <v>31</v>
      </c>
      <c r="I236" s="21">
        <f>IF(E236=参数设置!$B$13,D236,0)</f>
        <v>0</v>
      </c>
      <c r="J236" s="21">
        <f>IF(M236=1,ROUND(D236*参数设置!$B$11*H236/参数设置!$B$12,参数设置!$B$15),0)</f>
        <v>66.5</v>
      </c>
      <c r="K236" s="21">
        <f>I236+J236</f>
        <v>66.5</v>
      </c>
      <c r="L236" s="25">
        <f>EDATE(C236,参数设置!$B$13)</f>
        <v>47187</v>
      </c>
      <c r="M236">
        <f>--(D236&gt;0)</f>
        <v>1</v>
      </c>
    </row>
    <row r="237" spans="1:13" ht="15" customHeight="1">
      <c r="A237">
        <v>20</v>
      </c>
      <c r="B237">
        <v>20</v>
      </c>
      <c r="C237" s="25">
        <f>EDATE(参数设置!$B$4,A237-1)</f>
        <v>46822</v>
      </c>
      <c r="D237" s="21">
        <f>IF(AND(A237&lt;=参数设置!$B$6,OR(INDEX(月度资金流!$B$7:$B$42,A237)=策略字典!$A$1,INDEX(月度资金流!$B$7:$B$42,A237)=策略字典!$A$2)),参数设置!$B$5,0)</f>
        <v>23400</v>
      </c>
      <c r="E237">
        <v>6</v>
      </c>
      <c r="F237" s="25">
        <f>IF(E237=1,C237,G236)</f>
        <v>47001</v>
      </c>
      <c r="G237" s="25">
        <f>IF(E237&lt;参数设置!$B$13,DATE(YEAR(EDATE(C237,E237+1)),MONTH(EDATE(C237,E237+1)),参数设置!$B$14),EDATE(C237,参数设置!$B$13))</f>
        <v>47031</v>
      </c>
      <c r="H237">
        <f>G237-F237</f>
        <v>30</v>
      </c>
      <c r="I237" s="21">
        <f>IF(E237=参数设置!$B$13,D237,0)</f>
        <v>0</v>
      </c>
      <c r="J237" s="21">
        <f>IF(M237=1,ROUND(D237*参数设置!$B$11*H237/参数设置!$B$12,参数设置!$B$15),0)</f>
        <v>64.349999999999994</v>
      </c>
      <c r="K237" s="21">
        <f>I237+J237</f>
        <v>64.349999999999994</v>
      </c>
      <c r="L237" s="25">
        <f>EDATE(C237,参数设置!$B$13)</f>
        <v>47187</v>
      </c>
      <c r="M237">
        <f>--(D237&gt;0)</f>
        <v>1</v>
      </c>
    </row>
    <row r="238" spans="1:13" ht="15" customHeight="1">
      <c r="A238">
        <v>20</v>
      </c>
      <c r="B238">
        <v>20</v>
      </c>
      <c r="C238" s="25">
        <f>EDATE(参数设置!$B$4,A238-1)</f>
        <v>46822</v>
      </c>
      <c r="D238" s="21">
        <f>IF(AND(A238&lt;=参数设置!$B$6,OR(INDEX(月度资金流!$B$7:$B$42,A238)=策略字典!$A$1,INDEX(月度资金流!$B$7:$B$42,A238)=策略字典!$A$2)),参数设置!$B$5,0)</f>
        <v>23400</v>
      </c>
      <c r="E238">
        <v>7</v>
      </c>
      <c r="F238" s="25">
        <f>IF(E238=1,C238,G237)</f>
        <v>47031</v>
      </c>
      <c r="G238" s="25">
        <f>IF(E238&lt;参数设置!$B$13,DATE(YEAR(EDATE(C238,E238+1)),MONTH(EDATE(C238,E238+1)),参数设置!$B$14),EDATE(C238,参数设置!$B$13))</f>
        <v>47062</v>
      </c>
      <c r="H238">
        <f>G238-F238</f>
        <v>31</v>
      </c>
      <c r="I238" s="21">
        <f>IF(E238=参数设置!$B$13,D238,0)</f>
        <v>0</v>
      </c>
      <c r="J238" s="21">
        <f>IF(M238=1,ROUND(D238*参数设置!$B$11*H238/参数设置!$B$12,参数设置!$B$15),0)</f>
        <v>66.5</v>
      </c>
      <c r="K238" s="21">
        <f>I238+J238</f>
        <v>66.5</v>
      </c>
      <c r="L238" s="25">
        <f>EDATE(C238,参数设置!$B$13)</f>
        <v>47187</v>
      </c>
      <c r="M238">
        <f>--(D238&gt;0)</f>
        <v>1</v>
      </c>
    </row>
    <row r="239" spans="1:13" ht="15" customHeight="1">
      <c r="A239">
        <v>20</v>
      </c>
      <c r="B239">
        <v>20</v>
      </c>
      <c r="C239" s="25">
        <f>EDATE(参数设置!$B$4,A239-1)</f>
        <v>46822</v>
      </c>
      <c r="D239" s="21">
        <f>IF(AND(A239&lt;=参数设置!$B$6,OR(INDEX(月度资金流!$B$7:$B$42,A239)=策略字典!$A$1,INDEX(月度资金流!$B$7:$B$42,A239)=策略字典!$A$2)),参数设置!$B$5,0)</f>
        <v>23400</v>
      </c>
      <c r="E239">
        <v>8</v>
      </c>
      <c r="F239" s="25">
        <f>IF(E239=1,C239,G238)</f>
        <v>47062</v>
      </c>
      <c r="G239" s="25">
        <f>IF(E239&lt;参数设置!$B$13,DATE(YEAR(EDATE(C239,E239+1)),MONTH(EDATE(C239,E239+1)),参数设置!$B$14),EDATE(C239,参数设置!$B$13))</f>
        <v>47092</v>
      </c>
      <c r="H239">
        <f>G239-F239</f>
        <v>30</v>
      </c>
      <c r="I239" s="21">
        <f>IF(E239=参数设置!$B$13,D239,0)</f>
        <v>0</v>
      </c>
      <c r="J239" s="21">
        <f>IF(M239=1,ROUND(D239*参数设置!$B$11*H239/参数设置!$B$12,参数设置!$B$15),0)</f>
        <v>64.349999999999994</v>
      </c>
      <c r="K239" s="21">
        <f>I239+J239</f>
        <v>64.349999999999994</v>
      </c>
      <c r="L239" s="25">
        <f>EDATE(C239,参数设置!$B$13)</f>
        <v>47187</v>
      </c>
      <c r="M239">
        <f>--(D239&gt;0)</f>
        <v>1</v>
      </c>
    </row>
    <row r="240" spans="1:13" ht="15" customHeight="1">
      <c r="A240">
        <v>20</v>
      </c>
      <c r="B240">
        <v>20</v>
      </c>
      <c r="C240" s="25">
        <f>EDATE(参数设置!$B$4,A240-1)</f>
        <v>46822</v>
      </c>
      <c r="D240" s="21">
        <f>IF(AND(A240&lt;=参数设置!$B$6,OR(INDEX(月度资金流!$B$7:$B$42,A240)=策略字典!$A$1,INDEX(月度资金流!$B$7:$B$42,A240)=策略字典!$A$2)),参数设置!$B$5,0)</f>
        <v>23400</v>
      </c>
      <c r="E240">
        <v>9</v>
      </c>
      <c r="F240" s="25">
        <f>IF(E240=1,C240,G239)</f>
        <v>47092</v>
      </c>
      <c r="G240" s="25">
        <f>IF(E240&lt;参数设置!$B$13,DATE(YEAR(EDATE(C240,E240+1)),MONTH(EDATE(C240,E240+1)),参数设置!$B$14),EDATE(C240,参数设置!$B$13))</f>
        <v>47123</v>
      </c>
      <c r="H240">
        <f>G240-F240</f>
        <v>31</v>
      </c>
      <c r="I240" s="21">
        <f>IF(E240=参数设置!$B$13,D240,0)</f>
        <v>0</v>
      </c>
      <c r="J240" s="21">
        <f>IF(M240=1,ROUND(D240*参数设置!$B$11*H240/参数设置!$B$12,参数设置!$B$15),0)</f>
        <v>66.5</v>
      </c>
      <c r="K240" s="21">
        <f>I240+J240</f>
        <v>66.5</v>
      </c>
      <c r="L240" s="25">
        <f>EDATE(C240,参数设置!$B$13)</f>
        <v>47187</v>
      </c>
      <c r="M240">
        <f>--(D240&gt;0)</f>
        <v>1</v>
      </c>
    </row>
    <row r="241" spans="1:13" ht="15" customHeight="1">
      <c r="A241">
        <v>20</v>
      </c>
      <c r="B241">
        <v>20</v>
      </c>
      <c r="C241" s="25">
        <f>EDATE(参数设置!$B$4,A241-1)</f>
        <v>46822</v>
      </c>
      <c r="D241" s="21">
        <f>IF(AND(A241&lt;=参数设置!$B$6,OR(INDEX(月度资金流!$B$7:$B$42,A241)=策略字典!$A$1,INDEX(月度资金流!$B$7:$B$42,A241)=策略字典!$A$2)),参数设置!$B$5,0)</f>
        <v>23400</v>
      </c>
      <c r="E241">
        <v>10</v>
      </c>
      <c r="F241" s="25">
        <f>IF(E241=1,C241,G240)</f>
        <v>47123</v>
      </c>
      <c r="G241" s="25">
        <f>IF(E241&lt;参数设置!$B$13,DATE(YEAR(EDATE(C241,E241+1)),MONTH(EDATE(C241,E241+1)),参数设置!$B$14),EDATE(C241,参数设置!$B$13))</f>
        <v>47154</v>
      </c>
      <c r="H241">
        <f>G241-F241</f>
        <v>31</v>
      </c>
      <c r="I241" s="21">
        <f>IF(E241=参数设置!$B$13,D241,0)</f>
        <v>0</v>
      </c>
      <c r="J241" s="21">
        <f>IF(M241=1,ROUND(D241*参数设置!$B$11*H241/参数设置!$B$12,参数设置!$B$15),0)</f>
        <v>66.5</v>
      </c>
      <c r="K241" s="21">
        <f>I241+J241</f>
        <v>66.5</v>
      </c>
      <c r="L241" s="25">
        <f>EDATE(C241,参数设置!$B$13)</f>
        <v>47187</v>
      </c>
      <c r="M241">
        <f>--(D241&gt;0)</f>
        <v>1</v>
      </c>
    </row>
    <row r="242" spans="1:13" ht="15" customHeight="1">
      <c r="A242">
        <v>20</v>
      </c>
      <c r="B242">
        <v>20</v>
      </c>
      <c r="C242" s="25">
        <f>EDATE(参数设置!$B$4,A242-1)</f>
        <v>46822</v>
      </c>
      <c r="D242" s="21">
        <f>IF(AND(A242&lt;=参数设置!$B$6,OR(INDEX(月度资金流!$B$7:$B$42,A242)=策略字典!$A$1,INDEX(月度资金流!$B$7:$B$42,A242)=策略字典!$A$2)),参数设置!$B$5,0)</f>
        <v>23400</v>
      </c>
      <c r="E242">
        <v>11</v>
      </c>
      <c r="F242" s="25">
        <f>IF(E242=1,C242,G241)</f>
        <v>47154</v>
      </c>
      <c r="G242" s="25">
        <f>IF(E242&lt;参数设置!$B$13,DATE(YEAR(EDATE(C242,E242+1)),MONTH(EDATE(C242,E242+1)),参数设置!$B$14),EDATE(C242,参数设置!$B$13))</f>
        <v>47182</v>
      </c>
      <c r="H242">
        <f>G242-F242</f>
        <v>28</v>
      </c>
      <c r="I242" s="21">
        <f>IF(E242=参数设置!$B$13,D242,0)</f>
        <v>0</v>
      </c>
      <c r="J242" s="21">
        <f>IF(M242=1,ROUND(D242*参数设置!$B$11*H242/参数设置!$B$12,参数设置!$B$15),0)</f>
        <v>60.06</v>
      </c>
      <c r="K242" s="21">
        <f>I242+J242</f>
        <v>60.06</v>
      </c>
      <c r="L242" s="25">
        <f>EDATE(C242,参数设置!$B$13)</f>
        <v>47187</v>
      </c>
      <c r="M242">
        <f>--(D242&gt;0)</f>
        <v>1</v>
      </c>
    </row>
    <row r="243" spans="1:13" ht="15" customHeight="1">
      <c r="A243">
        <v>20</v>
      </c>
      <c r="B243">
        <v>20</v>
      </c>
      <c r="C243" s="25">
        <f>EDATE(参数设置!$B$4,A243-1)</f>
        <v>46822</v>
      </c>
      <c r="D243" s="21">
        <f>IF(AND(A243&lt;=参数设置!$B$6,OR(INDEX(月度资金流!$B$7:$B$42,A243)=策略字典!$A$1,INDEX(月度资金流!$B$7:$B$42,A243)=策略字典!$A$2)),参数设置!$B$5,0)</f>
        <v>23400</v>
      </c>
      <c r="E243">
        <v>12</v>
      </c>
      <c r="F243" s="25">
        <f>IF(E243=1,C243,G242)</f>
        <v>47182</v>
      </c>
      <c r="G243" s="25">
        <f>IF(E243&lt;参数设置!$B$13,DATE(YEAR(EDATE(C243,E243+1)),MONTH(EDATE(C243,E243+1)),参数设置!$B$14),EDATE(C243,参数设置!$B$13))</f>
        <v>47187</v>
      </c>
      <c r="H243">
        <f>G243-F243</f>
        <v>5</v>
      </c>
      <c r="I243" s="21">
        <f>IF(E243=参数设置!$B$13,D243,0)</f>
        <v>23400</v>
      </c>
      <c r="J243" s="21">
        <f>IF(M243=1,ROUND(D243*参数设置!$B$11*H243/参数设置!$B$12,参数设置!$B$15),0)</f>
        <v>10.73</v>
      </c>
      <c r="K243" s="21">
        <f>I243+J243</f>
        <v>23410.73</v>
      </c>
      <c r="L243" s="25">
        <f>EDATE(C243,参数设置!$B$13)</f>
        <v>47187</v>
      </c>
      <c r="M243">
        <f>--(D243&gt;0)</f>
        <v>1</v>
      </c>
    </row>
    <row r="244" spans="1:13" ht="15" customHeight="1">
      <c r="A244">
        <v>21</v>
      </c>
      <c r="B244">
        <v>21</v>
      </c>
      <c r="C244" s="25">
        <f>EDATE(参数设置!$B$4,A244-1)</f>
        <v>46853</v>
      </c>
      <c r="D244" s="21">
        <f>IF(AND(A244&lt;=参数设置!$B$6,OR(INDEX(月度资金流!$B$7:$B$42,A244)=策略字典!$A$1,INDEX(月度资金流!$B$7:$B$42,A244)=策略字典!$A$2)),参数设置!$B$5,0)</f>
        <v>23400</v>
      </c>
      <c r="E244">
        <v>1</v>
      </c>
      <c r="F244" s="25">
        <f>IF(E244=1,C244,G243)</f>
        <v>46853</v>
      </c>
      <c r="G244" s="25">
        <f>IF(E244&lt;参数设置!$B$13,DATE(YEAR(EDATE(C244,E244+1)),MONTH(EDATE(C244,E244+1)),参数设置!$B$14),EDATE(C244,参数设置!$B$13))</f>
        <v>46909</v>
      </c>
      <c r="H244">
        <f>G244-F244</f>
        <v>56</v>
      </c>
      <c r="I244" s="21">
        <f>IF(E244=参数设置!$B$13,D244,0)</f>
        <v>0</v>
      </c>
      <c r="J244" s="21">
        <f>IF(M244=1,ROUND(D244*参数设置!$B$11*H244/参数设置!$B$12,参数设置!$B$15),0)</f>
        <v>120.12</v>
      </c>
      <c r="K244" s="21">
        <f>I244+J244</f>
        <v>120.12</v>
      </c>
      <c r="L244" s="25">
        <f>EDATE(C244,参数设置!$B$13)</f>
        <v>47218</v>
      </c>
      <c r="M244">
        <f>--(D244&gt;0)</f>
        <v>1</v>
      </c>
    </row>
    <row r="245" spans="1:13" ht="15" customHeight="1">
      <c r="A245">
        <v>21</v>
      </c>
      <c r="B245">
        <v>21</v>
      </c>
      <c r="C245" s="25">
        <f>EDATE(参数设置!$B$4,A245-1)</f>
        <v>46853</v>
      </c>
      <c r="D245" s="21">
        <f>IF(AND(A245&lt;=参数设置!$B$6,OR(INDEX(月度资金流!$B$7:$B$42,A245)=策略字典!$A$1,INDEX(月度资金流!$B$7:$B$42,A245)=策略字典!$A$2)),参数设置!$B$5,0)</f>
        <v>23400</v>
      </c>
      <c r="E245">
        <v>2</v>
      </c>
      <c r="F245" s="25">
        <f>IF(E245=1,C245,G244)</f>
        <v>46909</v>
      </c>
      <c r="G245" s="25">
        <f>IF(E245&lt;参数设置!$B$13,DATE(YEAR(EDATE(C245,E245+1)),MONTH(EDATE(C245,E245+1)),参数设置!$B$14),EDATE(C245,参数设置!$B$13))</f>
        <v>46939</v>
      </c>
      <c r="H245">
        <f>G245-F245</f>
        <v>30</v>
      </c>
      <c r="I245" s="21">
        <f>IF(E245=参数设置!$B$13,D245,0)</f>
        <v>0</v>
      </c>
      <c r="J245" s="21">
        <f>IF(M245=1,ROUND(D245*参数设置!$B$11*H245/参数设置!$B$12,参数设置!$B$15),0)</f>
        <v>64.349999999999994</v>
      </c>
      <c r="K245" s="21">
        <f>I245+J245</f>
        <v>64.349999999999994</v>
      </c>
      <c r="L245" s="25">
        <f>EDATE(C245,参数设置!$B$13)</f>
        <v>47218</v>
      </c>
      <c r="M245">
        <f>--(D245&gt;0)</f>
        <v>1</v>
      </c>
    </row>
    <row r="246" spans="1:13" ht="15" customHeight="1">
      <c r="A246">
        <v>21</v>
      </c>
      <c r="B246">
        <v>21</v>
      </c>
      <c r="C246" s="25">
        <f>EDATE(参数设置!$B$4,A246-1)</f>
        <v>46853</v>
      </c>
      <c r="D246" s="21">
        <f>IF(AND(A246&lt;=参数设置!$B$6,OR(INDEX(月度资金流!$B$7:$B$42,A246)=策略字典!$A$1,INDEX(月度资金流!$B$7:$B$42,A246)=策略字典!$A$2)),参数设置!$B$5,0)</f>
        <v>23400</v>
      </c>
      <c r="E246">
        <v>3</v>
      </c>
      <c r="F246" s="25">
        <f>IF(E246=1,C246,G245)</f>
        <v>46939</v>
      </c>
      <c r="G246" s="25">
        <f>IF(E246&lt;参数设置!$B$13,DATE(YEAR(EDATE(C246,E246+1)),MONTH(EDATE(C246,E246+1)),参数设置!$B$14),EDATE(C246,参数设置!$B$13))</f>
        <v>46970</v>
      </c>
      <c r="H246">
        <f>G246-F246</f>
        <v>31</v>
      </c>
      <c r="I246" s="21">
        <f>IF(E246=参数设置!$B$13,D246,0)</f>
        <v>0</v>
      </c>
      <c r="J246" s="21">
        <f>IF(M246=1,ROUND(D246*参数设置!$B$11*H246/参数设置!$B$12,参数设置!$B$15),0)</f>
        <v>66.5</v>
      </c>
      <c r="K246" s="21">
        <f>I246+J246</f>
        <v>66.5</v>
      </c>
      <c r="L246" s="25">
        <f>EDATE(C246,参数设置!$B$13)</f>
        <v>47218</v>
      </c>
      <c r="M246">
        <f>--(D246&gt;0)</f>
        <v>1</v>
      </c>
    </row>
    <row r="247" spans="1:13" ht="15" customHeight="1">
      <c r="A247">
        <v>21</v>
      </c>
      <c r="B247">
        <v>21</v>
      </c>
      <c r="C247" s="25">
        <f>EDATE(参数设置!$B$4,A247-1)</f>
        <v>46853</v>
      </c>
      <c r="D247" s="21">
        <f>IF(AND(A247&lt;=参数设置!$B$6,OR(INDEX(月度资金流!$B$7:$B$42,A247)=策略字典!$A$1,INDEX(月度资金流!$B$7:$B$42,A247)=策略字典!$A$2)),参数设置!$B$5,0)</f>
        <v>23400</v>
      </c>
      <c r="E247">
        <v>4</v>
      </c>
      <c r="F247" s="25">
        <f>IF(E247=1,C247,G246)</f>
        <v>46970</v>
      </c>
      <c r="G247" s="25">
        <f>IF(E247&lt;参数设置!$B$13,DATE(YEAR(EDATE(C247,E247+1)),MONTH(EDATE(C247,E247+1)),参数设置!$B$14),EDATE(C247,参数设置!$B$13))</f>
        <v>47001</v>
      </c>
      <c r="H247">
        <f>G247-F247</f>
        <v>31</v>
      </c>
      <c r="I247" s="21">
        <f>IF(E247=参数设置!$B$13,D247,0)</f>
        <v>0</v>
      </c>
      <c r="J247" s="21">
        <f>IF(M247=1,ROUND(D247*参数设置!$B$11*H247/参数设置!$B$12,参数设置!$B$15),0)</f>
        <v>66.5</v>
      </c>
      <c r="K247" s="21">
        <f>I247+J247</f>
        <v>66.5</v>
      </c>
      <c r="L247" s="25">
        <f>EDATE(C247,参数设置!$B$13)</f>
        <v>47218</v>
      </c>
      <c r="M247">
        <f>--(D247&gt;0)</f>
        <v>1</v>
      </c>
    </row>
    <row r="248" spans="1:13" ht="15" customHeight="1">
      <c r="A248">
        <v>21</v>
      </c>
      <c r="B248">
        <v>21</v>
      </c>
      <c r="C248" s="25">
        <f>EDATE(参数设置!$B$4,A248-1)</f>
        <v>46853</v>
      </c>
      <c r="D248" s="21">
        <f>IF(AND(A248&lt;=参数设置!$B$6,OR(INDEX(月度资金流!$B$7:$B$42,A248)=策略字典!$A$1,INDEX(月度资金流!$B$7:$B$42,A248)=策略字典!$A$2)),参数设置!$B$5,0)</f>
        <v>23400</v>
      </c>
      <c r="E248">
        <v>5</v>
      </c>
      <c r="F248" s="25">
        <f>IF(E248=1,C248,G247)</f>
        <v>47001</v>
      </c>
      <c r="G248" s="25">
        <f>IF(E248&lt;参数设置!$B$13,DATE(YEAR(EDATE(C248,E248+1)),MONTH(EDATE(C248,E248+1)),参数设置!$B$14),EDATE(C248,参数设置!$B$13))</f>
        <v>47031</v>
      </c>
      <c r="H248">
        <f>G248-F248</f>
        <v>30</v>
      </c>
      <c r="I248" s="21">
        <f>IF(E248=参数设置!$B$13,D248,0)</f>
        <v>0</v>
      </c>
      <c r="J248" s="21">
        <f>IF(M248=1,ROUND(D248*参数设置!$B$11*H248/参数设置!$B$12,参数设置!$B$15),0)</f>
        <v>64.349999999999994</v>
      </c>
      <c r="K248" s="21">
        <f>I248+J248</f>
        <v>64.349999999999994</v>
      </c>
      <c r="L248" s="25">
        <f>EDATE(C248,参数设置!$B$13)</f>
        <v>47218</v>
      </c>
      <c r="M248">
        <f>--(D248&gt;0)</f>
        <v>1</v>
      </c>
    </row>
    <row r="249" spans="1:13" ht="15" customHeight="1">
      <c r="A249">
        <v>21</v>
      </c>
      <c r="B249">
        <v>21</v>
      </c>
      <c r="C249" s="25">
        <f>EDATE(参数设置!$B$4,A249-1)</f>
        <v>46853</v>
      </c>
      <c r="D249" s="21">
        <f>IF(AND(A249&lt;=参数设置!$B$6,OR(INDEX(月度资金流!$B$7:$B$42,A249)=策略字典!$A$1,INDEX(月度资金流!$B$7:$B$42,A249)=策略字典!$A$2)),参数设置!$B$5,0)</f>
        <v>23400</v>
      </c>
      <c r="E249">
        <v>6</v>
      </c>
      <c r="F249" s="25">
        <f>IF(E249=1,C249,G248)</f>
        <v>47031</v>
      </c>
      <c r="G249" s="25">
        <f>IF(E249&lt;参数设置!$B$13,DATE(YEAR(EDATE(C249,E249+1)),MONTH(EDATE(C249,E249+1)),参数设置!$B$14),EDATE(C249,参数设置!$B$13))</f>
        <v>47062</v>
      </c>
      <c r="H249">
        <f>G249-F249</f>
        <v>31</v>
      </c>
      <c r="I249" s="21">
        <f>IF(E249=参数设置!$B$13,D249,0)</f>
        <v>0</v>
      </c>
      <c r="J249" s="21">
        <f>IF(M249=1,ROUND(D249*参数设置!$B$11*H249/参数设置!$B$12,参数设置!$B$15),0)</f>
        <v>66.5</v>
      </c>
      <c r="K249" s="21">
        <f>I249+J249</f>
        <v>66.5</v>
      </c>
      <c r="L249" s="25">
        <f>EDATE(C249,参数设置!$B$13)</f>
        <v>47218</v>
      </c>
      <c r="M249">
        <f>--(D249&gt;0)</f>
        <v>1</v>
      </c>
    </row>
    <row r="250" spans="1:13" ht="15" customHeight="1">
      <c r="A250">
        <v>21</v>
      </c>
      <c r="B250">
        <v>21</v>
      </c>
      <c r="C250" s="25">
        <f>EDATE(参数设置!$B$4,A250-1)</f>
        <v>46853</v>
      </c>
      <c r="D250" s="21">
        <f>IF(AND(A250&lt;=参数设置!$B$6,OR(INDEX(月度资金流!$B$7:$B$42,A250)=策略字典!$A$1,INDEX(月度资金流!$B$7:$B$42,A250)=策略字典!$A$2)),参数设置!$B$5,0)</f>
        <v>23400</v>
      </c>
      <c r="E250">
        <v>7</v>
      </c>
      <c r="F250" s="25">
        <f>IF(E250=1,C250,G249)</f>
        <v>47062</v>
      </c>
      <c r="G250" s="25">
        <f>IF(E250&lt;参数设置!$B$13,DATE(YEAR(EDATE(C250,E250+1)),MONTH(EDATE(C250,E250+1)),参数设置!$B$14),EDATE(C250,参数设置!$B$13))</f>
        <v>47092</v>
      </c>
      <c r="H250">
        <f>G250-F250</f>
        <v>30</v>
      </c>
      <c r="I250" s="21">
        <f>IF(E250=参数设置!$B$13,D250,0)</f>
        <v>0</v>
      </c>
      <c r="J250" s="21">
        <f>IF(M250=1,ROUND(D250*参数设置!$B$11*H250/参数设置!$B$12,参数设置!$B$15),0)</f>
        <v>64.349999999999994</v>
      </c>
      <c r="K250" s="21">
        <f>I250+J250</f>
        <v>64.349999999999994</v>
      </c>
      <c r="L250" s="25">
        <f>EDATE(C250,参数设置!$B$13)</f>
        <v>47218</v>
      </c>
      <c r="M250">
        <f>--(D250&gt;0)</f>
        <v>1</v>
      </c>
    </row>
    <row r="251" spans="1:13" ht="15" customHeight="1">
      <c r="A251">
        <v>21</v>
      </c>
      <c r="B251">
        <v>21</v>
      </c>
      <c r="C251" s="25">
        <f>EDATE(参数设置!$B$4,A251-1)</f>
        <v>46853</v>
      </c>
      <c r="D251" s="21">
        <f>IF(AND(A251&lt;=参数设置!$B$6,OR(INDEX(月度资金流!$B$7:$B$42,A251)=策略字典!$A$1,INDEX(月度资金流!$B$7:$B$42,A251)=策略字典!$A$2)),参数设置!$B$5,0)</f>
        <v>23400</v>
      </c>
      <c r="E251">
        <v>8</v>
      </c>
      <c r="F251" s="25">
        <f>IF(E251=1,C251,G250)</f>
        <v>47092</v>
      </c>
      <c r="G251" s="25">
        <f>IF(E251&lt;参数设置!$B$13,DATE(YEAR(EDATE(C251,E251+1)),MONTH(EDATE(C251,E251+1)),参数设置!$B$14),EDATE(C251,参数设置!$B$13))</f>
        <v>47123</v>
      </c>
      <c r="H251">
        <f>G251-F251</f>
        <v>31</v>
      </c>
      <c r="I251" s="21">
        <f>IF(E251=参数设置!$B$13,D251,0)</f>
        <v>0</v>
      </c>
      <c r="J251" s="21">
        <f>IF(M251=1,ROUND(D251*参数设置!$B$11*H251/参数设置!$B$12,参数设置!$B$15),0)</f>
        <v>66.5</v>
      </c>
      <c r="K251" s="21">
        <f>I251+J251</f>
        <v>66.5</v>
      </c>
      <c r="L251" s="25">
        <f>EDATE(C251,参数设置!$B$13)</f>
        <v>47218</v>
      </c>
      <c r="M251">
        <f>--(D251&gt;0)</f>
        <v>1</v>
      </c>
    </row>
    <row r="252" spans="1:13" ht="15" customHeight="1">
      <c r="A252">
        <v>21</v>
      </c>
      <c r="B252">
        <v>21</v>
      </c>
      <c r="C252" s="25">
        <f>EDATE(参数设置!$B$4,A252-1)</f>
        <v>46853</v>
      </c>
      <c r="D252" s="21">
        <f>IF(AND(A252&lt;=参数设置!$B$6,OR(INDEX(月度资金流!$B$7:$B$42,A252)=策略字典!$A$1,INDEX(月度资金流!$B$7:$B$42,A252)=策略字典!$A$2)),参数设置!$B$5,0)</f>
        <v>23400</v>
      </c>
      <c r="E252">
        <v>9</v>
      </c>
      <c r="F252" s="25">
        <f>IF(E252=1,C252,G251)</f>
        <v>47123</v>
      </c>
      <c r="G252" s="25">
        <f>IF(E252&lt;参数设置!$B$13,DATE(YEAR(EDATE(C252,E252+1)),MONTH(EDATE(C252,E252+1)),参数设置!$B$14),EDATE(C252,参数设置!$B$13))</f>
        <v>47154</v>
      </c>
      <c r="H252">
        <f>G252-F252</f>
        <v>31</v>
      </c>
      <c r="I252" s="21">
        <f>IF(E252=参数设置!$B$13,D252,0)</f>
        <v>0</v>
      </c>
      <c r="J252" s="21">
        <f>IF(M252=1,ROUND(D252*参数设置!$B$11*H252/参数设置!$B$12,参数设置!$B$15),0)</f>
        <v>66.5</v>
      </c>
      <c r="K252" s="21">
        <f>I252+J252</f>
        <v>66.5</v>
      </c>
      <c r="L252" s="25">
        <f>EDATE(C252,参数设置!$B$13)</f>
        <v>47218</v>
      </c>
      <c r="M252">
        <f>--(D252&gt;0)</f>
        <v>1</v>
      </c>
    </row>
    <row r="253" spans="1:13" ht="15" customHeight="1">
      <c r="A253">
        <v>21</v>
      </c>
      <c r="B253">
        <v>21</v>
      </c>
      <c r="C253" s="25">
        <f>EDATE(参数设置!$B$4,A253-1)</f>
        <v>46853</v>
      </c>
      <c r="D253" s="21">
        <f>IF(AND(A253&lt;=参数设置!$B$6,OR(INDEX(月度资金流!$B$7:$B$42,A253)=策略字典!$A$1,INDEX(月度资金流!$B$7:$B$42,A253)=策略字典!$A$2)),参数设置!$B$5,0)</f>
        <v>23400</v>
      </c>
      <c r="E253">
        <v>10</v>
      </c>
      <c r="F253" s="25">
        <f>IF(E253=1,C253,G252)</f>
        <v>47154</v>
      </c>
      <c r="G253" s="25">
        <f>IF(E253&lt;参数设置!$B$13,DATE(YEAR(EDATE(C253,E253+1)),MONTH(EDATE(C253,E253+1)),参数设置!$B$14),EDATE(C253,参数设置!$B$13))</f>
        <v>47182</v>
      </c>
      <c r="H253">
        <f>G253-F253</f>
        <v>28</v>
      </c>
      <c r="I253" s="21">
        <f>IF(E253=参数设置!$B$13,D253,0)</f>
        <v>0</v>
      </c>
      <c r="J253" s="21">
        <f>IF(M253=1,ROUND(D253*参数设置!$B$11*H253/参数设置!$B$12,参数设置!$B$15),0)</f>
        <v>60.06</v>
      </c>
      <c r="K253" s="21">
        <f>I253+J253</f>
        <v>60.06</v>
      </c>
      <c r="L253" s="25">
        <f>EDATE(C253,参数设置!$B$13)</f>
        <v>47218</v>
      </c>
      <c r="M253">
        <f>--(D253&gt;0)</f>
        <v>1</v>
      </c>
    </row>
    <row r="254" spans="1:13" ht="15" customHeight="1">
      <c r="A254">
        <v>21</v>
      </c>
      <c r="B254">
        <v>21</v>
      </c>
      <c r="C254" s="25">
        <f>EDATE(参数设置!$B$4,A254-1)</f>
        <v>46853</v>
      </c>
      <c r="D254" s="21">
        <f>IF(AND(A254&lt;=参数设置!$B$6,OR(INDEX(月度资金流!$B$7:$B$42,A254)=策略字典!$A$1,INDEX(月度资金流!$B$7:$B$42,A254)=策略字典!$A$2)),参数设置!$B$5,0)</f>
        <v>23400</v>
      </c>
      <c r="E254">
        <v>11</v>
      </c>
      <c r="F254" s="25">
        <f>IF(E254=1,C254,G253)</f>
        <v>47182</v>
      </c>
      <c r="G254" s="25">
        <f>IF(E254&lt;参数设置!$B$13,DATE(YEAR(EDATE(C254,E254+1)),MONTH(EDATE(C254,E254+1)),参数设置!$B$14),EDATE(C254,参数设置!$B$13))</f>
        <v>47213</v>
      </c>
      <c r="H254">
        <f>G254-F254</f>
        <v>31</v>
      </c>
      <c r="I254" s="21">
        <f>IF(E254=参数设置!$B$13,D254,0)</f>
        <v>0</v>
      </c>
      <c r="J254" s="21">
        <f>IF(M254=1,ROUND(D254*参数设置!$B$11*H254/参数设置!$B$12,参数设置!$B$15),0)</f>
        <v>66.5</v>
      </c>
      <c r="K254" s="21">
        <f>I254+J254</f>
        <v>66.5</v>
      </c>
      <c r="L254" s="25">
        <f>EDATE(C254,参数设置!$B$13)</f>
        <v>47218</v>
      </c>
      <c r="M254">
        <f>--(D254&gt;0)</f>
        <v>1</v>
      </c>
    </row>
    <row r="255" spans="1:13" ht="15" customHeight="1">
      <c r="A255">
        <v>21</v>
      </c>
      <c r="B255">
        <v>21</v>
      </c>
      <c r="C255" s="25">
        <f>EDATE(参数设置!$B$4,A255-1)</f>
        <v>46853</v>
      </c>
      <c r="D255" s="21">
        <f>IF(AND(A255&lt;=参数设置!$B$6,OR(INDEX(月度资金流!$B$7:$B$42,A255)=策略字典!$A$1,INDEX(月度资金流!$B$7:$B$42,A255)=策略字典!$A$2)),参数设置!$B$5,0)</f>
        <v>23400</v>
      </c>
      <c r="E255">
        <v>12</v>
      </c>
      <c r="F255" s="25">
        <f>IF(E255=1,C255,G254)</f>
        <v>47213</v>
      </c>
      <c r="G255" s="25">
        <f>IF(E255&lt;参数设置!$B$13,DATE(YEAR(EDATE(C255,E255+1)),MONTH(EDATE(C255,E255+1)),参数设置!$B$14),EDATE(C255,参数设置!$B$13))</f>
        <v>47218</v>
      </c>
      <c r="H255">
        <f>G255-F255</f>
        <v>5</v>
      </c>
      <c r="I255" s="21">
        <f>IF(E255=参数设置!$B$13,D255,0)</f>
        <v>23400</v>
      </c>
      <c r="J255" s="21">
        <f>IF(M255=1,ROUND(D255*参数设置!$B$11*H255/参数设置!$B$12,参数设置!$B$15),0)</f>
        <v>10.73</v>
      </c>
      <c r="K255" s="21">
        <f>I255+J255</f>
        <v>23410.73</v>
      </c>
      <c r="L255" s="25">
        <f>EDATE(C255,参数设置!$B$13)</f>
        <v>47218</v>
      </c>
      <c r="M255">
        <f>--(D255&gt;0)</f>
        <v>1</v>
      </c>
    </row>
    <row r="256" spans="1:13" ht="15" customHeight="1">
      <c r="A256">
        <v>22</v>
      </c>
      <c r="B256">
        <v>22</v>
      </c>
      <c r="C256" s="25">
        <f>EDATE(参数设置!$B$4,A256-1)</f>
        <v>46883</v>
      </c>
      <c r="D256" s="21">
        <f>IF(AND(A256&lt;=参数设置!$B$6,OR(INDEX(月度资金流!$B$7:$B$42,A256)=策略字典!$A$1,INDEX(月度资金流!$B$7:$B$42,A256)=策略字典!$A$2)),参数设置!$B$5,0)</f>
        <v>23400</v>
      </c>
      <c r="E256">
        <v>1</v>
      </c>
      <c r="F256" s="25">
        <f>IF(E256=1,C256,G255)</f>
        <v>46883</v>
      </c>
      <c r="G256" s="25">
        <f>IF(E256&lt;参数设置!$B$13,DATE(YEAR(EDATE(C256,E256+1)),MONTH(EDATE(C256,E256+1)),参数设置!$B$14),EDATE(C256,参数设置!$B$13))</f>
        <v>46939</v>
      </c>
      <c r="H256">
        <f>G256-F256</f>
        <v>56</v>
      </c>
      <c r="I256" s="21">
        <f>IF(E256=参数设置!$B$13,D256,0)</f>
        <v>0</v>
      </c>
      <c r="J256" s="21">
        <f>IF(M256=1,ROUND(D256*参数设置!$B$11*H256/参数设置!$B$12,参数设置!$B$15),0)</f>
        <v>120.12</v>
      </c>
      <c r="K256" s="21">
        <f>I256+J256</f>
        <v>120.12</v>
      </c>
      <c r="L256" s="25">
        <f>EDATE(C256,参数设置!$B$13)</f>
        <v>47248</v>
      </c>
      <c r="M256">
        <f>--(D256&gt;0)</f>
        <v>1</v>
      </c>
    </row>
    <row r="257" spans="1:13" ht="15" customHeight="1">
      <c r="A257">
        <v>22</v>
      </c>
      <c r="B257">
        <v>22</v>
      </c>
      <c r="C257" s="25">
        <f>EDATE(参数设置!$B$4,A257-1)</f>
        <v>46883</v>
      </c>
      <c r="D257" s="21">
        <f>IF(AND(A257&lt;=参数设置!$B$6,OR(INDEX(月度资金流!$B$7:$B$42,A257)=策略字典!$A$1,INDEX(月度资金流!$B$7:$B$42,A257)=策略字典!$A$2)),参数设置!$B$5,0)</f>
        <v>23400</v>
      </c>
      <c r="E257">
        <v>2</v>
      </c>
      <c r="F257" s="25">
        <f>IF(E257=1,C257,G256)</f>
        <v>46939</v>
      </c>
      <c r="G257" s="25">
        <f>IF(E257&lt;参数设置!$B$13,DATE(YEAR(EDATE(C257,E257+1)),MONTH(EDATE(C257,E257+1)),参数设置!$B$14),EDATE(C257,参数设置!$B$13))</f>
        <v>46970</v>
      </c>
      <c r="H257">
        <f>G257-F257</f>
        <v>31</v>
      </c>
      <c r="I257" s="21">
        <f>IF(E257=参数设置!$B$13,D257,0)</f>
        <v>0</v>
      </c>
      <c r="J257" s="21">
        <f>IF(M257=1,ROUND(D257*参数设置!$B$11*H257/参数设置!$B$12,参数设置!$B$15),0)</f>
        <v>66.5</v>
      </c>
      <c r="K257" s="21">
        <f>I257+J257</f>
        <v>66.5</v>
      </c>
      <c r="L257" s="25">
        <f>EDATE(C257,参数设置!$B$13)</f>
        <v>47248</v>
      </c>
      <c r="M257">
        <f>--(D257&gt;0)</f>
        <v>1</v>
      </c>
    </row>
    <row r="258" spans="1:13" ht="15" customHeight="1">
      <c r="A258">
        <v>22</v>
      </c>
      <c r="B258">
        <v>22</v>
      </c>
      <c r="C258" s="25">
        <f>EDATE(参数设置!$B$4,A258-1)</f>
        <v>46883</v>
      </c>
      <c r="D258" s="21">
        <f>IF(AND(A258&lt;=参数设置!$B$6,OR(INDEX(月度资金流!$B$7:$B$42,A258)=策略字典!$A$1,INDEX(月度资金流!$B$7:$B$42,A258)=策略字典!$A$2)),参数设置!$B$5,0)</f>
        <v>23400</v>
      </c>
      <c r="E258">
        <v>3</v>
      </c>
      <c r="F258" s="25">
        <f>IF(E258=1,C258,G257)</f>
        <v>46970</v>
      </c>
      <c r="G258" s="25">
        <f>IF(E258&lt;参数设置!$B$13,DATE(YEAR(EDATE(C258,E258+1)),MONTH(EDATE(C258,E258+1)),参数设置!$B$14),EDATE(C258,参数设置!$B$13))</f>
        <v>47001</v>
      </c>
      <c r="H258">
        <f>G258-F258</f>
        <v>31</v>
      </c>
      <c r="I258" s="21">
        <f>IF(E258=参数设置!$B$13,D258,0)</f>
        <v>0</v>
      </c>
      <c r="J258" s="21">
        <f>IF(M258=1,ROUND(D258*参数设置!$B$11*H258/参数设置!$B$12,参数设置!$B$15),0)</f>
        <v>66.5</v>
      </c>
      <c r="K258" s="21">
        <f>I258+J258</f>
        <v>66.5</v>
      </c>
      <c r="L258" s="25">
        <f>EDATE(C258,参数设置!$B$13)</f>
        <v>47248</v>
      </c>
      <c r="M258">
        <f>--(D258&gt;0)</f>
        <v>1</v>
      </c>
    </row>
    <row r="259" spans="1:13" ht="15" customHeight="1">
      <c r="A259">
        <v>22</v>
      </c>
      <c r="B259">
        <v>22</v>
      </c>
      <c r="C259" s="25">
        <f>EDATE(参数设置!$B$4,A259-1)</f>
        <v>46883</v>
      </c>
      <c r="D259" s="21">
        <f>IF(AND(A259&lt;=参数设置!$B$6,OR(INDEX(月度资金流!$B$7:$B$42,A259)=策略字典!$A$1,INDEX(月度资金流!$B$7:$B$42,A259)=策略字典!$A$2)),参数设置!$B$5,0)</f>
        <v>23400</v>
      </c>
      <c r="E259">
        <v>4</v>
      </c>
      <c r="F259" s="25">
        <f>IF(E259=1,C259,G258)</f>
        <v>47001</v>
      </c>
      <c r="G259" s="25">
        <f>IF(E259&lt;参数设置!$B$13,DATE(YEAR(EDATE(C259,E259+1)),MONTH(EDATE(C259,E259+1)),参数设置!$B$14),EDATE(C259,参数设置!$B$13))</f>
        <v>47031</v>
      </c>
      <c r="H259">
        <f>G259-F259</f>
        <v>30</v>
      </c>
      <c r="I259" s="21">
        <f>IF(E259=参数设置!$B$13,D259,0)</f>
        <v>0</v>
      </c>
      <c r="J259" s="21">
        <f>IF(M259=1,ROUND(D259*参数设置!$B$11*H259/参数设置!$B$12,参数设置!$B$15),0)</f>
        <v>64.349999999999994</v>
      </c>
      <c r="K259" s="21">
        <f>I259+J259</f>
        <v>64.349999999999994</v>
      </c>
      <c r="L259" s="25">
        <f>EDATE(C259,参数设置!$B$13)</f>
        <v>47248</v>
      </c>
      <c r="M259">
        <f>--(D259&gt;0)</f>
        <v>1</v>
      </c>
    </row>
    <row r="260" spans="1:13" ht="15" customHeight="1">
      <c r="A260">
        <v>22</v>
      </c>
      <c r="B260">
        <v>22</v>
      </c>
      <c r="C260" s="25">
        <f>EDATE(参数设置!$B$4,A260-1)</f>
        <v>46883</v>
      </c>
      <c r="D260" s="21">
        <f>IF(AND(A260&lt;=参数设置!$B$6,OR(INDEX(月度资金流!$B$7:$B$42,A260)=策略字典!$A$1,INDEX(月度资金流!$B$7:$B$42,A260)=策略字典!$A$2)),参数设置!$B$5,0)</f>
        <v>23400</v>
      </c>
      <c r="E260">
        <v>5</v>
      </c>
      <c r="F260" s="25">
        <f>IF(E260=1,C260,G259)</f>
        <v>47031</v>
      </c>
      <c r="G260" s="25">
        <f>IF(E260&lt;参数设置!$B$13,DATE(YEAR(EDATE(C260,E260+1)),MONTH(EDATE(C260,E260+1)),参数设置!$B$14),EDATE(C260,参数设置!$B$13))</f>
        <v>47062</v>
      </c>
      <c r="H260">
        <f>G260-F260</f>
        <v>31</v>
      </c>
      <c r="I260" s="21">
        <f>IF(E260=参数设置!$B$13,D260,0)</f>
        <v>0</v>
      </c>
      <c r="J260" s="21">
        <f>IF(M260=1,ROUND(D260*参数设置!$B$11*H260/参数设置!$B$12,参数设置!$B$15),0)</f>
        <v>66.5</v>
      </c>
      <c r="K260" s="21">
        <f>I260+J260</f>
        <v>66.5</v>
      </c>
      <c r="L260" s="25">
        <f>EDATE(C260,参数设置!$B$13)</f>
        <v>47248</v>
      </c>
      <c r="M260">
        <f>--(D260&gt;0)</f>
        <v>1</v>
      </c>
    </row>
    <row r="261" spans="1:13" ht="15" customHeight="1">
      <c r="A261">
        <v>22</v>
      </c>
      <c r="B261">
        <v>22</v>
      </c>
      <c r="C261" s="25">
        <f>EDATE(参数设置!$B$4,A261-1)</f>
        <v>46883</v>
      </c>
      <c r="D261" s="21">
        <f>IF(AND(A261&lt;=参数设置!$B$6,OR(INDEX(月度资金流!$B$7:$B$42,A261)=策略字典!$A$1,INDEX(月度资金流!$B$7:$B$42,A261)=策略字典!$A$2)),参数设置!$B$5,0)</f>
        <v>23400</v>
      </c>
      <c r="E261">
        <v>6</v>
      </c>
      <c r="F261" s="25">
        <f>IF(E261=1,C261,G260)</f>
        <v>47062</v>
      </c>
      <c r="G261" s="25">
        <f>IF(E261&lt;参数设置!$B$13,DATE(YEAR(EDATE(C261,E261+1)),MONTH(EDATE(C261,E261+1)),参数设置!$B$14),EDATE(C261,参数设置!$B$13))</f>
        <v>47092</v>
      </c>
      <c r="H261">
        <f>G261-F261</f>
        <v>30</v>
      </c>
      <c r="I261" s="21">
        <f>IF(E261=参数设置!$B$13,D261,0)</f>
        <v>0</v>
      </c>
      <c r="J261" s="21">
        <f>IF(M261=1,ROUND(D261*参数设置!$B$11*H261/参数设置!$B$12,参数设置!$B$15),0)</f>
        <v>64.349999999999994</v>
      </c>
      <c r="K261" s="21">
        <f>I261+J261</f>
        <v>64.349999999999994</v>
      </c>
      <c r="L261" s="25">
        <f>EDATE(C261,参数设置!$B$13)</f>
        <v>47248</v>
      </c>
      <c r="M261">
        <f>--(D261&gt;0)</f>
        <v>1</v>
      </c>
    </row>
    <row r="262" spans="1:13" ht="15" customHeight="1">
      <c r="A262">
        <v>22</v>
      </c>
      <c r="B262">
        <v>22</v>
      </c>
      <c r="C262" s="25">
        <f>EDATE(参数设置!$B$4,A262-1)</f>
        <v>46883</v>
      </c>
      <c r="D262" s="21">
        <f>IF(AND(A262&lt;=参数设置!$B$6,OR(INDEX(月度资金流!$B$7:$B$42,A262)=策略字典!$A$1,INDEX(月度资金流!$B$7:$B$42,A262)=策略字典!$A$2)),参数设置!$B$5,0)</f>
        <v>23400</v>
      </c>
      <c r="E262">
        <v>7</v>
      </c>
      <c r="F262" s="25">
        <f>IF(E262=1,C262,G261)</f>
        <v>47092</v>
      </c>
      <c r="G262" s="25">
        <f>IF(E262&lt;参数设置!$B$13,DATE(YEAR(EDATE(C262,E262+1)),MONTH(EDATE(C262,E262+1)),参数设置!$B$14),EDATE(C262,参数设置!$B$13))</f>
        <v>47123</v>
      </c>
      <c r="H262">
        <f>G262-F262</f>
        <v>31</v>
      </c>
      <c r="I262" s="21">
        <f>IF(E262=参数设置!$B$13,D262,0)</f>
        <v>0</v>
      </c>
      <c r="J262" s="21">
        <f>IF(M262=1,ROUND(D262*参数设置!$B$11*H262/参数设置!$B$12,参数设置!$B$15),0)</f>
        <v>66.5</v>
      </c>
      <c r="K262" s="21">
        <f>I262+J262</f>
        <v>66.5</v>
      </c>
      <c r="L262" s="25">
        <f>EDATE(C262,参数设置!$B$13)</f>
        <v>47248</v>
      </c>
      <c r="M262">
        <f>--(D262&gt;0)</f>
        <v>1</v>
      </c>
    </row>
    <row r="263" spans="1:13" ht="15" customHeight="1">
      <c r="A263">
        <v>22</v>
      </c>
      <c r="B263">
        <v>22</v>
      </c>
      <c r="C263" s="25">
        <f>EDATE(参数设置!$B$4,A263-1)</f>
        <v>46883</v>
      </c>
      <c r="D263" s="21">
        <f>IF(AND(A263&lt;=参数设置!$B$6,OR(INDEX(月度资金流!$B$7:$B$42,A263)=策略字典!$A$1,INDEX(月度资金流!$B$7:$B$42,A263)=策略字典!$A$2)),参数设置!$B$5,0)</f>
        <v>23400</v>
      </c>
      <c r="E263">
        <v>8</v>
      </c>
      <c r="F263" s="25">
        <f>IF(E263=1,C263,G262)</f>
        <v>47123</v>
      </c>
      <c r="G263" s="25">
        <f>IF(E263&lt;参数设置!$B$13,DATE(YEAR(EDATE(C263,E263+1)),MONTH(EDATE(C263,E263+1)),参数设置!$B$14),EDATE(C263,参数设置!$B$13))</f>
        <v>47154</v>
      </c>
      <c r="H263">
        <f>G263-F263</f>
        <v>31</v>
      </c>
      <c r="I263" s="21">
        <f>IF(E263=参数设置!$B$13,D263,0)</f>
        <v>0</v>
      </c>
      <c r="J263" s="21">
        <f>IF(M263=1,ROUND(D263*参数设置!$B$11*H263/参数设置!$B$12,参数设置!$B$15),0)</f>
        <v>66.5</v>
      </c>
      <c r="K263" s="21">
        <f>I263+J263</f>
        <v>66.5</v>
      </c>
      <c r="L263" s="25">
        <f>EDATE(C263,参数设置!$B$13)</f>
        <v>47248</v>
      </c>
      <c r="M263">
        <f>--(D263&gt;0)</f>
        <v>1</v>
      </c>
    </row>
    <row r="264" spans="1:13" ht="15" customHeight="1">
      <c r="A264">
        <v>22</v>
      </c>
      <c r="B264">
        <v>22</v>
      </c>
      <c r="C264" s="25">
        <f>EDATE(参数设置!$B$4,A264-1)</f>
        <v>46883</v>
      </c>
      <c r="D264" s="21">
        <f>IF(AND(A264&lt;=参数设置!$B$6,OR(INDEX(月度资金流!$B$7:$B$42,A264)=策略字典!$A$1,INDEX(月度资金流!$B$7:$B$42,A264)=策略字典!$A$2)),参数设置!$B$5,0)</f>
        <v>23400</v>
      </c>
      <c r="E264">
        <v>9</v>
      </c>
      <c r="F264" s="25">
        <f>IF(E264=1,C264,G263)</f>
        <v>47154</v>
      </c>
      <c r="G264" s="25">
        <f>IF(E264&lt;参数设置!$B$13,DATE(YEAR(EDATE(C264,E264+1)),MONTH(EDATE(C264,E264+1)),参数设置!$B$14),EDATE(C264,参数设置!$B$13))</f>
        <v>47182</v>
      </c>
      <c r="H264">
        <f>G264-F264</f>
        <v>28</v>
      </c>
      <c r="I264" s="21">
        <f>IF(E264=参数设置!$B$13,D264,0)</f>
        <v>0</v>
      </c>
      <c r="J264" s="21">
        <f>IF(M264=1,ROUND(D264*参数设置!$B$11*H264/参数设置!$B$12,参数设置!$B$15),0)</f>
        <v>60.06</v>
      </c>
      <c r="K264" s="21">
        <f>I264+J264</f>
        <v>60.06</v>
      </c>
      <c r="L264" s="25">
        <f>EDATE(C264,参数设置!$B$13)</f>
        <v>47248</v>
      </c>
      <c r="M264">
        <f>--(D264&gt;0)</f>
        <v>1</v>
      </c>
    </row>
    <row r="265" spans="1:13" ht="15" customHeight="1">
      <c r="A265">
        <v>22</v>
      </c>
      <c r="B265">
        <v>22</v>
      </c>
      <c r="C265" s="25">
        <f>EDATE(参数设置!$B$4,A265-1)</f>
        <v>46883</v>
      </c>
      <c r="D265" s="21">
        <f>IF(AND(A265&lt;=参数设置!$B$6,OR(INDEX(月度资金流!$B$7:$B$42,A265)=策略字典!$A$1,INDEX(月度资金流!$B$7:$B$42,A265)=策略字典!$A$2)),参数设置!$B$5,0)</f>
        <v>23400</v>
      </c>
      <c r="E265">
        <v>10</v>
      </c>
      <c r="F265" s="25">
        <f>IF(E265=1,C265,G264)</f>
        <v>47182</v>
      </c>
      <c r="G265" s="25">
        <f>IF(E265&lt;参数设置!$B$13,DATE(YEAR(EDATE(C265,E265+1)),MONTH(EDATE(C265,E265+1)),参数设置!$B$14),EDATE(C265,参数设置!$B$13))</f>
        <v>47213</v>
      </c>
      <c r="H265">
        <f>G265-F265</f>
        <v>31</v>
      </c>
      <c r="I265" s="21">
        <f>IF(E265=参数设置!$B$13,D265,0)</f>
        <v>0</v>
      </c>
      <c r="J265" s="21">
        <f>IF(M265=1,ROUND(D265*参数设置!$B$11*H265/参数设置!$B$12,参数设置!$B$15),0)</f>
        <v>66.5</v>
      </c>
      <c r="K265" s="21">
        <f>I265+J265</f>
        <v>66.5</v>
      </c>
      <c r="L265" s="25">
        <f>EDATE(C265,参数设置!$B$13)</f>
        <v>47248</v>
      </c>
      <c r="M265">
        <f>--(D265&gt;0)</f>
        <v>1</v>
      </c>
    </row>
    <row r="266" spans="1:13" ht="15" customHeight="1">
      <c r="A266">
        <v>22</v>
      </c>
      <c r="B266">
        <v>22</v>
      </c>
      <c r="C266" s="25">
        <f>EDATE(参数设置!$B$4,A266-1)</f>
        <v>46883</v>
      </c>
      <c r="D266" s="21">
        <f>IF(AND(A266&lt;=参数设置!$B$6,OR(INDEX(月度资金流!$B$7:$B$42,A266)=策略字典!$A$1,INDEX(月度资金流!$B$7:$B$42,A266)=策略字典!$A$2)),参数设置!$B$5,0)</f>
        <v>23400</v>
      </c>
      <c r="E266">
        <v>11</v>
      </c>
      <c r="F266" s="25">
        <f>IF(E266=1,C266,G265)</f>
        <v>47213</v>
      </c>
      <c r="G266" s="25">
        <f>IF(E266&lt;参数设置!$B$13,DATE(YEAR(EDATE(C266,E266+1)),MONTH(EDATE(C266,E266+1)),参数设置!$B$14),EDATE(C266,参数设置!$B$13))</f>
        <v>47243</v>
      </c>
      <c r="H266">
        <f>G266-F266</f>
        <v>30</v>
      </c>
      <c r="I266" s="21">
        <f>IF(E266=参数设置!$B$13,D266,0)</f>
        <v>0</v>
      </c>
      <c r="J266" s="21">
        <f>IF(M266=1,ROUND(D266*参数设置!$B$11*H266/参数设置!$B$12,参数设置!$B$15),0)</f>
        <v>64.349999999999994</v>
      </c>
      <c r="K266" s="21">
        <f>I266+J266</f>
        <v>64.349999999999994</v>
      </c>
      <c r="L266" s="25">
        <f>EDATE(C266,参数设置!$B$13)</f>
        <v>47248</v>
      </c>
      <c r="M266">
        <f>--(D266&gt;0)</f>
        <v>1</v>
      </c>
    </row>
    <row r="267" spans="1:13" ht="15" customHeight="1">
      <c r="A267">
        <v>22</v>
      </c>
      <c r="B267">
        <v>22</v>
      </c>
      <c r="C267" s="25">
        <f>EDATE(参数设置!$B$4,A267-1)</f>
        <v>46883</v>
      </c>
      <c r="D267" s="21">
        <f>IF(AND(A267&lt;=参数设置!$B$6,OR(INDEX(月度资金流!$B$7:$B$42,A267)=策略字典!$A$1,INDEX(月度资金流!$B$7:$B$42,A267)=策略字典!$A$2)),参数设置!$B$5,0)</f>
        <v>23400</v>
      </c>
      <c r="E267">
        <v>12</v>
      </c>
      <c r="F267" s="25">
        <f>IF(E267=1,C267,G266)</f>
        <v>47243</v>
      </c>
      <c r="G267" s="25">
        <f>IF(E267&lt;参数设置!$B$13,DATE(YEAR(EDATE(C267,E267+1)),MONTH(EDATE(C267,E267+1)),参数设置!$B$14),EDATE(C267,参数设置!$B$13))</f>
        <v>47248</v>
      </c>
      <c r="H267">
        <f>G267-F267</f>
        <v>5</v>
      </c>
      <c r="I267" s="21">
        <f>IF(E267=参数设置!$B$13,D267,0)</f>
        <v>23400</v>
      </c>
      <c r="J267" s="21">
        <f>IF(M267=1,ROUND(D267*参数设置!$B$11*H267/参数设置!$B$12,参数设置!$B$15),0)</f>
        <v>10.73</v>
      </c>
      <c r="K267" s="21">
        <f>I267+J267</f>
        <v>23410.73</v>
      </c>
      <c r="L267" s="25">
        <f>EDATE(C267,参数设置!$B$13)</f>
        <v>47248</v>
      </c>
      <c r="M267">
        <f>--(D267&gt;0)</f>
        <v>1</v>
      </c>
    </row>
    <row r="268" spans="1:13" ht="15" customHeight="1">
      <c r="A268">
        <v>23</v>
      </c>
      <c r="B268">
        <v>23</v>
      </c>
      <c r="C268" s="25">
        <f>EDATE(参数设置!$B$4,A268-1)</f>
        <v>46914</v>
      </c>
      <c r="D268" s="21">
        <f>IF(AND(A268&lt;=参数设置!$B$6,OR(INDEX(月度资金流!$B$7:$B$42,A268)=策略字典!$A$1,INDEX(月度资金流!$B$7:$B$42,A268)=策略字典!$A$2)),参数设置!$B$5,0)</f>
        <v>23400</v>
      </c>
      <c r="E268">
        <v>1</v>
      </c>
      <c r="F268" s="25">
        <f>IF(E268=1,C268,G267)</f>
        <v>46914</v>
      </c>
      <c r="G268" s="25">
        <f>IF(E268&lt;参数设置!$B$13,DATE(YEAR(EDATE(C268,E268+1)),MONTH(EDATE(C268,E268+1)),参数设置!$B$14),EDATE(C268,参数设置!$B$13))</f>
        <v>46970</v>
      </c>
      <c r="H268">
        <f>G268-F268</f>
        <v>56</v>
      </c>
      <c r="I268" s="21">
        <f>IF(E268=参数设置!$B$13,D268,0)</f>
        <v>0</v>
      </c>
      <c r="J268" s="21">
        <f>IF(M268=1,ROUND(D268*参数设置!$B$11*H268/参数设置!$B$12,参数设置!$B$15),0)</f>
        <v>120.12</v>
      </c>
      <c r="K268" s="21">
        <f>I268+J268</f>
        <v>120.12</v>
      </c>
      <c r="L268" s="25">
        <f>EDATE(C268,参数设置!$B$13)</f>
        <v>47279</v>
      </c>
      <c r="M268">
        <f>--(D268&gt;0)</f>
        <v>1</v>
      </c>
    </row>
    <row r="269" spans="1:13" ht="15" customHeight="1">
      <c r="A269">
        <v>23</v>
      </c>
      <c r="B269">
        <v>23</v>
      </c>
      <c r="C269" s="25">
        <f>EDATE(参数设置!$B$4,A269-1)</f>
        <v>46914</v>
      </c>
      <c r="D269" s="21">
        <f>IF(AND(A269&lt;=参数设置!$B$6,OR(INDEX(月度资金流!$B$7:$B$42,A269)=策略字典!$A$1,INDEX(月度资金流!$B$7:$B$42,A269)=策略字典!$A$2)),参数设置!$B$5,0)</f>
        <v>23400</v>
      </c>
      <c r="E269">
        <v>2</v>
      </c>
      <c r="F269" s="25">
        <f>IF(E269=1,C269,G268)</f>
        <v>46970</v>
      </c>
      <c r="G269" s="25">
        <f>IF(E269&lt;参数设置!$B$13,DATE(YEAR(EDATE(C269,E269+1)),MONTH(EDATE(C269,E269+1)),参数设置!$B$14),EDATE(C269,参数设置!$B$13))</f>
        <v>47001</v>
      </c>
      <c r="H269">
        <f>G269-F269</f>
        <v>31</v>
      </c>
      <c r="I269" s="21">
        <f>IF(E269=参数设置!$B$13,D269,0)</f>
        <v>0</v>
      </c>
      <c r="J269" s="21">
        <f>IF(M269=1,ROUND(D269*参数设置!$B$11*H269/参数设置!$B$12,参数设置!$B$15),0)</f>
        <v>66.5</v>
      </c>
      <c r="K269" s="21">
        <f>I269+J269</f>
        <v>66.5</v>
      </c>
      <c r="L269" s="25">
        <f>EDATE(C269,参数设置!$B$13)</f>
        <v>47279</v>
      </c>
      <c r="M269">
        <f>--(D269&gt;0)</f>
        <v>1</v>
      </c>
    </row>
    <row r="270" spans="1:13" ht="15" customHeight="1">
      <c r="A270">
        <v>23</v>
      </c>
      <c r="B270">
        <v>23</v>
      </c>
      <c r="C270" s="25">
        <f>EDATE(参数设置!$B$4,A270-1)</f>
        <v>46914</v>
      </c>
      <c r="D270" s="21">
        <f>IF(AND(A270&lt;=参数设置!$B$6,OR(INDEX(月度资金流!$B$7:$B$42,A270)=策略字典!$A$1,INDEX(月度资金流!$B$7:$B$42,A270)=策略字典!$A$2)),参数设置!$B$5,0)</f>
        <v>23400</v>
      </c>
      <c r="E270">
        <v>3</v>
      </c>
      <c r="F270" s="25">
        <f>IF(E270=1,C270,G269)</f>
        <v>47001</v>
      </c>
      <c r="G270" s="25">
        <f>IF(E270&lt;参数设置!$B$13,DATE(YEAR(EDATE(C270,E270+1)),MONTH(EDATE(C270,E270+1)),参数设置!$B$14),EDATE(C270,参数设置!$B$13))</f>
        <v>47031</v>
      </c>
      <c r="H270">
        <f>G270-F270</f>
        <v>30</v>
      </c>
      <c r="I270" s="21">
        <f>IF(E270=参数设置!$B$13,D270,0)</f>
        <v>0</v>
      </c>
      <c r="J270" s="21">
        <f>IF(M270=1,ROUND(D270*参数设置!$B$11*H270/参数设置!$B$12,参数设置!$B$15),0)</f>
        <v>64.349999999999994</v>
      </c>
      <c r="K270" s="21">
        <f>I270+J270</f>
        <v>64.349999999999994</v>
      </c>
      <c r="L270" s="25">
        <f>EDATE(C270,参数设置!$B$13)</f>
        <v>47279</v>
      </c>
      <c r="M270">
        <f>--(D270&gt;0)</f>
        <v>1</v>
      </c>
    </row>
    <row r="271" spans="1:13" ht="15" customHeight="1">
      <c r="A271">
        <v>23</v>
      </c>
      <c r="B271">
        <v>23</v>
      </c>
      <c r="C271" s="25">
        <f>EDATE(参数设置!$B$4,A271-1)</f>
        <v>46914</v>
      </c>
      <c r="D271" s="21">
        <f>IF(AND(A271&lt;=参数设置!$B$6,OR(INDEX(月度资金流!$B$7:$B$42,A271)=策略字典!$A$1,INDEX(月度资金流!$B$7:$B$42,A271)=策略字典!$A$2)),参数设置!$B$5,0)</f>
        <v>23400</v>
      </c>
      <c r="E271">
        <v>4</v>
      </c>
      <c r="F271" s="25">
        <f>IF(E271=1,C271,G270)</f>
        <v>47031</v>
      </c>
      <c r="G271" s="25">
        <f>IF(E271&lt;参数设置!$B$13,DATE(YEAR(EDATE(C271,E271+1)),MONTH(EDATE(C271,E271+1)),参数设置!$B$14),EDATE(C271,参数设置!$B$13))</f>
        <v>47062</v>
      </c>
      <c r="H271">
        <f>G271-F271</f>
        <v>31</v>
      </c>
      <c r="I271" s="21">
        <f>IF(E271=参数设置!$B$13,D271,0)</f>
        <v>0</v>
      </c>
      <c r="J271" s="21">
        <f>IF(M271=1,ROUND(D271*参数设置!$B$11*H271/参数设置!$B$12,参数设置!$B$15),0)</f>
        <v>66.5</v>
      </c>
      <c r="K271" s="21">
        <f>I271+J271</f>
        <v>66.5</v>
      </c>
      <c r="L271" s="25">
        <f>EDATE(C271,参数设置!$B$13)</f>
        <v>47279</v>
      </c>
      <c r="M271">
        <f>--(D271&gt;0)</f>
        <v>1</v>
      </c>
    </row>
    <row r="272" spans="1:13" ht="15" customHeight="1">
      <c r="A272">
        <v>23</v>
      </c>
      <c r="B272">
        <v>23</v>
      </c>
      <c r="C272" s="25">
        <f>EDATE(参数设置!$B$4,A272-1)</f>
        <v>46914</v>
      </c>
      <c r="D272" s="21">
        <f>IF(AND(A272&lt;=参数设置!$B$6,OR(INDEX(月度资金流!$B$7:$B$42,A272)=策略字典!$A$1,INDEX(月度资金流!$B$7:$B$42,A272)=策略字典!$A$2)),参数设置!$B$5,0)</f>
        <v>23400</v>
      </c>
      <c r="E272">
        <v>5</v>
      </c>
      <c r="F272" s="25">
        <f>IF(E272=1,C272,G271)</f>
        <v>47062</v>
      </c>
      <c r="G272" s="25">
        <f>IF(E272&lt;参数设置!$B$13,DATE(YEAR(EDATE(C272,E272+1)),MONTH(EDATE(C272,E272+1)),参数设置!$B$14),EDATE(C272,参数设置!$B$13))</f>
        <v>47092</v>
      </c>
      <c r="H272">
        <f>G272-F272</f>
        <v>30</v>
      </c>
      <c r="I272" s="21">
        <f>IF(E272=参数设置!$B$13,D272,0)</f>
        <v>0</v>
      </c>
      <c r="J272" s="21">
        <f>IF(M272=1,ROUND(D272*参数设置!$B$11*H272/参数设置!$B$12,参数设置!$B$15),0)</f>
        <v>64.349999999999994</v>
      </c>
      <c r="K272" s="21">
        <f>I272+J272</f>
        <v>64.349999999999994</v>
      </c>
      <c r="L272" s="25">
        <f>EDATE(C272,参数设置!$B$13)</f>
        <v>47279</v>
      </c>
      <c r="M272">
        <f>--(D272&gt;0)</f>
        <v>1</v>
      </c>
    </row>
    <row r="273" spans="1:13" ht="15" customHeight="1">
      <c r="A273">
        <v>23</v>
      </c>
      <c r="B273">
        <v>23</v>
      </c>
      <c r="C273" s="25">
        <f>EDATE(参数设置!$B$4,A273-1)</f>
        <v>46914</v>
      </c>
      <c r="D273" s="21">
        <f>IF(AND(A273&lt;=参数设置!$B$6,OR(INDEX(月度资金流!$B$7:$B$42,A273)=策略字典!$A$1,INDEX(月度资金流!$B$7:$B$42,A273)=策略字典!$A$2)),参数设置!$B$5,0)</f>
        <v>23400</v>
      </c>
      <c r="E273">
        <v>6</v>
      </c>
      <c r="F273" s="25">
        <f>IF(E273=1,C273,G272)</f>
        <v>47092</v>
      </c>
      <c r="G273" s="25">
        <f>IF(E273&lt;参数设置!$B$13,DATE(YEAR(EDATE(C273,E273+1)),MONTH(EDATE(C273,E273+1)),参数设置!$B$14),EDATE(C273,参数设置!$B$13))</f>
        <v>47123</v>
      </c>
      <c r="H273">
        <f>G273-F273</f>
        <v>31</v>
      </c>
      <c r="I273" s="21">
        <f>IF(E273=参数设置!$B$13,D273,0)</f>
        <v>0</v>
      </c>
      <c r="J273" s="21">
        <f>IF(M273=1,ROUND(D273*参数设置!$B$11*H273/参数设置!$B$12,参数设置!$B$15),0)</f>
        <v>66.5</v>
      </c>
      <c r="K273" s="21">
        <f>I273+J273</f>
        <v>66.5</v>
      </c>
      <c r="L273" s="25">
        <f>EDATE(C273,参数设置!$B$13)</f>
        <v>47279</v>
      </c>
      <c r="M273">
        <f>--(D273&gt;0)</f>
        <v>1</v>
      </c>
    </row>
    <row r="274" spans="1:13" ht="15" customHeight="1">
      <c r="A274">
        <v>23</v>
      </c>
      <c r="B274">
        <v>23</v>
      </c>
      <c r="C274" s="25">
        <f>EDATE(参数设置!$B$4,A274-1)</f>
        <v>46914</v>
      </c>
      <c r="D274" s="21">
        <f>IF(AND(A274&lt;=参数设置!$B$6,OR(INDEX(月度资金流!$B$7:$B$42,A274)=策略字典!$A$1,INDEX(月度资金流!$B$7:$B$42,A274)=策略字典!$A$2)),参数设置!$B$5,0)</f>
        <v>23400</v>
      </c>
      <c r="E274">
        <v>7</v>
      </c>
      <c r="F274" s="25">
        <f>IF(E274=1,C274,G273)</f>
        <v>47123</v>
      </c>
      <c r="G274" s="25">
        <f>IF(E274&lt;参数设置!$B$13,DATE(YEAR(EDATE(C274,E274+1)),MONTH(EDATE(C274,E274+1)),参数设置!$B$14),EDATE(C274,参数设置!$B$13))</f>
        <v>47154</v>
      </c>
      <c r="H274">
        <f>G274-F274</f>
        <v>31</v>
      </c>
      <c r="I274" s="21">
        <f>IF(E274=参数设置!$B$13,D274,0)</f>
        <v>0</v>
      </c>
      <c r="J274" s="21">
        <f>IF(M274=1,ROUND(D274*参数设置!$B$11*H274/参数设置!$B$12,参数设置!$B$15),0)</f>
        <v>66.5</v>
      </c>
      <c r="K274" s="21">
        <f>I274+J274</f>
        <v>66.5</v>
      </c>
      <c r="L274" s="25">
        <f>EDATE(C274,参数设置!$B$13)</f>
        <v>47279</v>
      </c>
      <c r="M274">
        <f>--(D274&gt;0)</f>
        <v>1</v>
      </c>
    </row>
    <row r="275" spans="1:13" ht="15" customHeight="1">
      <c r="A275">
        <v>23</v>
      </c>
      <c r="B275">
        <v>23</v>
      </c>
      <c r="C275" s="25">
        <f>EDATE(参数设置!$B$4,A275-1)</f>
        <v>46914</v>
      </c>
      <c r="D275" s="21">
        <f>IF(AND(A275&lt;=参数设置!$B$6,OR(INDEX(月度资金流!$B$7:$B$42,A275)=策略字典!$A$1,INDEX(月度资金流!$B$7:$B$42,A275)=策略字典!$A$2)),参数设置!$B$5,0)</f>
        <v>23400</v>
      </c>
      <c r="E275">
        <v>8</v>
      </c>
      <c r="F275" s="25">
        <f>IF(E275=1,C275,G274)</f>
        <v>47154</v>
      </c>
      <c r="G275" s="25">
        <f>IF(E275&lt;参数设置!$B$13,DATE(YEAR(EDATE(C275,E275+1)),MONTH(EDATE(C275,E275+1)),参数设置!$B$14),EDATE(C275,参数设置!$B$13))</f>
        <v>47182</v>
      </c>
      <c r="H275">
        <f>G275-F275</f>
        <v>28</v>
      </c>
      <c r="I275" s="21">
        <f>IF(E275=参数设置!$B$13,D275,0)</f>
        <v>0</v>
      </c>
      <c r="J275" s="21">
        <f>IF(M275=1,ROUND(D275*参数设置!$B$11*H275/参数设置!$B$12,参数设置!$B$15),0)</f>
        <v>60.06</v>
      </c>
      <c r="K275" s="21">
        <f>I275+J275</f>
        <v>60.06</v>
      </c>
      <c r="L275" s="25">
        <f>EDATE(C275,参数设置!$B$13)</f>
        <v>47279</v>
      </c>
      <c r="M275">
        <f>--(D275&gt;0)</f>
        <v>1</v>
      </c>
    </row>
    <row r="276" spans="1:13" ht="15" customHeight="1">
      <c r="A276">
        <v>23</v>
      </c>
      <c r="B276">
        <v>23</v>
      </c>
      <c r="C276" s="25">
        <f>EDATE(参数设置!$B$4,A276-1)</f>
        <v>46914</v>
      </c>
      <c r="D276" s="21">
        <f>IF(AND(A276&lt;=参数设置!$B$6,OR(INDEX(月度资金流!$B$7:$B$42,A276)=策略字典!$A$1,INDEX(月度资金流!$B$7:$B$42,A276)=策略字典!$A$2)),参数设置!$B$5,0)</f>
        <v>23400</v>
      </c>
      <c r="E276">
        <v>9</v>
      </c>
      <c r="F276" s="25">
        <f>IF(E276=1,C276,G275)</f>
        <v>47182</v>
      </c>
      <c r="G276" s="25">
        <f>IF(E276&lt;参数设置!$B$13,DATE(YEAR(EDATE(C276,E276+1)),MONTH(EDATE(C276,E276+1)),参数设置!$B$14),EDATE(C276,参数设置!$B$13))</f>
        <v>47213</v>
      </c>
      <c r="H276">
        <f>G276-F276</f>
        <v>31</v>
      </c>
      <c r="I276" s="21">
        <f>IF(E276=参数设置!$B$13,D276,0)</f>
        <v>0</v>
      </c>
      <c r="J276" s="21">
        <f>IF(M276=1,ROUND(D276*参数设置!$B$11*H276/参数设置!$B$12,参数设置!$B$15),0)</f>
        <v>66.5</v>
      </c>
      <c r="K276" s="21">
        <f>I276+J276</f>
        <v>66.5</v>
      </c>
      <c r="L276" s="25">
        <f>EDATE(C276,参数设置!$B$13)</f>
        <v>47279</v>
      </c>
      <c r="M276">
        <f>--(D276&gt;0)</f>
        <v>1</v>
      </c>
    </row>
    <row r="277" spans="1:13" ht="15" customHeight="1">
      <c r="A277">
        <v>23</v>
      </c>
      <c r="B277">
        <v>23</v>
      </c>
      <c r="C277" s="25">
        <f>EDATE(参数设置!$B$4,A277-1)</f>
        <v>46914</v>
      </c>
      <c r="D277" s="21">
        <f>IF(AND(A277&lt;=参数设置!$B$6,OR(INDEX(月度资金流!$B$7:$B$42,A277)=策略字典!$A$1,INDEX(月度资金流!$B$7:$B$42,A277)=策略字典!$A$2)),参数设置!$B$5,0)</f>
        <v>23400</v>
      </c>
      <c r="E277">
        <v>10</v>
      </c>
      <c r="F277" s="25">
        <f>IF(E277=1,C277,G276)</f>
        <v>47213</v>
      </c>
      <c r="G277" s="25">
        <f>IF(E277&lt;参数设置!$B$13,DATE(YEAR(EDATE(C277,E277+1)),MONTH(EDATE(C277,E277+1)),参数设置!$B$14),EDATE(C277,参数设置!$B$13))</f>
        <v>47243</v>
      </c>
      <c r="H277">
        <f>G277-F277</f>
        <v>30</v>
      </c>
      <c r="I277" s="21">
        <f>IF(E277=参数设置!$B$13,D277,0)</f>
        <v>0</v>
      </c>
      <c r="J277" s="21">
        <f>IF(M277=1,ROUND(D277*参数设置!$B$11*H277/参数设置!$B$12,参数设置!$B$15),0)</f>
        <v>64.349999999999994</v>
      </c>
      <c r="K277" s="21">
        <f>I277+J277</f>
        <v>64.349999999999994</v>
      </c>
      <c r="L277" s="25">
        <f>EDATE(C277,参数设置!$B$13)</f>
        <v>47279</v>
      </c>
      <c r="M277">
        <f>--(D277&gt;0)</f>
        <v>1</v>
      </c>
    </row>
    <row r="278" spans="1:13" ht="15" customHeight="1">
      <c r="A278">
        <v>23</v>
      </c>
      <c r="B278">
        <v>23</v>
      </c>
      <c r="C278" s="25">
        <f>EDATE(参数设置!$B$4,A278-1)</f>
        <v>46914</v>
      </c>
      <c r="D278" s="21">
        <f>IF(AND(A278&lt;=参数设置!$B$6,OR(INDEX(月度资金流!$B$7:$B$42,A278)=策略字典!$A$1,INDEX(月度资金流!$B$7:$B$42,A278)=策略字典!$A$2)),参数设置!$B$5,0)</f>
        <v>23400</v>
      </c>
      <c r="E278">
        <v>11</v>
      </c>
      <c r="F278" s="25">
        <f>IF(E278=1,C278,G277)</f>
        <v>47243</v>
      </c>
      <c r="G278" s="25">
        <f>IF(E278&lt;参数设置!$B$13,DATE(YEAR(EDATE(C278,E278+1)),MONTH(EDATE(C278,E278+1)),参数设置!$B$14),EDATE(C278,参数设置!$B$13))</f>
        <v>47274</v>
      </c>
      <c r="H278">
        <f>G278-F278</f>
        <v>31</v>
      </c>
      <c r="I278" s="21">
        <f>IF(E278=参数设置!$B$13,D278,0)</f>
        <v>0</v>
      </c>
      <c r="J278" s="21">
        <f>IF(M278=1,ROUND(D278*参数设置!$B$11*H278/参数设置!$B$12,参数设置!$B$15),0)</f>
        <v>66.5</v>
      </c>
      <c r="K278" s="21">
        <f>I278+J278</f>
        <v>66.5</v>
      </c>
      <c r="L278" s="25">
        <f>EDATE(C278,参数设置!$B$13)</f>
        <v>47279</v>
      </c>
      <c r="M278">
        <f>--(D278&gt;0)</f>
        <v>1</v>
      </c>
    </row>
    <row r="279" spans="1:13" ht="15" customHeight="1">
      <c r="A279">
        <v>23</v>
      </c>
      <c r="B279">
        <v>23</v>
      </c>
      <c r="C279" s="25">
        <f>EDATE(参数设置!$B$4,A279-1)</f>
        <v>46914</v>
      </c>
      <c r="D279" s="21">
        <f>IF(AND(A279&lt;=参数设置!$B$6,OR(INDEX(月度资金流!$B$7:$B$42,A279)=策略字典!$A$1,INDEX(月度资金流!$B$7:$B$42,A279)=策略字典!$A$2)),参数设置!$B$5,0)</f>
        <v>23400</v>
      </c>
      <c r="E279">
        <v>12</v>
      </c>
      <c r="F279" s="25">
        <f>IF(E279=1,C279,G278)</f>
        <v>47274</v>
      </c>
      <c r="G279" s="25">
        <f>IF(E279&lt;参数设置!$B$13,DATE(YEAR(EDATE(C279,E279+1)),MONTH(EDATE(C279,E279+1)),参数设置!$B$14),EDATE(C279,参数设置!$B$13))</f>
        <v>47279</v>
      </c>
      <c r="H279">
        <f>G279-F279</f>
        <v>5</v>
      </c>
      <c r="I279" s="21">
        <f>IF(E279=参数设置!$B$13,D279,0)</f>
        <v>23400</v>
      </c>
      <c r="J279" s="21">
        <f>IF(M279=1,ROUND(D279*参数设置!$B$11*H279/参数设置!$B$12,参数设置!$B$15),0)</f>
        <v>10.73</v>
      </c>
      <c r="K279" s="21">
        <f>I279+J279</f>
        <v>23410.73</v>
      </c>
      <c r="L279" s="25">
        <f>EDATE(C279,参数设置!$B$13)</f>
        <v>47279</v>
      </c>
      <c r="M279">
        <f>--(D279&gt;0)</f>
        <v>1</v>
      </c>
    </row>
    <row r="280" spans="1:13" ht="15" customHeight="1">
      <c r="A280">
        <v>24</v>
      </c>
      <c r="B280">
        <v>24</v>
      </c>
      <c r="C280" s="25">
        <f>EDATE(参数设置!$B$4,A280-1)</f>
        <v>46944</v>
      </c>
      <c r="D280" s="21">
        <f>IF(AND(A280&lt;=参数设置!$B$6,OR(INDEX(月度资金流!$B$7:$B$42,A280)=策略字典!$A$1,INDEX(月度资金流!$B$7:$B$42,A280)=策略字典!$A$2)),参数设置!$B$5,0)</f>
        <v>23400</v>
      </c>
      <c r="E280">
        <v>1</v>
      </c>
      <c r="F280" s="25">
        <f>IF(E280=1,C280,G279)</f>
        <v>46944</v>
      </c>
      <c r="G280" s="25">
        <f>IF(E280&lt;参数设置!$B$13,DATE(YEAR(EDATE(C280,E280+1)),MONTH(EDATE(C280,E280+1)),参数设置!$B$14),EDATE(C280,参数设置!$B$13))</f>
        <v>47001</v>
      </c>
      <c r="H280">
        <f>G280-F280</f>
        <v>57</v>
      </c>
      <c r="I280" s="21">
        <f>IF(E280=参数设置!$B$13,D280,0)</f>
        <v>0</v>
      </c>
      <c r="J280" s="21">
        <f>IF(M280=1,ROUND(D280*参数设置!$B$11*H280/参数设置!$B$12,参数设置!$B$15),0)</f>
        <v>122.27</v>
      </c>
      <c r="K280" s="21">
        <f>I280+J280</f>
        <v>122.27</v>
      </c>
      <c r="L280" s="25">
        <f>EDATE(C280,参数设置!$B$13)</f>
        <v>47309</v>
      </c>
      <c r="M280">
        <f>--(D280&gt;0)</f>
        <v>1</v>
      </c>
    </row>
    <row r="281" spans="1:13" ht="15" customHeight="1">
      <c r="A281">
        <v>24</v>
      </c>
      <c r="B281">
        <v>24</v>
      </c>
      <c r="C281" s="25">
        <f>EDATE(参数设置!$B$4,A281-1)</f>
        <v>46944</v>
      </c>
      <c r="D281" s="21">
        <f>IF(AND(A281&lt;=参数设置!$B$6,OR(INDEX(月度资金流!$B$7:$B$42,A281)=策略字典!$A$1,INDEX(月度资金流!$B$7:$B$42,A281)=策略字典!$A$2)),参数设置!$B$5,0)</f>
        <v>23400</v>
      </c>
      <c r="E281">
        <v>2</v>
      </c>
      <c r="F281" s="25">
        <f>IF(E281=1,C281,G280)</f>
        <v>47001</v>
      </c>
      <c r="G281" s="25">
        <f>IF(E281&lt;参数设置!$B$13,DATE(YEAR(EDATE(C281,E281+1)),MONTH(EDATE(C281,E281+1)),参数设置!$B$14),EDATE(C281,参数设置!$B$13))</f>
        <v>47031</v>
      </c>
      <c r="H281">
        <f>G281-F281</f>
        <v>30</v>
      </c>
      <c r="I281" s="21">
        <f>IF(E281=参数设置!$B$13,D281,0)</f>
        <v>0</v>
      </c>
      <c r="J281" s="21">
        <f>IF(M281=1,ROUND(D281*参数设置!$B$11*H281/参数设置!$B$12,参数设置!$B$15),0)</f>
        <v>64.349999999999994</v>
      </c>
      <c r="K281" s="21">
        <f>I281+J281</f>
        <v>64.349999999999994</v>
      </c>
      <c r="L281" s="25">
        <f>EDATE(C281,参数设置!$B$13)</f>
        <v>47309</v>
      </c>
      <c r="M281">
        <f>--(D281&gt;0)</f>
        <v>1</v>
      </c>
    </row>
    <row r="282" spans="1:13" ht="15" customHeight="1">
      <c r="A282">
        <v>24</v>
      </c>
      <c r="B282">
        <v>24</v>
      </c>
      <c r="C282" s="25">
        <f>EDATE(参数设置!$B$4,A282-1)</f>
        <v>46944</v>
      </c>
      <c r="D282" s="21">
        <f>IF(AND(A282&lt;=参数设置!$B$6,OR(INDEX(月度资金流!$B$7:$B$42,A282)=策略字典!$A$1,INDEX(月度资金流!$B$7:$B$42,A282)=策略字典!$A$2)),参数设置!$B$5,0)</f>
        <v>23400</v>
      </c>
      <c r="E282">
        <v>3</v>
      </c>
      <c r="F282" s="25">
        <f>IF(E282=1,C282,G281)</f>
        <v>47031</v>
      </c>
      <c r="G282" s="25">
        <f>IF(E282&lt;参数设置!$B$13,DATE(YEAR(EDATE(C282,E282+1)),MONTH(EDATE(C282,E282+1)),参数设置!$B$14),EDATE(C282,参数设置!$B$13))</f>
        <v>47062</v>
      </c>
      <c r="H282">
        <f>G282-F282</f>
        <v>31</v>
      </c>
      <c r="I282" s="21">
        <f>IF(E282=参数设置!$B$13,D282,0)</f>
        <v>0</v>
      </c>
      <c r="J282" s="21">
        <f>IF(M282=1,ROUND(D282*参数设置!$B$11*H282/参数设置!$B$12,参数设置!$B$15),0)</f>
        <v>66.5</v>
      </c>
      <c r="K282" s="21">
        <f>I282+J282</f>
        <v>66.5</v>
      </c>
      <c r="L282" s="25">
        <f>EDATE(C282,参数设置!$B$13)</f>
        <v>47309</v>
      </c>
      <c r="M282">
        <f>--(D282&gt;0)</f>
        <v>1</v>
      </c>
    </row>
    <row r="283" spans="1:13" ht="15" customHeight="1">
      <c r="A283">
        <v>24</v>
      </c>
      <c r="B283">
        <v>24</v>
      </c>
      <c r="C283" s="25">
        <f>EDATE(参数设置!$B$4,A283-1)</f>
        <v>46944</v>
      </c>
      <c r="D283" s="21">
        <f>IF(AND(A283&lt;=参数设置!$B$6,OR(INDEX(月度资金流!$B$7:$B$42,A283)=策略字典!$A$1,INDEX(月度资金流!$B$7:$B$42,A283)=策略字典!$A$2)),参数设置!$B$5,0)</f>
        <v>23400</v>
      </c>
      <c r="E283">
        <v>4</v>
      </c>
      <c r="F283" s="25">
        <f>IF(E283=1,C283,G282)</f>
        <v>47062</v>
      </c>
      <c r="G283" s="25">
        <f>IF(E283&lt;参数设置!$B$13,DATE(YEAR(EDATE(C283,E283+1)),MONTH(EDATE(C283,E283+1)),参数设置!$B$14),EDATE(C283,参数设置!$B$13))</f>
        <v>47092</v>
      </c>
      <c r="H283">
        <f>G283-F283</f>
        <v>30</v>
      </c>
      <c r="I283" s="21">
        <f>IF(E283=参数设置!$B$13,D283,0)</f>
        <v>0</v>
      </c>
      <c r="J283" s="21">
        <f>IF(M283=1,ROUND(D283*参数设置!$B$11*H283/参数设置!$B$12,参数设置!$B$15),0)</f>
        <v>64.349999999999994</v>
      </c>
      <c r="K283" s="21">
        <f>I283+J283</f>
        <v>64.349999999999994</v>
      </c>
      <c r="L283" s="25">
        <f>EDATE(C283,参数设置!$B$13)</f>
        <v>47309</v>
      </c>
      <c r="M283">
        <f>--(D283&gt;0)</f>
        <v>1</v>
      </c>
    </row>
    <row r="284" spans="1:13" ht="15" customHeight="1">
      <c r="A284">
        <v>24</v>
      </c>
      <c r="B284">
        <v>24</v>
      </c>
      <c r="C284" s="25">
        <f>EDATE(参数设置!$B$4,A284-1)</f>
        <v>46944</v>
      </c>
      <c r="D284" s="21">
        <f>IF(AND(A284&lt;=参数设置!$B$6,OR(INDEX(月度资金流!$B$7:$B$42,A284)=策略字典!$A$1,INDEX(月度资金流!$B$7:$B$42,A284)=策略字典!$A$2)),参数设置!$B$5,0)</f>
        <v>23400</v>
      </c>
      <c r="E284">
        <v>5</v>
      </c>
      <c r="F284" s="25">
        <f>IF(E284=1,C284,G283)</f>
        <v>47092</v>
      </c>
      <c r="G284" s="25">
        <f>IF(E284&lt;参数设置!$B$13,DATE(YEAR(EDATE(C284,E284+1)),MONTH(EDATE(C284,E284+1)),参数设置!$B$14),EDATE(C284,参数设置!$B$13))</f>
        <v>47123</v>
      </c>
      <c r="H284">
        <f>G284-F284</f>
        <v>31</v>
      </c>
      <c r="I284" s="21">
        <f>IF(E284=参数设置!$B$13,D284,0)</f>
        <v>0</v>
      </c>
      <c r="J284" s="21">
        <f>IF(M284=1,ROUND(D284*参数设置!$B$11*H284/参数设置!$B$12,参数设置!$B$15),0)</f>
        <v>66.5</v>
      </c>
      <c r="K284" s="21">
        <f>I284+J284</f>
        <v>66.5</v>
      </c>
      <c r="L284" s="25">
        <f>EDATE(C284,参数设置!$B$13)</f>
        <v>47309</v>
      </c>
      <c r="M284">
        <f>--(D284&gt;0)</f>
        <v>1</v>
      </c>
    </row>
    <row r="285" spans="1:13" ht="15" customHeight="1">
      <c r="A285">
        <v>24</v>
      </c>
      <c r="B285">
        <v>24</v>
      </c>
      <c r="C285" s="25">
        <f>EDATE(参数设置!$B$4,A285-1)</f>
        <v>46944</v>
      </c>
      <c r="D285" s="21">
        <f>IF(AND(A285&lt;=参数设置!$B$6,OR(INDEX(月度资金流!$B$7:$B$42,A285)=策略字典!$A$1,INDEX(月度资金流!$B$7:$B$42,A285)=策略字典!$A$2)),参数设置!$B$5,0)</f>
        <v>23400</v>
      </c>
      <c r="E285">
        <v>6</v>
      </c>
      <c r="F285" s="25">
        <f>IF(E285=1,C285,G284)</f>
        <v>47123</v>
      </c>
      <c r="G285" s="25">
        <f>IF(E285&lt;参数设置!$B$13,DATE(YEAR(EDATE(C285,E285+1)),MONTH(EDATE(C285,E285+1)),参数设置!$B$14),EDATE(C285,参数设置!$B$13))</f>
        <v>47154</v>
      </c>
      <c r="H285">
        <f>G285-F285</f>
        <v>31</v>
      </c>
      <c r="I285" s="21">
        <f>IF(E285=参数设置!$B$13,D285,0)</f>
        <v>0</v>
      </c>
      <c r="J285" s="21">
        <f>IF(M285=1,ROUND(D285*参数设置!$B$11*H285/参数设置!$B$12,参数设置!$B$15),0)</f>
        <v>66.5</v>
      </c>
      <c r="K285" s="21">
        <f>I285+J285</f>
        <v>66.5</v>
      </c>
      <c r="L285" s="25">
        <f>EDATE(C285,参数设置!$B$13)</f>
        <v>47309</v>
      </c>
      <c r="M285">
        <f>--(D285&gt;0)</f>
        <v>1</v>
      </c>
    </row>
    <row r="286" spans="1:13" ht="15" customHeight="1">
      <c r="A286">
        <v>24</v>
      </c>
      <c r="B286">
        <v>24</v>
      </c>
      <c r="C286" s="25">
        <f>EDATE(参数设置!$B$4,A286-1)</f>
        <v>46944</v>
      </c>
      <c r="D286" s="21">
        <f>IF(AND(A286&lt;=参数设置!$B$6,OR(INDEX(月度资金流!$B$7:$B$42,A286)=策略字典!$A$1,INDEX(月度资金流!$B$7:$B$42,A286)=策略字典!$A$2)),参数设置!$B$5,0)</f>
        <v>23400</v>
      </c>
      <c r="E286">
        <v>7</v>
      </c>
      <c r="F286" s="25">
        <f>IF(E286=1,C286,G285)</f>
        <v>47154</v>
      </c>
      <c r="G286" s="25">
        <f>IF(E286&lt;参数设置!$B$13,DATE(YEAR(EDATE(C286,E286+1)),MONTH(EDATE(C286,E286+1)),参数设置!$B$14),EDATE(C286,参数设置!$B$13))</f>
        <v>47182</v>
      </c>
      <c r="H286">
        <f>G286-F286</f>
        <v>28</v>
      </c>
      <c r="I286" s="21">
        <f>IF(E286=参数设置!$B$13,D286,0)</f>
        <v>0</v>
      </c>
      <c r="J286" s="21">
        <f>IF(M286=1,ROUND(D286*参数设置!$B$11*H286/参数设置!$B$12,参数设置!$B$15),0)</f>
        <v>60.06</v>
      </c>
      <c r="K286" s="21">
        <f>I286+J286</f>
        <v>60.06</v>
      </c>
      <c r="L286" s="25">
        <f>EDATE(C286,参数设置!$B$13)</f>
        <v>47309</v>
      </c>
      <c r="M286">
        <f>--(D286&gt;0)</f>
        <v>1</v>
      </c>
    </row>
    <row r="287" spans="1:13" ht="15" customHeight="1">
      <c r="A287">
        <v>24</v>
      </c>
      <c r="B287">
        <v>24</v>
      </c>
      <c r="C287" s="25">
        <f>EDATE(参数设置!$B$4,A287-1)</f>
        <v>46944</v>
      </c>
      <c r="D287" s="21">
        <f>IF(AND(A287&lt;=参数设置!$B$6,OR(INDEX(月度资金流!$B$7:$B$42,A287)=策略字典!$A$1,INDEX(月度资金流!$B$7:$B$42,A287)=策略字典!$A$2)),参数设置!$B$5,0)</f>
        <v>23400</v>
      </c>
      <c r="E287">
        <v>8</v>
      </c>
      <c r="F287" s="25">
        <f>IF(E287=1,C287,G286)</f>
        <v>47182</v>
      </c>
      <c r="G287" s="25">
        <f>IF(E287&lt;参数设置!$B$13,DATE(YEAR(EDATE(C287,E287+1)),MONTH(EDATE(C287,E287+1)),参数设置!$B$14),EDATE(C287,参数设置!$B$13))</f>
        <v>47213</v>
      </c>
      <c r="H287">
        <f>G287-F287</f>
        <v>31</v>
      </c>
      <c r="I287" s="21">
        <f>IF(E287=参数设置!$B$13,D287,0)</f>
        <v>0</v>
      </c>
      <c r="J287" s="21">
        <f>IF(M287=1,ROUND(D287*参数设置!$B$11*H287/参数设置!$B$12,参数设置!$B$15),0)</f>
        <v>66.5</v>
      </c>
      <c r="K287" s="21">
        <f>I287+J287</f>
        <v>66.5</v>
      </c>
      <c r="L287" s="25">
        <f>EDATE(C287,参数设置!$B$13)</f>
        <v>47309</v>
      </c>
      <c r="M287">
        <f>--(D287&gt;0)</f>
        <v>1</v>
      </c>
    </row>
    <row r="288" spans="1:13" ht="15" customHeight="1">
      <c r="A288">
        <v>24</v>
      </c>
      <c r="B288">
        <v>24</v>
      </c>
      <c r="C288" s="25">
        <f>EDATE(参数设置!$B$4,A288-1)</f>
        <v>46944</v>
      </c>
      <c r="D288" s="21">
        <f>IF(AND(A288&lt;=参数设置!$B$6,OR(INDEX(月度资金流!$B$7:$B$42,A288)=策略字典!$A$1,INDEX(月度资金流!$B$7:$B$42,A288)=策略字典!$A$2)),参数设置!$B$5,0)</f>
        <v>23400</v>
      </c>
      <c r="E288">
        <v>9</v>
      </c>
      <c r="F288" s="25">
        <f>IF(E288=1,C288,G287)</f>
        <v>47213</v>
      </c>
      <c r="G288" s="25">
        <f>IF(E288&lt;参数设置!$B$13,DATE(YEAR(EDATE(C288,E288+1)),MONTH(EDATE(C288,E288+1)),参数设置!$B$14),EDATE(C288,参数设置!$B$13))</f>
        <v>47243</v>
      </c>
      <c r="H288">
        <f>G288-F288</f>
        <v>30</v>
      </c>
      <c r="I288" s="21">
        <f>IF(E288=参数设置!$B$13,D288,0)</f>
        <v>0</v>
      </c>
      <c r="J288" s="21">
        <f>IF(M288=1,ROUND(D288*参数设置!$B$11*H288/参数设置!$B$12,参数设置!$B$15),0)</f>
        <v>64.349999999999994</v>
      </c>
      <c r="K288" s="21">
        <f>I288+J288</f>
        <v>64.349999999999994</v>
      </c>
      <c r="L288" s="25">
        <f>EDATE(C288,参数设置!$B$13)</f>
        <v>47309</v>
      </c>
      <c r="M288">
        <f>--(D288&gt;0)</f>
        <v>1</v>
      </c>
    </row>
    <row r="289" spans="1:13" ht="15" customHeight="1">
      <c r="A289">
        <v>24</v>
      </c>
      <c r="B289">
        <v>24</v>
      </c>
      <c r="C289" s="25">
        <f>EDATE(参数设置!$B$4,A289-1)</f>
        <v>46944</v>
      </c>
      <c r="D289" s="21">
        <f>IF(AND(A289&lt;=参数设置!$B$6,OR(INDEX(月度资金流!$B$7:$B$42,A289)=策略字典!$A$1,INDEX(月度资金流!$B$7:$B$42,A289)=策略字典!$A$2)),参数设置!$B$5,0)</f>
        <v>23400</v>
      </c>
      <c r="E289">
        <v>10</v>
      </c>
      <c r="F289" s="25">
        <f>IF(E289=1,C289,G288)</f>
        <v>47243</v>
      </c>
      <c r="G289" s="25">
        <f>IF(E289&lt;参数设置!$B$13,DATE(YEAR(EDATE(C289,E289+1)),MONTH(EDATE(C289,E289+1)),参数设置!$B$14),EDATE(C289,参数设置!$B$13))</f>
        <v>47274</v>
      </c>
      <c r="H289">
        <f>G289-F289</f>
        <v>31</v>
      </c>
      <c r="I289" s="21">
        <f>IF(E289=参数设置!$B$13,D289,0)</f>
        <v>0</v>
      </c>
      <c r="J289" s="21">
        <f>IF(M289=1,ROUND(D289*参数设置!$B$11*H289/参数设置!$B$12,参数设置!$B$15),0)</f>
        <v>66.5</v>
      </c>
      <c r="K289" s="21">
        <f>I289+J289</f>
        <v>66.5</v>
      </c>
      <c r="L289" s="25">
        <f>EDATE(C289,参数设置!$B$13)</f>
        <v>47309</v>
      </c>
      <c r="M289">
        <f>--(D289&gt;0)</f>
        <v>1</v>
      </c>
    </row>
    <row r="290" spans="1:13" ht="15" customHeight="1">
      <c r="A290">
        <v>24</v>
      </c>
      <c r="B290">
        <v>24</v>
      </c>
      <c r="C290" s="25">
        <f>EDATE(参数设置!$B$4,A290-1)</f>
        <v>46944</v>
      </c>
      <c r="D290" s="21">
        <f>IF(AND(A290&lt;=参数设置!$B$6,OR(INDEX(月度资金流!$B$7:$B$42,A290)=策略字典!$A$1,INDEX(月度资金流!$B$7:$B$42,A290)=策略字典!$A$2)),参数设置!$B$5,0)</f>
        <v>23400</v>
      </c>
      <c r="E290">
        <v>11</v>
      </c>
      <c r="F290" s="25">
        <f>IF(E290=1,C290,G289)</f>
        <v>47274</v>
      </c>
      <c r="G290" s="25">
        <f>IF(E290&lt;参数设置!$B$13,DATE(YEAR(EDATE(C290,E290+1)),MONTH(EDATE(C290,E290+1)),参数设置!$B$14),EDATE(C290,参数设置!$B$13))</f>
        <v>47304</v>
      </c>
      <c r="H290">
        <f>G290-F290</f>
        <v>30</v>
      </c>
      <c r="I290" s="21">
        <f>IF(E290=参数设置!$B$13,D290,0)</f>
        <v>0</v>
      </c>
      <c r="J290" s="21">
        <f>IF(M290=1,ROUND(D290*参数设置!$B$11*H290/参数设置!$B$12,参数设置!$B$15),0)</f>
        <v>64.349999999999994</v>
      </c>
      <c r="K290" s="21">
        <f>I290+J290</f>
        <v>64.349999999999994</v>
      </c>
      <c r="L290" s="25">
        <f>EDATE(C290,参数设置!$B$13)</f>
        <v>47309</v>
      </c>
      <c r="M290">
        <f>--(D290&gt;0)</f>
        <v>1</v>
      </c>
    </row>
    <row r="291" spans="1:13" ht="15" customHeight="1">
      <c r="A291">
        <v>24</v>
      </c>
      <c r="B291">
        <v>24</v>
      </c>
      <c r="C291" s="25">
        <f>EDATE(参数设置!$B$4,A291-1)</f>
        <v>46944</v>
      </c>
      <c r="D291" s="21">
        <f>IF(AND(A291&lt;=参数设置!$B$6,OR(INDEX(月度资金流!$B$7:$B$42,A291)=策略字典!$A$1,INDEX(月度资金流!$B$7:$B$42,A291)=策略字典!$A$2)),参数设置!$B$5,0)</f>
        <v>23400</v>
      </c>
      <c r="E291">
        <v>12</v>
      </c>
      <c r="F291" s="25">
        <f>IF(E291=1,C291,G290)</f>
        <v>47304</v>
      </c>
      <c r="G291" s="25">
        <f>IF(E291&lt;参数设置!$B$13,DATE(YEAR(EDATE(C291,E291+1)),MONTH(EDATE(C291,E291+1)),参数设置!$B$14),EDATE(C291,参数设置!$B$13))</f>
        <v>47309</v>
      </c>
      <c r="H291">
        <f>G291-F291</f>
        <v>5</v>
      </c>
      <c r="I291" s="21">
        <f>IF(E291=参数设置!$B$13,D291,0)</f>
        <v>23400</v>
      </c>
      <c r="J291" s="21">
        <f>IF(M291=1,ROUND(D291*参数设置!$B$11*H291/参数设置!$B$12,参数设置!$B$15),0)</f>
        <v>10.73</v>
      </c>
      <c r="K291" s="21">
        <f>I291+J291</f>
        <v>23410.73</v>
      </c>
      <c r="L291" s="25">
        <f>EDATE(C291,参数设置!$B$13)</f>
        <v>47309</v>
      </c>
      <c r="M291">
        <f>--(D291&gt;0)</f>
        <v>1</v>
      </c>
    </row>
    <row r="292" spans="1:13" ht="15" customHeight="1">
      <c r="A292">
        <v>25</v>
      </c>
      <c r="B292">
        <v>25</v>
      </c>
      <c r="C292" s="25">
        <f>EDATE(参数设置!$B$4,A292-1)</f>
        <v>46975</v>
      </c>
      <c r="D292" s="21">
        <f>IF(AND(A292&lt;=参数设置!$B$6,OR(INDEX(月度资金流!$B$7:$B$42,A292)=策略字典!$A$1,INDEX(月度资金流!$B$7:$B$42,A292)=策略字典!$A$2)),参数设置!$B$5,0)</f>
        <v>0</v>
      </c>
      <c r="E292">
        <v>1</v>
      </c>
      <c r="F292" s="25">
        <f>IF(E292=1,C292,G291)</f>
        <v>46975</v>
      </c>
      <c r="G292" s="25">
        <f>IF(E292&lt;参数设置!$B$13,DATE(YEAR(EDATE(C292,E292+1)),MONTH(EDATE(C292,E292+1)),参数设置!$B$14),EDATE(C292,参数设置!$B$13))</f>
        <v>47031</v>
      </c>
      <c r="H292">
        <f>G292-F292</f>
        <v>56</v>
      </c>
      <c r="I292" s="21">
        <f>IF(E292=参数设置!$B$13,D292,0)</f>
        <v>0</v>
      </c>
      <c r="J292" s="21">
        <f>IF(M292=1,ROUND(D292*参数设置!$B$11*H292/参数设置!$B$12,参数设置!$B$15),0)</f>
        <v>0</v>
      </c>
      <c r="K292" s="21">
        <f>I292+J292</f>
        <v>0</v>
      </c>
      <c r="L292" s="25">
        <f>EDATE(C292,参数设置!$B$13)</f>
        <v>47340</v>
      </c>
      <c r="M292">
        <f>--(D292&gt;0)</f>
        <v>0</v>
      </c>
    </row>
    <row r="293" spans="1:13" ht="15" customHeight="1">
      <c r="A293">
        <v>25</v>
      </c>
      <c r="B293">
        <v>25</v>
      </c>
      <c r="C293" s="25">
        <f>EDATE(参数设置!$B$4,A293-1)</f>
        <v>46975</v>
      </c>
      <c r="D293" s="21">
        <f>IF(AND(A293&lt;=参数设置!$B$6,OR(INDEX(月度资金流!$B$7:$B$42,A293)=策略字典!$A$1,INDEX(月度资金流!$B$7:$B$42,A293)=策略字典!$A$2)),参数设置!$B$5,0)</f>
        <v>0</v>
      </c>
      <c r="E293">
        <v>2</v>
      </c>
      <c r="F293" s="25">
        <f>IF(E293=1,C293,G292)</f>
        <v>47031</v>
      </c>
      <c r="G293" s="25">
        <f>IF(E293&lt;参数设置!$B$13,DATE(YEAR(EDATE(C293,E293+1)),MONTH(EDATE(C293,E293+1)),参数设置!$B$14),EDATE(C293,参数设置!$B$13))</f>
        <v>47062</v>
      </c>
      <c r="H293">
        <f>G293-F293</f>
        <v>31</v>
      </c>
      <c r="I293" s="21">
        <f>IF(E293=参数设置!$B$13,D293,0)</f>
        <v>0</v>
      </c>
      <c r="J293" s="21">
        <f>IF(M293=1,ROUND(D293*参数设置!$B$11*H293/参数设置!$B$12,参数设置!$B$15),0)</f>
        <v>0</v>
      </c>
      <c r="K293" s="21">
        <f>I293+J293</f>
        <v>0</v>
      </c>
      <c r="L293" s="25">
        <f>EDATE(C293,参数设置!$B$13)</f>
        <v>47340</v>
      </c>
      <c r="M293">
        <f>--(D293&gt;0)</f>
        <v>0</v>
      </c>
    </row>
    <row r="294" spans="1:13" ht="15" customHeight="1">
      <c r="A294">
        <v>25</v>
      </c>
      <c r="B294">
        <v>25</v>
      </c>
      <c r="C294" s="25">
        <f>EDATE(参数设置!$B$4,A294-1)</f>
        <v>46975</v>
      </c>
      <c r="D294" s="21">
        <f>IF(AND(A294&lt;=参数设置!$B$6,OR(INDEX(月度资金流!$B$7:$B$42,A294)=策略字典!$A$1,INDEX(月度资金流!$B$7:$B$42,A294)=策略字典!$A$2)),参数设置!$B$5,0)</f>
        <v>0</v>
      </c>
      <c r="E294">
        <v>3</v>
      </c>
      <c r="F294" s="25">
        <f>IF(E294=1,C294,G293)</f>
        <v>47062</v>
      </c>
      <c r="G294" s="25">
        <f>IF(E294&lt;参数设置!$B$13,DATE(YEAR(EDATE(C294,E294+1)),MONTH(EDATE(C294,E294+1)),参数设置!$B$14),EDATE(C294,参数设置!$B$13))</f>
        <v>47092</v>
      </c>
      <c r="H294">
        <f>G294-F294</f>
        <v>30</v>
      </c>
      <c r="I294" s="21">
        <f>IF(E294=参数设置!$B$13,D294,0)</f>
        <v>0</v>
      </c>
      <c r="J294" s="21">
        <f>IF(M294=1,ROUND(D294*参数设置!$B$11*H294/参数设置!$B$12,参数设置!$B$15),0)</f>
        <v>0</v>
      </c>
      <c r="K294" s="21">
        <f>I294+J294</f>
        <v>0</v>
      </c>
      <c r="L294" s="25">
        <f>EDATE(C294,参数设置!$B$13)</f>
        <v>47340</v>
      </c>
      <c r="M294">
        <f>--(D294&gt;0)</f>
        <v>0</v>
      </c>
    </row>
    <row r="295" spans="1:13" ht="15" customHeight="1">
      <c r="A295">
        <v>25</v>
      </c>
      <c r="B295">
        <v>25</v>
      </c>
      <c r="C295" s="25">
        <f>EDATE(参数设置!$B$4,A295-1)</f>
        <v>46975</v>
      </c>
      <c r="D295" s="21">
        <f>IF(AND(A295&lt;=参数设置!$B$6,OR(INDEX(月度资金流!$B$7:$B$42,A295)=策略字典!$A$1,INDEX(月度资金流!$B$7:$B$42,A295)=策略字典!$A$2)),参数设置!$B$5,0)</f>
        <v>0</v>
      </c>
      <c r="E295">
        <v>4</v>
      </c>
      <c r="F295" s="25">
        <f>IF(E295=1,C295,G294)</f>
        <v>47092</v>
      </c>
      <c r="G295" s="25">
        <f>IF(E295&lt;参数设置!$B$13,DATE(YEAR(EDATE(C295,E295+1)),MONTH(EDATE(C295,E295+1)),参数设置!$B$14),EDATE(C295,参数设置!$B$13))</f>
        <v>47123</v>
      </c>
      <c r="H295">
        <f>G295-F295</f>
        <v>31</v>
      </c>
      <c r="I295" s="21">
        <f>IF(E295=参数设置!$B$13,D295,0)</f>
        <v>0</v>
      </c>
      <c r="J295" s="21">
        <f>IF(M295=1,ROUND(D295*参数设置!$B$11*H295/参数设置!$B$12,参数设置!$B$15),0)</f>
        <v>0</v>
      </c>
      <c r="K295" s="21">
        <f>I295+J295</f>
        <v>0</v>
      </c>
      <c r="L295" s="25">
        <f>EDATE(C295,参数设置!$B$13)</f>
        <v>47340</v>
      </c>
      <c r="M295">
        <f>--(D295&gt;0)</f>
        <v>0</v>
      </c>
    </row>
    <row r="296" spans="1:13" ht="15" customHeight="1">
      <c r="A296">
        <v>25</v>
      </c>
      <c r="B296">
        <v>25</v>
      </c>
      <c r="C296" s="25">
        <f>EDATE(参数设置!$B$4,A296-1)</f>
        <v>46975</v>
      </c>
      <c r="D296" s="21">
        <f>IF(AND(A296&lt;=参数设置!$B$6,OR(INDEX(月度资金流!$B$7:$B$42,A296)=策略字典!$A$1,INDEX(月度资金流!$B$7:$B$42,A296)=策略字典!$A$2)),参数设置!$B$5,0)</f>
        <v>0</v>
      </c>
      <c r="E296">
        <v>5</v>
      </c>
      <c r="F296" s="25">
        <f>IF(E296=1,C296,G295)</f>
        <v>47123</v>
      </c>
      <c r="G296" s="25">
        <f>IF(E296&lt;参数设置!$B$13,DATE(YEAR(EDATE(C296,E296+1)),MONTH(EDATE(C296,E296+1)),参数设置!$B$14),EDATE(C296,参数设置!$B$13))</f>
        <v>47154</v>
      </c>
      <c r="H296">
        <f>G296-F296</f>
        <v>31</v>
      </c>
      <c r="I296" s="21">
        <f>IF(E296=参数设置!$B$13,D296,0)</f>
        <v>0</v>
      </c>
      <c r="J296" s="21">
        <f>IF(M296=1,ROUND(D296*参数设置!$B$11*H296/参数设置!$B$12,参数设置!$B$15),0)</f>
        <v>0</v>
      </c>
      <c r="K296" s="21">
        <f>I296+J296</f>
        <v>0</v>
      </c>
      <c r="L296" s="25">
        <f>EDATE(C296,参数设置!$B$13)</f>
        <v>47340</v>
      </c>
      <c r="M296">
        <f>--(D296&gt;0)</f>
        <v>0</v>
      </c>
    </row>
    <row r="297" spans="1:13" ht="15" customHeight="1">
      <c r="A297">
        <v>25</v>
      </c>
      <c r="B297">
        <v>25</v>
      </c>
      <c r="C297" s="25">
        <f>EDATE(参数设置!$B$4,A297-1)</f>
        <v>46975</v>
      </c>
      <c r="D297" s="21">
        <f>IF(AND(A297&lt;=参数设置!$B$6,OR(INDEX(月度资金流!$B$7:$B$42,A297)=策略字典!$A$1,INDEX(月度资金流!$B$7:$B$42,A297)=策略字典!$A$2)),参数设置!$B$5,0)</f>
        <v>0</v>
      </c>
      <c r="E297">
        <v>6</v>
      </c>
      <c r="F297" s="25">
        <f>IF(E297=1,C297,G296)</f>
        <v>47154</v>
      </c>
      <c r="G297" s="25">
        <f>IF(E297&lt;参数设置!$B$13,DATE(YEAR(EDATE(C297,E297+1)),MONTH(EDATE(C297,E297+1)),参数设置!$B$14),EDATE(C297,参数设置!$B$13))</f>
        <v>47182</v>
      </c>
      <c r="H297">
        <f>G297-F297</f>
        <v>28</v>
      </c>
      <c r="I297" s="21">
        <f>IF(E297=参数设置!$B$13,D297,0)</f>
        <v>0</v>
      </c>
      <c r="J297" s="21">
        <f>IF(M297=1,ROUND(D297*参数设置!$B$11*H297/参数设置!$B$12,参数设置!$B$15),0)</f>
        <v>0</v>
      </c>
      <c r="K297" s="21">
        <f>I297+J297</f>
        <v>0</v>
      </c>
      <c r="L297" s="25">
        <f>EDATE(C297,参数设置!$B$13)</f>
        <v>47340</v>
      </c>
      <c r="M297">
        <f>--(D297&gt;0)</f>
        <v>0</v>
      </c>
    </row>
    <row r="298" spans="1:13" ht="15" customHeight="1">
      <c r="A298">
        <v>25</v>
      </c>
      <c r="B298">
        <v>25</v>
      </c>
      <c r="C298" s="25">
        <f>EDATE(参数设置!$B$4,A298-1)</f>
        <v>46975</v>
      </c>
      <c r="D298" s="21">
        <f>IF(AND(A298&lt;=参数设置!$B$6,OR(INDEX(月度资金流!$B$7:$B$42,A298)=策略字典!$A$1,INDEX(月度资金流!$B$7:$B$42,A298)=策略字典!$A$2)),参数设置!$B$5,0)</f>
        <v>0</v>
      </c>
      <c r="E298">
        <v>7</v>
      </c>
      <c r="F298" s="25">
        <f>IF(E298=1,C298,G297)</f>
        <v>47182</v>
      </c>
      <c r="G298" s="25">
        <f>IF(E298&lt;参数设置!$B$13,DATE(YEAR(EDATE(C298,E298+1)),MONTH(EDATE(C298,E298+1)),参数设置!$B$14),EDATE(C298,参数设置!$B$13))</f>
        <v>47213</v>
      </c>
      <c r="H298">
        <f>G298-F298</f>
        <v>31</v>
      </c>
      <c r="I298" s="21">
        <f>IF(E298=参数设置!$B$13,D298,0)</f>
        <v>0</v>
      </c>
      <c r="J298" s="21">
        <f>IF(M298=1,ROUND(D298*参数设置!$B$11*H298/参数设置!$B$12,参数设置!$B$15),0)</f>
        <v>0</v>
      </c>
      <c r="K298" s="21">
        <f>I298+J298</f>
        <v>0</v>
      </c>
      <c r="L298" s="25">
        <f>EDATE(C298,参数设置!$B$13)</f>
        <v>47340</v>
      </c>
      <c r="M298">
        <f>--(D298&gt;0)</f>
        <v>0</v>
      </c>
    </row>
    <row r="299" spans="1:13" ht="15" customHeight="1">
      <c r="A299">
        <v>25</v>
      </c>
      <c r="B299">
        <v>25</v>
      </c>
      <c r="C299" s="25">
        <f>EDATE(参数设置!$B$4,A299-1)</f>
        <v>46975</v>
      </c>
      <c r="D299" s="21">
        <f>IF(AND(A299&lt;=参数设置!$B$6,OR(INDEX(月度资金流!$B$7:$B$42,A299)=策略字典!$A$1,INDEX(月度资金流!$B$7:$B$42,A299)=策略字典!$A$2)),参数设置!$B$5,0)</f>
        <v>0</v>
      </c>
      <c r="E299">
        <v>8</v>
      </c>
      <c r="F299" s="25">
        <f>IF(E299=1,C299,G298)</f>
        <v>47213</v>
      </c>
      <c r="G299" s="25">
        <f>IF(E299&lt;参数设置!$B$13,DATE(YEAR(EDATE(C299,E299+1)),MONTH(EDATE(C299,E299+1)),参数设置!$B$14),EDATE(C299,参数设置!$B$13))</f>
        <v>47243</v>
      </c>
      <c r="H299">
        <f>G299-F299</f>
        <v>30</v>
      </c>
      <c r="I299" s="21">
        <f>IF(E299=参数设置!$B$13,D299,0)</f>
        <v>0</v>
      </c>
      <c r="J299" s="21">
        <f>IF(M299=1,ROUND(D299*参数设置!$B$11*H299/参数设置!$B$12,参数设置!$B$15),0)</f>
        <v>0</v>
      </c>
      <c r="K299" s="21">
        <f>I299+J299</f>
        <v>0</v>
      </c>
      <c r="L299" s="25">
        <f>EDATE(C299,参数设置!$B$13)</f>
        <v>47340</v>
      </c>
      <c r="M299">
        <f>--(D299&gt;0)</f>
        <v>0</v>
      </c>
    </row>
    <row r="300" spans="1:13" ht="15" customHeight="1">
      <c r="A300">
        <v>25</v>
      </c>
      <c r="B300">
        <v>25</v>
      </c>
      <c r="C300" s="25">
        <f>EDATE(参数设置!$B$4,A300-1)</f>
        <v>46975</v>
      </c>
      <c r="D300" s="21">
        <f>IF(AND(A300&lt;=参数设置!$B$6,OR(INDEX(月度资金流!$B$7:$B$42,A300)=策略字典!$A$1,INDEX(月度资金流!$B$7:$B$42,A300)=策略字典!$A$2)),参数设置!$B$5,0)</f>
        <v>0</v>
      </c>
      <c r="E300">
        <v>9</v>
      </c>
      <c r="F300" s="25">
        <f>IF(E300=1,C300,G299)</f>
        <v>47243</v>
      </c>
      <c r="G300" s="25">
        <f>IF(E300&lt;参数设置!$B$13,DATE(YEAR(EDATE(C300,E300+1)),MONTH(EDATE(C300,E300+1)),参数设置!$B$14),EDATE(C300,参数设置!$B$13))</f>
        <v>47274</v>
      </c>
      <c r="H300">
        <f>G300-F300</f>
        <v>31</v>
      </c>
      <c r="I300" s="21">
        <f>IF(E300=参数设置!$B$13,D300,0)</f>
        <v>0</v>
      </c>
      <c r="J300" s="21">
        <f>IF(M300=1,ROUND(D300*参数设置!$B$11*H300/参数设置!$B$12,参数设置!$B$15),0)</f>
        <v>0</v>
      </c>
      <c r="K300" s="21">
        <f>I300+J300</f>
        <v>0</v>
      </c>
      <c r="L300" s="25">
        <f>EDATE(C300,参数设置!$B$13)</f>
        <v>47340</v>
      </c>
      <c r="M300">
        <f>--(D300&gt;0)</f>
        <v>0</v>
      </c>
    </row>
    <row r="301" spans="1:13" ht="15" customHeight="1">
      <c r="A301">
        <v>25</v>
      </c>
      <c r="B301">
        <v>25</v>
      </c>
      <c r="C301" s="25">
        <f>EDATE(参数设置!$B$4,A301-1)</f>
        <v>46975</v>
      </c>
      <c r="D301" s="21">
        <f>IF(AND(A301&lt;=参数设置!$B$6,OR(INDEX(月度资金流!$B$7:$B$42,A301)=策略字典!$A$1,INDEX(月度资金流!$B$7:$B$42,A301)=策略字典!$A$2)),参数设置!$B$5,0)</f>
        <v>0</v>
      </c>
      <c r="E301">
        <v>10</v>
      </c>
      <c r="F301" s="25">
        <f>IF(E301=1,C301,G300)</f>
        <v>47274</v>
      </c>
      <c r="G301" s="25">
        <f>IF(E301&lt;参数设置!$B$13,DATE(YEAR(EDATE(C301,E301+1)),MONTH(EDATE(C301,E301+1)),参数设置!$B$14),EDATE(C301,参数设置!$B$13))</f>
        <v>47304</v>
      </c>
      <c r="H301">
        <f>G301-F301</f>
        <v>30</v>
      </c>
      <c r="I301" s="21">
        <f>IF(E301=参数设置!$B$13,D301,0)</f>
        <v>0</v>
      </c>
      <c r="J301" s="21">
        <f>IF(M301=1,ROUND(D301*参数设置!$B$11*H301/参数设置!$B$12,参数设置!$B$15),0)</f>
        <v>0</v>
      </c>
      <c r="K301" s="21">
        <f>I301+J301</f>
        <v>0</v>
      </c>
      <c r="L301" s="25">
        <f>EDATE(C301,参数设置!$B$13)</f>
        <v>47340</v>
      </c>
      <c r="M301">
        <f>--(D301&gt;0)</f>
        <v>0</v>
      </c>
    </row>
    <row r="302" spans="1:13" ht="15" customHeight="1">
      <c r="A302">
        <v>25</v>
      </c>
      <c r="B302">
        <v>25</v>
      </c>
      <c r="C302" s="25">
        <f>EDATE(参数设置!$B$4,A302-1)</f>
        <v>46975</v>
      </c>
      <c r="D302" s="21">
        <f>IF(AND(A302&lt;=参数设置!$B$6,OR(INDEX(月度资金流!$B$7:$B$42,A302)=策略字典!$A$1,INDEX(月度资金流!$B$7:$B$42,A302)=策略字典!$A$2)),参数设置!$B$5,0)</f>
        <v>0</v>
      </c>
      <c r="E302">
        <v>11</v>
      </c>
      <c r="F302" s="25">
        <f>IF(E302=1,C302,G301)</f>
        <v>47304</v>
      </c>
      <c r="G302" s="25">
        <f>IF(E302&lt;参数设置!$B$13,DATE(YEAR(EDATE(C302,E302+1)),MONTH(EDATE(C302,E302+1)),参数设置!$B$14),EDATE(C302,参数设置!$B$13))</f>
        <v>47335</v>
      </c>
      <c r="H302">
        <f>G302-F302</f>
        <v>31</v>
      </c>
      <c r="I302" s="21">
        <f>IF(E302=参数设置!$B$13,D302,0)</f>
        <v>0</v>
      </c>
      <c r="J302" s="21">
        <f>IF(M302=1,ROUND(D302*参数设置!$B$11*H302/参数设置!$B$12,参数设置!$B$15),0)</f>
        <v>0</v>
      </c>
      <c r="K302" s="21">
        <f>I302+J302</f>
        <v>0</v>
      </c>
      <c r="L302" s="25">
        <f>EDATE(C302,参数设置!$B$13)</f>
        <v>47340</v>
      </c>
      <c r="M302">
        <f>--(D302&gt;0)</f>
        <v>0</v>
      </c>
    </row>
    <row r="303" spans="1:13" ht="15" customHeight="1">
      <c r="A303">
        <v>25</v>
      </c>
      <c r="B303">
        <v>25</v>
      </c>
      <c r="C303" s="25">
        <f>EDATE(参数设置!$B$4,A303-1)</f>
        <v>46975</v>
      </c>
      <c r="D303" s="21">
        <f>IF(AND(A303&lt;=参数设置!$B$6,OR(INDEX(月度资金流!$B$7:$B$42,A303)=策略字典!$A$1,INDEX(月度资金流!$B$7:$B$42,A303)=策略字典!$A$2)),参数设置!$B$5,0)</f>
        <v>0</v>
      </c>
      <c r="E303">
        <v>12</v>
      </c>
      <c r="F303" s="25">
        <f>IF(E303=1,C303,G302)</f>
        <v>47335</v>
      </c>
      <c r="G303" s="25">
        <f>IF(E303&lt;参数设置!$B$13,DATE(YEAR(EDATE(C303,E303+1)),MONTH(EDATE(C303,E303+1)),参数设置!$B$14),EDATE(C303,参数设置!$B$13))</f>
        <v>47340</v>
      </c>
      <c r="H303">
        <f>G303-F303</f>
        <v>5</v>
      </c>
      <c r="I303" s="21">
        <f>IF(E303=参数设置!$B$13,D303,0)</f>
        <v>0</v>
      </c>
      <c r="J303" s="21">
        <f>IF(M303=1,ROUND(D303*参数设置!$B$11*H303/参数设置!$B$12,参数设置!$B$15),0)</f>
        <v>0</v>
      </c>
      <c r="K303" s="21">
        <f>I303+J303</f>
        <v>0</v>
      </c>
      <c r="L303" s="25">
        <f>EDATE(C303,参数设置!$B$13)</f>
        <v>47340</v>
      </c>
      <c r="M303">
        <f>--(D303&gt;0)</f>
        <v>0</v>
      </c>
    </row>
    <row r="304" spans="1:13" ht="15" customHeight="1">
      <c r="A304">
        <v>26</v>
      </c>
      <c r="B304">
        <v>26</v>
      </c>
      <c r="C304" s="25">
        <f>EDATE(参数设置!$B$4,A304-1)</f>
        <v>47006</v>
      </c>
      <c r="D304" s="21">
        <f>IF(AND(A304&lt;=参数设置!$B$6,OR(INDEX(月度资金流!$B$7:$B$42,A304)=策略字典!$A$1,INDEX(月度资金流!$B$7:$B$42,A304)=策略字典!$A$2)),参数设置!$B$5,0)</f>
        <v>0</v>
      </c>
      <c r="E304">
        <v>1</v>
      </c>
      <c r="F304" s="25">
        <f>IF(E304=1,C304,G303)</f>
        <v>47006</v>
      </c>
      <c r="G304" s="25">
        <f>IF(E304&lt;参数设置!$B$13,DATE(YEAR(EDATE(C304,E304+1)),MONTH(EDATE(C304,E304+1)),参数设置!$B$14),EDATE(C304,参数设置!$B$13))</f>
        <v>47062</v>
      </c>
      <c r="H304">
        <f>G304-F304</f>
        <v>56</v>
      </c>
      <c r="I304" s="21">
        <f>IF(E304=参数设置!$B$13,D304,0)</f>
        <v>0</v>
      </c>
      <c r="J304" s="21">
        <f>IF(M304=1,ROUND(D304*参数设置!$B$11*H304/参数设置!$B$12,参数设置!$B$15),0)</f>
        <v>0</v>
      </c>
      <c r="K304" s="21">
        <f>I304+J304</f>
        <v>0</v>
      </c>
      <c r="L304" s="25">
        <f>EDATE(C304,参数设置!$B$13)</f>
        <v>47371</v>
      </c>
      <c r="M304">
        <f>--(D304&gt;0)</f>
        <v>0</v>
      </c>
    </row>
    <row r="305" spans="1:13" ht="15" customHeight="1">
      <c r="A305">
        <v>26</v>
      </c>
      <c r="B305">
        <v>26</v>
      </c>
      <c r="C305" s="25">
        <f>EDATE(参数设置!$B$4,A305-1)</f>
        <v>47006</v>
      </c>
      <c r="D305" s="21">
        <f>IF(AND(A305&lt;=参数设置!$B$6,OR(INDEX(月度资金流!$B$7:$B$42,A305)=策略字典!$A$1,INDEX(月度资金流!$B$7:$B$42,A305)=策略字典!$A$2)),参数设置!$B$5,0)</f>
        <v>0</v>
      </c>
      <c r="E305">
        <v>2</v>
      </c>
      <c r="F305" s="25">
        <f>IF(E305=1,C305,G304)</f>
        <v>47062</v>
      </c>
      <c r="G305" s="25">
        <f>IF(E305&lt;参数设置!$B$13,DATE(YEAR(EDATE(C305,E305+1)),MONTH(EDATE(C305,E305+1)),参数设置!$B$14),EDATE(C305,参数设置!$B$13))</f>
        <v>47092</v>
      </c>
      <c r="H305">
        <f>G305-F305</f>
        <v>30</v>
      </c>
      <c r="I305" s="21">
        <f>IF(E305=参数设置!$B$13,D305,0)</f>
        <v>0</v>
      </c>
      <c r="J305" s="21">
        <f>IF(M305=1,ROUND(D305*参数设置!$B$11*H305/参数设置!$B$12,参数设置!$B$15),0)</f>
        <v>0</v>
      </c>
      <c r="K305" s="21">
        <f>I305+J305</f>
        <v>0</v>
      </c>
      <c r="L305" s="25">
        <f>EDATE(C305,参数设置!$B$13)</f>
        <v>47371</v>
      </c>
      <c r="M305">
        <f>--(D305&gt;0)</f>
        <v>0</v>
      </c>
    </row>
    <row r="306" spans="1:13" ht="15" customHeight="1">
      <c r="A306">
        <v>26</v>
      </c>
      <c r="B306">
        <v>26</v>
      </c>
      <c r="C306" s="25">
        <f>EDATE(参数设置!$B$4,A306-1)</f>
        <v>47006</v>
      </c>
      <c r="D306" s="21">
        <f>IF(AND(A306&lt;=参数设置!$B$6,OR(INDEX(月度资金流!$B$7:$B$42,A306)=策略字典!$A$1,INDEX(月度资金流!$B$7:$B$42,A306)=策略字典!$A$2)),参数设置!$B$5,0)</f>
        <v>0</v>
      </c>
      <c r="E306">
        <v>3</v>
      </c>
      <c r="F306" s="25">
        <f>IF(E306=1,C306,G305)</f>
        <v>47092</v>
      </c>
      <c r="G306" s="25">
        <f>IF(E306&lt;参数设置!$B$13,DATE(YEAR(EDATE(C306,E306+1)),MONTH(EDATE(C306,E306+1)),参数设置!$B$14),EDATE(C306,参数设置!$B$13))</f>
        <v>47123</v>
      </c>
      <c r="H306">
        <f>G306-F306</f>
        <v>31</v>
      </c>
      <c r="I306" s="21">
        <f>IF(E306=参数设置!$B$13,D306,0)</f>
        <v>0</v>
      </c>
      <c r="J306" s="21">
        <f>IF(M306=1,ROUND(D306*参数设置!$B$11*H306/参数设置!$B$12,参数设置!$B$15),0)</f>
        <v>0</v>
      </c>
      <c r="K306" s="21">
        <f>I306+J306</f>
        <v>0</v>
      </c>
      <c r="L306" s="25">
        <f>EDATE(C306,参数设置!$B$13)</f>
        <v>47371</v>
      </c>
      <c r="M306">
        <f>--(D306&gt;0)</f>
        <v>0</v>
      </c>
    </row>
    <row r="307" spans="1:13" ht="15" customHeight="1">
      <c r="A307">
        <v>26</v>
      </c>
      <c r="B307">
        <v>26</v>
      </c>
      <c r="C307" s="25">
        <f>EDATE(参数设置!$B$4,A307-1)</f>
        <v>47006</v>
      </c>
      <c r="D307" s="21">
        <f>IF(AND(A307&lt;=参数设置!$B$6,OR(INDEX(月度资金流!$B$7:$B$42,A307)=策略字典!$A$1,INDEX(月度资金流!$B$7:$B$42,A307)=策略字典!$A$2)),参数设置!$B$5,0)</f>
        <v>0</v>
      </c>
      <c r="E307">
        <v>4</v>
      </c>
      <c r="F307" s="25">
        <f>IF(E307=1,C307,G306)</f>
        <v>47123</v>
      </c>
      <c r="G307" s="25">
        <f>IF(E307&lt;参数设置!$B$13,DATE(YEAR(EDATE(C307,E307+1)),MONTH(EDATE(C307,E307+1)),参数设置!$B$14),EDATE(C307,参数设置!$B$13))</f>
        <v>47154</v>
      </c>
      <c r="H307">
        <f>G307-F307</f>
        <v>31</v>
      </c>
      <c r="I307" s="21">
        <f>IF(E307=参数设置!$B$13,D307,0)</f>
        <v>0</v>
      </c>
      <c r="J307" s="21">
        <f>IF(M307=1,ROUND(D307*参数设置!$B$11*H307/参数设置!$B$12,参数设置!$B$15),0)</f>
        <v>0</v>
      </c>
      <c r="K307" s="21">
        <f>I307+J307</f>
        <v>0</v>
      </c>
      <c r="L307" s="25">
        <f>EDATE(C307,参数设置!$B$13)</f>
        <v>47371</v>
      </c>
      <c r="M307">
        <f>--(D307&gt;0)</f>
        <v>0</v>
      </c>
    </row>
    <row r="308" spans="1:13" ht="15" customHeight="1">
      <c r="A308">
        <v>26</v>
      </c>
      <c r="B308">
        <v>26</v>
      </c>
      <c r="C308" s="25">
        <f>EDATE(参数设置!$B$4,A308-1)</f>
        <v>47006</v>
      </c>
      <c r="D308" s="21">
        <f>IF(AND(A308&lt;=参数设置!$B$6,OR(INDEX(月度资金流!$B$7:$B$42,A308)=策略字典!$A$1,INDEX(月度资金流!$B$7:$B$42,A308)=策略字典!$A$2)),参数设置!$B$5,0)</f>
        <v>0</v>
      </c>
      <c r="E308">
        <v>5</v>
      </c>
      <c r="F308" s="25">
        <f>IF(E308=1,C308,G307)</f>
        <v>47154</v>
      </c>
      <c r="G308" s="25">
        <f>IF(E308&lt;参数设置!$B$13,DATE(YEAR(EDATE(C308,E308+1)),MONTH(EDATE(C308,E308+1)),参数设置!$B$14),EDATE(C308,参数设置!$B$13))</f>
        <v>47182</v>
      </c>
      <c r="H308">
        <f>G308-F308</f>
        <v>28</v>
      </c>
      <c r="I308" s="21">
        <f>IF(E308=参数设置!$B$13,D308,0)</f>
        <v>0</v>
      </c>
      <c r="J308" s="21">
        <f>IF(M308=1,ROUND(D308*参数设置!$B$11*H308/参数设置!$B$12,参数设置!$B$15),0)</f>
        <v>0</v>
      </c>
      <c r="K308" s="21">
        <f>I308+J308</f>
        <v>0</v>
      </c>
      <c r="L308" s="25">
        <f>EDATE(C308,参数设置!$B$13)</f>
        <v>47371</v>
      </c>
      <c r="M308">
        <f>--(D308&gt;0)</f>
        <v>0</v>
      </c>
    </row>
    <row r="309" spans="1:13" ht="15" customHeight="1">
      <c r="A309">
        <v>26</v>
      </c>
      <c r="B309">
        <v>26</v>
      </c>
      <c r="C309" s="25">
        <f>EDATE(参数设置!$B$4,A309-1)</f>
        <v>47006</v>
      </c>
      <c r="D309" s="21">
        <f>IF(AND(A309&lt;=参数设置!$B$6,OR(INDEX(月度资金流!$B$7:$B$42,A309)=策略字典!$A$1,INDEX(月度资金流!$B$7:$B$42,A309)=策略字典!$A$2)),参数设置!$B$5,0)</f>
        <v>0</v>
      </c>
      <c r="E309">
        <v>6</v>
      </c>
      <c r="F309" s="25">
        <f>IF(E309=1,C309,G308)</f>
        <v>47182</v>
      </c>
      <c r="G309" s="25">
        <f>IF(E309&lt;参数设置!$B$13,DATE(YEAR(EDATE(C309,E309+1)),MONTH(EDATE(C309,E309+1)),参数设置!$B$14),EDATE(C309,参数设置!$B$13))</f>
        <v>47213</v>
      </c>
      <c r="H309">
        <f>G309-F309</f>
        <v>31</v>
      </c>
      <c r="I309" s="21">
        <f>IF(E309=参数设置!$B$13,D309,0)</f>
        <v>0</v>
      </c>
      <c r="J309" s="21">
        <f>IF(M309=1,ROUND(D309*参数设置!$B$11*H309/参数设置!$B$12,参数设置!$B$15),0)</f>
        <v>0</v>
      </c>
      <c r="K309" s="21">
        <f>I309+J309</f>
        <v>0</v>
      </c>
      <c r="L309" s="25">
        <f>EDATE(C309,参数设置!$B$13)</f>
        <v>47371</v>
      </c>
      <c r="M309">
        <f>--(D309&gt;0)</f>
        <v>0</v>
      </c>
    </row>
    <row r="310" spans="1:13" ht="15" customHeight="1">
      <c r="A310">
        <v>26</v>
      </c>
      <c r="B310">
        <v>26</v>
      </c>
      <c r="C310" s="25">
        <f>EDATE(参数设置!$B$4,A310-1)</f>
        <v>47006</v>
      </c>
      <c r="D310" s="21">
        <f>IF(AND(A310&lt;=参数设置!$B$6,OR(INDEX(月度资金流!$B$7:$B$42,A310)=策略字典!$A$1,INDEX(月度资金流!$B$7:$B$42,A310)=策略字典!$A$2)),参数设置!$B$5,0)</f>
        <v>0</v>
      </c>
      <c r="E310">
        <v>7</v>
      </c>
      <c r="F310" s="25">
        <f>IF(E310=1,C310,G309)</f>
        <v>47213</v>
      </c>
      <c r="G310" s="25">
        <f>IF(E310&lt;参数设置!$B$13,DATE(YEAR(EDATE(C310,E310+1)),MONTH(EDATE(C310,E310+1)),参数设置!$B$14),EDATE(C310,参数设置!$B$13))</f>
        <v>47243</v>
      </c>
      <c r="H310">
        <f>G310-F310</f>
        <v>30</v>
      </c>
      <c r="I310" s="21">
        <f>IF(E310=参数设置!$B$13,D310,0)</f>
        <v>0</v>
      </c>
      <c r="J310" s="21">
        <f>IF(M310=1,ROUND(D310*参数设置!$B$11*H310/参数设置!$B$12,参数设置!$B$15),0)</f>
        <v>0</v>
      </c>
      <c r="K310" s="21">
        <f>I310+J310</f>
        <v>0</v>
      </c>
      <c r="L310" s="25">
        <f>EDATE(C310,参数设置!$B$13)</f>
        <v>47371</v>
      </c>
      <c r="M310">
        <f>--(D310&gt;0)</f>
        <v>0</v>
      </c>
    </row>
    <row r="311" spans="1:13" ht="15" customHeight="1">
      <c r="A311">
        <v>26</v>
      </c>
      <c r="B311">
        <v>26</v>
      </c>
      <c r="C311" s="25">
        <f>EDATE(参数设置!$B$4,A311-1)</f>
        <v>47006</v>
      </c>
      <c r="D311" s="21">
        <f>IF(AND(A311&lt;=参数设置!$B$6,OR(INDEX(月度资金流!$B$7:$B$42,A311)=策略字典!$A$1,INDEX(月度资金流!$B$7:$B$42,A311)=策略字典!$A$2)),参数设置!$B$5,0)</f>
        <v>0</v>
      </c>
      <c r="E311">
        <v>8</v>
      </c>
      <c r="F311" s="25">
        <f>IF(E311=1,C311,G310)</f>
        <v>47243</v>
      </c>
      <c r="G311" s="25">
        <f>IF(E311&lt;参数设置!$B$13,DATE(YEAR(EDATE(C311,E311+1)),MONTH(EDATE(C311,E311+1)),参数设置!$B$14),EDATE(C311,参数设置!$B$13))</f>
        <v>47274</v>
      </c>
      <c r="H311">
        <f>G311-F311</f>
        <v>31</v>
      </c>
      <c r="I311" s="21">
        <f>IF(E311=参数设置!$B$13,D311,0)</f>
        <v>0</v>
      </c>
      <c r="J311" s="21">
        <f>IF(M311=1,ROUND(D311*参数设置!$B$11*H311/参数设置!$B$12,参数设置!$B$15),0)</f>
        <v>0</v>
      </c>
      <c r="K311" s="21">
        <f>I311+J311</f>
        <v>0</v>
      </c>
      <c r="L311" s="25">
        <f>EDATE(C311,参数设置!$B$13)</f>
        <v>47371</v>
      </c>
      <c r="M311">
        <f>--(D311&gt;0)</f>
        <v>0</v>
      </c>
    </row>
    <row r="312" spans="1:13" ht="15" customHeight="1">
      <c r="A312">
        <v>26</v>
      </c>
      <c r="B312">
        <v>26</v>
      </c>
      <c r="C312" s="25">
        <f>EDATE(参数设置!$B$4,A312-1)</f>
        <v>47006</v>
      </c>
      <c r="D312" s="21">
        <f>IF(AND(A312&lt;=参数设置!$B$6,OR(INDEX(月度资金流!$B$7:$B$42,A312)=策略字典!$A$1,INDEX(月度资金流!$B$7:$B$42,A312)=策略字典!$A$2)),参数设置!$B$5,0)</f>
        <v>0</v>
      </c>
      <c r="E312">
        <v>9</v>
      </c>
      <c r="F312" s="25">
        <f>IF(E312=1,C312,G311)</f>
        <v>47274</v>
      </c>
      <c r="G312" s="25">
        <f>IF(E312&lt;参数设置!$B$13,DATE(YEAR(EDATE(C312,E312+1)),MONTH(EDATE(C312,E312+1)),参数设置!$B$14),EDATE(C312,参数设置!$B$13))</f>
        <v>47304</v>
      </c>
      <c r="H312">
        <f>G312-F312</f>
        <v>30</v>
      </c>
      <c r="I312" s="21">
        <f>IF(E312=参数设置!$B$13,D312,0)</f>
        <v>0</v>
      </c>
      <c r="J312" s="21">
        <f>IF(M312=1,ROUND(D312*参数设置!$B$11*H312/参数设置!$B$12,参数设置!$B$15),0)</f>
        <v>0</v>
      </c>
      <c r="K312" s="21">
        <f>I312+J312</f>
        <v>0</v>
      </c>
      <c r="L312" s="25">
        <f>EDATE(C312,参数设置!$B$13)</f>
        <v>47371</v>
      </c>
      <c r="M312">
        <f>--(D312&gt;0)</f>
        <v>0</v>
      </c>
    </row>
    <row r="313" spans="1:13" ht="15" customHeight="1">
      <c r="A313">
        <v>26</v>
      </c>
      <c r="B313">
        <v>26</v>
      </c>
      <c r="C313" s="25">
        <f>EDATE(参数设置!$B$4,A313-1)</f>
        <v>47006</v>
      </c>
      <c r="D313" s="21">
        <f>IF(AND(A313&lt;=参数设置!$B$6,OR(INDEX(月度资金流!$B$7:$B$42,A313)=策略字典!$A$1,INDEX(月度资金流!$B$7:$B$42,A313)=策略字典!$A$2)),参数设置!$B$5,0)</f>
        <v>0</v>
      </c>
      <c r="E313">
        <v>10</v>
      </c>
      <c r="F313" s="25">
        <f>IF(E313=1,C313,G312)</f>
        <v>47304</v>
      </c>
      <c r="G313" s="25">
        <f>IF(E313&lt;参数设置!$B$13,DATE(YEAR(EDATE(C313,E313+1)),MONTH(EDATE(C313,E313+1)),参数设置!$B$14),EDATE(C313,参数设置!$B$13))</f>
        <v>47335</v>
      </c>
      <c r="H313">
        <f>G313-F313</f>
        <v>31</v>
      </c>
      <c r="I313" s="21">
        <f>IF(E313=参数设置!$B$13,D313,0)</f>
        <v>0</v>
      </c>
      <c r="J313" s="21">
        <f>IF(M313=1,ROUND(D313*参数设置!$B$11*H313/参数设置!$B$12,参数设置!$B$15),0)</f>
        <v>0</v>
      </c>
      <c r="K313" s="21">
        <f>I313+J313</f>
        <v>0</v>
      </c>
      <c r="L313" s="25">
        <f>EDATE(C313,参数设置!$B$13)</f>
        <v>47371</v>
      </c>
      <c r="M313">
        <f>--(D313&gt;0)</f>
        <v>0</v>
      </c>
    </row>
    <row r="314" spans="1:13" ht="15" customHeight="1">
      <c r="A314">
        <v>26</v>
      </c>
      <c r="B314">
        <v>26</v>
      </c>
      <c r="C314" s="25">
        <f>EDATE(参数设置!$B$4,A314-1)</f>
        <v>47006</v>
      </c>
      <c r="D314" s="21">
        <f>IF(AND(A314&lt;=参数设置!$B$6,OR(INDEX(月度资金流!$B$7:$B$42,A314)=策略字典!$A$1,INDEX(月度资金流!$B$7:$B$42,A314)=策略字典!$A$2)),参数设置!$B$5,0)</f>
        <v>0</v>
      </c>
      <c r="E314">
        <v>11</v>
      </c>
      <c r="F314" s="25">
        <f>IF(E314=1,C314,G313)</f>
        <v>47335</v>
      </c>
      <c r="G314" s="25">
        <f>IF(E314&lt;参数设置!$B$13,DATE(YEAR(EDATE(C314,E314+1)),MONTH(EDATE(C314,E314+1)),参数设置!$B$14),EDATE(C314,参数设置!$B$13))</f>
        <v>47366</v>
      </c>
      <c r="H314">
        <f>G314-F314</f>
        <v>31</v>
      </c>
      <c r="I314" s="21">
        <f>IF(E314=参数设置!$B$13,D314,0)</f>
        <v>0</v>
      </c>
      <c r="J314" s="21">
        <f>IF(M314=1,ROUND(D314*参数设置!$B$11*H314/参数设置!$B$12,参数设置!$B$15),0)</f>
        <v>0</v>
      </c>
      <c r="K314" s="21">
        <f>I314+J314</f>
        <v>0</v>
      </c>
      <c r="L314" s="25">
        <f>EDATE(C314,参数设置!$B$13)</f>
        <v>47371</v>
      </c>
      <c r="M314">
        <f>--(D314&gt;0)</f>
        <v>0</v>
      </c>
    </row>
    <row r="315" spans="1:13" ht="15" customHeight="1">
      <c r="A315">
        <v>26</v>
      </c>
      <c r="B315">
        <v>26</v>
      </c>
      <c r="C315" s="25">
        <f>EDATE(参数设置!$B$4,A315-1)</f>
        <v>47006</v>
      </c>
      <c r="D315" s="21">
        <f>IF(AND(A315&lt;=参数设置!$B$6,OR(INDEX(月度资金流!$B$7:$B$42,A315)=策略字典!$A$1,INDEX(月度资金流!$B$7:$B$42,A315)=策略字典!$A$2)),参数设置!$B$5,0)</f>
        <v>0</v>
      </c>
      <c r="E315">
        <v>12</v>
      </c>
      <c r="F315" s="25">
        <f>IF(E315=1,C315,G314)</f>
        <v>47366</v>
      </c>
      <c r="G315" s="25">
        <f>IF(E315&lt;参数设置!$B$13,DATE(YEAR(EDATE(C315,E315+1)),MONTH(EDATE(C315,E315+1)),参数设置!$B$14),EDATE(C315,参数设置!$B$13))</f>
        <v>47371</v>
      </c>
      <c r="H315">
        <f>G315-F315</f>
        <v>5</v>
      </c>
      <c r="I315" s="21">
        <f>IF(E315=参数设置!$B$13,D315,0)</f>
        <v>0</v>
      </c>
      <c r="J315" s="21">
        <f>IF(M315=1,ROUND(D315*参数设置!$B$11*H315/参数设置!$B$12,参数设置!$B$15),0)</f>
        <v>0</v>
      </c>
      <c r="K315" s="21">
        <f>I315+J315</f>
        <v>0</v>
      </c>
      <c r="L315" s="25">
        <f>EDATE(C315,参数设置!$B$13)</f>
        <v>47371</v>
      </c>
      <c r="M315">
        <f>--(D315&gt;0)</f>
        <v>0</v>
      </c>
    </row>
    <row r="316" spans="1:13" ht="15" customHeight="1">
      <c r="A316">
        <v>27</v>
      </c>
      <c r="B316">
        <v>27</v>
      </c>
      <c r="C316" s="25">
        <f>EDATE(参数设置!$B$4,A316-1)</f>
        <v>47036</v>
      </c>
      <c r="D316" s="21">
        <f>IF(AND(A316&lt;=参数设置!$B$6,OR(INDEX(月度资金流!$B$7:$B$42,A316)=策略字典!$A$1,INDEX(月度资金流!$B$7:$B$42,A316)=策略字典!$A$2)),参数设置!$B$5,0)</f>
        <v>0</v>
      </c>
      <c r="E316">
        <v>1</v>
      </c>
      <c r="F316" s="25">
        <f>IF(E316=1,C316,G315)</f>
        <v>47036</v>
      </c>
      <c r="G316" s="25">
        <f>IF(E316&lt;参数设置!$B$13,DATE(YEAR(EDATE(C316,E316+1)),MONTH(EDATE(C316,E316+1)),参数设置!$B$14),EDATE(C316,参数设置!$B$13))</f>
        <v>47092</v>
      </c>
      <c r="H316">
        <f>G316-F316</f>
        <v>56</v>
      </c>
      <c r="I316" s="21">
        <f>IF(E316=参数设置!$B$13,D316,0)</f>
        <v>0</v>
      </c>
      <c r="J316" s="21">
        <f>IF(M316=1,ROUND(D316*参数设置!$B$11*H316/参数设置!$B$12,参数设置!$B$15),0)</f>
        <v>0</v>
      </c>
      <c r="K316" s="21">
        <f>I316+J316</f>
        <v>0</v>
      </c>
      <c r="L316" s="25">
        <f>EDATE(C316,参数设置!$B$13)</f>
        <v>47401</v>
      </c>
      <c r="M316">
        <f>--(D316&gt;0)</f>
        <v>0</v>
      </c>
    </row>
    <row r="317" spans="1:13" ht="15" customHeight="1">
      <c r="A317">
        <v>27</v>
      </c>
      <c r="B317">
        <v>27</v>
      </c>
      <c r="C317" s="25">
        <f>EDATE(参数设置!$B$4,A317-1)</f>
        <v>47036</v>
      </c>
      <c r="D317" s="21">
        <f>IF(AND(A317&lt;=参数设置!$B$6,OR(INDEX(月度资金流!$B$7:$B$42,A317)=策略字典!$A$1,INDEX(月度资金流!$B$7:$B$42,A317)=策略字典!$A$2)),参数设置!$B$5,0)</f>
        <v>0</v>
      </c>
      <c r="E317">
        <v>2</v>
      </c>
      <c r="F317" s="25">
        <f>IF(E317=1,C317,G316)</f>
        <v>47092</v>
      </c>
      <c r="G317" s="25">
        <f>IF(E317&lt;参数设置!$B$13,DATE(YEAR(EDATE(C317,E317+1)),MONTH(EDATE(C317,E317+1)),参数设置!$B$14),EDATE(C317,参数设置!$B$13))</f>
        <v>47123</v>
      </c>
      <c r="H317">
        <f>G317-F317</f>
        <v>31</v>
      </c>
      <c r="I317" s="21">
        <f>IF(E317=参数设置!$B$13,D317,0)</f>
        <v>0</v>
      </c>
      <c r="J317" s="21">
        <f>IF(M317=1,ROUND(D317*参数设置!$B$11*H317/参数设置!$B$12,参数设置!$B$15),0)</f>
        <v>0</v>
      </c>
      <c r="K317" s="21">
        <f>I317+J317</f>
        <v>0</v>
      </c>
      <c r="L317" s="25">
        <f>EDATE(C317,参数设置!$B$13)</f>
        <v>47401</v>
      </c>
      <c r="M317">
        <f>--(D317&gt;0)</f>
        <v>0</v>
      </c>
    </row>
    <row r="318" spans="1:13" ht="15" customHeight="1">
      <c r="A318">
        <v>27</v>
      </c>
      <c r="B318">
        <v>27</v>
      </c>
      <c r="C318" s="25">
        <f>EDATE(参数设置!$B$4,A318-1)</f>
        <v>47036</v>
      </c>
      <c r="D318" s="21">
        <f>IF(AND(A318&lt;=参数设置!$B$6,OR(INDEX(月度资金流!$B$7:$B$42,A318)=策略字典!$A$1,INDEX(月度资金流!$B$7:$B$42,A318)=策略字典!$A$2)),参数设置!$B$5,0)</f>
        <v>0</v>
      </c>
      <c r="E318">
        <v>3</v>
      </c>
      <c r="F318" s="25">
        <f>IF(E318=1,C318,G317)</f>
        <v>47123</v>
      </c>
      <c r="G318" s="25">
        <f>IF(E318&lt;参数设置!$B$13,DATE(YEAR(EDATE(C318,E318+1)),MONTH(EDATE(C318,E318+1)),参数设置!$B$14),EDATE(C318,参数设置!$B$13))</f>
        <v>47154</v>
      </c>
      <c r="H318">
        <f>G318-F318</f>
        <v>31</v>
      </c>
      <c r="I318" s="21">
        <f>IF(E318=参数设置!$B$13,D318,0)</f>
        <v>0</v>
      </c>
      <c r="J318" s="21">
        <f>IF(M318=1,ROUND(D318*参数设置!$B$11*H318/参数设置!$B$12,参数设置!$B$15),0)</f>
        <v>0</v>
      </c>
      <c r="K318" s="21">
        <f>I318+J318</f>
        <v>0</v>
      </c>
      <c r="L318" s="25">
        <f>EDATE(C318,参数设置!$B$13)</f>
        <v>47401</v>
      </c>
      <c r="M318">
        <f>--(D318&gt;0)</f>
        <v>0</v>
      </c>
    </row>
    <row r="319" spans="1:13" ht="15" customHeight="1">
      <c r="A319">
        <v>27</v>
      </c>
      <c r="B319">
        <v>27</v>
      </c>
      <c r="C319" s="25">
        <f>EDATE(参数设置!$B$4,A319-1)</f>
        <v>47036</v>
      </c>
      <c r="D319" s="21">
        <f>IF(AND(A319&lt;=参数设置!$B$6,OR(INDEX(月度资金流!$B$7:$B$42,A319)=策略字典!$A$1,INDEX(月度资金流!$B$7:$B$42,A319)=策略字典!$A$2)),参数设置!$B$5,0)</f>
        <v>0</v>
      </c>
      <c r="E319">
        <v>4</v>
      </c>
      <c r="F319" s="25">
        <f>IF(E319=1,C319,G318)</f>
        <v>47154</v>
      </c>
      <c r="G319" s="25">
        <f>IF(E319&lt;参数设置!$B$13,DATE(YEAR(EDATE(C319,E319+1)),MONTH(EDATE(C319,E319+1)),参数设置!$B$14),EDATE(C319,参数设置!$B$13))</f>
        <v>47182</v>
      </c>
      <c r="H319">
        <f>G319-F319</f>
        <v>28</v>
      </c>
      <c r="I319" s="21">
        <f>IF(E319=参数设置!$B$13,D319,0)</f>
        <v>0</v>
      </c>
      <c r="J319" s="21">
        <f>IF(M319=1,ROUND(D319*参数设置!$B$11*H319/参数设置!$B$12,参数设置!$B$15),0)</f>
        <v>0</v>
      </c>
      <c r="K319" s="21">
        <f>I319+J319</f>
        <v>0</v>
      </c>
      <c r="L319" s="25">
        <f>EDATE(C319,参数设置!$B$13)</f>
        <v>47401</v>
      </c>
      <c r="M319">
        <f>--(D319&gt;0)</f>
        <v>0</v>
      </c>
    </row>
    <row r="320" spans="1:13" ht="15" customHeight="1">
      <c r="A320">
        <v>27</v>
      </c>
      <c r="B320">
        <v>27</v>
      </c>
      <c r="C320" s="25">
        <f>EDATE(参数设置!$B$4,A320-1)</f>
        <v>47036</v>
      </c>
      <c r="D320" s="21">
        <f>IF(AND(A320&lt;=参数设置!$B$6,OR(INDEX(月度资金流!$B$7:$B$42,A320)=策略字典!$A$1,INDEX(月度资金流!$B$7:$B$42,A320)=策略字典!$A$2)),参数设置!$B$5,0)</f>
        <v>0</v>
      </c>
      <c r="E320">
        <v>5</v>
      </c>
      <c r="F320" s="25">
        <f>IF(E320=1,C320,G319)</f>
        <v>47182</v>
      </c>
      <c r="G320" s="25">
        <f>IF(E320&lt;参数设置!$B$13,DATE(YEAR(EDATE(C320,E320+1)),MONTH(EDATE(C320,E320+1)),参数设置!$B$14),EDATE(C320,参数设置!$B$13))</f>
        <v>47213</v>
      </c>
      <c r="H320">
        <f>G320-F320</f>
        <v>31</v>
      </c>
      <c r="I320" s="21">
        <f>IF(E320=参数设置!$B$13,D320,0)</f>
        <v>0</v>
      </c>
      <c r="J320" s="21">
        <f>IF(M320=1,ROUND(D320*参数设置!$B$11*H320/参数设置!$B$12,参数设置!$B$15),0)</f>
        <v>0</v>
      </c>
      <c r="K320" s="21">
        <f>I320+J320</f>
        <v>0</v>
      </c>
      <c r="L320" s="25">
        <f>EDATE(C320,参数设置!$B$13)</f>
        <v>47401</v>
      </c>
      <c r="M320">
        <f>--(D320&gt;0)</f>
        <v>0</v>
      </c>
    </row>
    <row r="321" spans="1:13" ht="15" customHeight="1">
      <c r="A321">
        <v>27</v>
      </c>
      <c r="B321">
        <v>27</v>
      </c>
      <c r="C321" s="25">
        <f>EDATE(参数设置!$B$4,A321-1)</f>
        <v>47036</v>
      </c>
      <c r="D321" s="21">
        <f>IF(AND(A321&lt;=参数设置!$B$6,OR(INDEX(月度资金流!$B$7:$B$42,A321)=策略字典!$A$1,INDEX(月度资金流!$B$7:$B$42,A321)=策略字典!$A$2)),参数设置!$B$5,0)</f>
        <v>0</v>
      </c>
      <c r="E321">
        <v>6</v>
      </c>
      <c r="F321" s="25">
        <f>IF(E321=1,C321,G320)</f>
        <v>47213</v>
      </c>
      <c r="G321" s="25">
        <f>IF(E321&lt;参数设置!$B$13,DATE(YEAR(EDATE(C321,E321+1)),MONTH(EDATE(C321,E321+1)),参数设置!$B$14),EDATE(C321,参数设置!$B$13))</f>
        <v>47243</v>
      </c>
      <c r="H321">
        <f>G321-F321</f>
        <v>30</v>
      </c>
      <c r="I321" s="21">
        <f>IF(E321=参数设置!$B$13,D321,0)</f>
        <v>0</v>
      </c>
      <c r="J321" s="21">
        <f>IF(M321=1,ROUND(D321*参数设置!$B$11*H321/参数设置!$B$12,参数设置!$B$15),0)</f>
        <v>0</v>
      </c>
      <c r="K321" s="21">
        <f>I321+J321</f>
        <v>0</v>
      </c>
      <c r="L321" s="25">
        <f>EDATE(C321,参数设置!$B$13)</f>
        <v>47401</v>
      </c>
      <c r="M321">
        <f>--(D321&gt;0)</f>
        <v>0</v>
      </c>
    </row>
    <row r="322" spans="1:13" ht="15" customHeight="1">
      <c r="A322">
        <v>27</v>
      </c>
      <c r="B322">
        <v>27</v>
      </c>
      <c r="C322" s="25">
        <f>EDATE(参数设置!$B$4,A322-1)</f>
        <v>47036</v>
      </c>
      <c r="D322" s="21">
        <f>IF(AND(A322&lt;=参数设置!$B$6,OR(INDEX(月度资金流!$B$7:$B$42,A322)=策略字典!$A$1,INDEX(月度资金流!$B$7:$B$42,A322)=策略字典!$A$2)),参数设置!$B$5,0)</f>
        <v>0</v>
      </c>
      <c r="E322">
        <v>7</v>
      </c>
      <c r="F322" s="25">
        <f>IF(E322=1,C322,G321)</f>
        <v>47243</v>
      </c>
      <c r="G322" s="25">
        <f>IF(E322&lt;参数设置!$B$13,DATE(YEAR(EDATE(C322,E322+1)),MONTH(EDATE(C322,E322+1)),参数设置!$B$14),EDATE(C322,参数设置!$B$13))</f>
        <v>47274</v>
      </c>
      <c r="H322">
        <f>G322-F322</f>
        <v>31</v>
      </c>
      <c r="I322" s="21">
        <f>IF(E322=参数设置!$B$13,D322,0)</f>
        <v>0</v>
      </c>
      <c r="J322" s="21">
        <f>IF(M322=1,ROUND(D322*参数设置!$B$11*H322/参数设置!$B$12,参数设置!$B$15),0)</f>
        <v>0</v>
      </c>
      <c r="K322" s="21">
        <f>I322+J322</f>
        <v>0</v>
      </c>
      <c r="L322" s="25">
        <f>EDATE(C322,参数设置!$B$13)</f>
        <v>47401</v>
      </c>
      <c r="M322">
        <f>--(D322&gt;0)</f>
        <v>0</v>
      </c>
    </row>
    <row r="323" spans="1:13" ht="15" customHeight="1">
      <c r="A323">
        <v>27</v>
      </c>
      <c r="B323">
        <v>27</v>
      </c>
      <c r="C323" s="25">
        <f>EDATE(参数设置!$B$4,A323-1)</f>
        <v>47036</v>
      </c>
      <c r="D323" s="21">
        <f>IF(AND(A323&lt;=参数设置!$B$6,OR(INDEX(月度资金流!$B$7:$B$42,A323)=策略字典!$A$1,INDEX(月度资金流!$B$7:$B$42,A323)=策略字典!$A$2)),参数设置!$B$5,0)</f>
        <v>0</v>
      </c>
      <c r="E323">
        <v>8</v>
      </c>
      <c r="F323" s="25">
        <f>IF(E323=1,C323,G322)</f>
        <v>47274</v>
      </c>
      <c r="G323" s="25">
        <f>IF(E323&lt;参数设置!$B$13,DATE(YEAR(EDATE(C323,E323+1)),MONTH(EDATE(C323,E323+1)),参数设置!$B$14),EDATE(C323,参数设置!$B$13))</f>
        <v>47304</v>
      </c>
      <c r="H323">
        <f>G323-F323</f>
        <v>30</v>
      </c>
      <c r="I323" s="21">
        <f>IF(E323=参数设置!$B$13,D323,0)</f>
        <v>0</v>
      </c>
      <c r="J323" s="21">
        <f>IF(M323=1,ROUND(D323*参数设置!$B$11*H323/参数设置!$B$12,参数设置!$B$15),0)</f>
        <v>0</v>
      </c>
      <c r="K323" s="21">
        <f>I323+J323</f>
        <v>0</v>
      </c>
      <c r="L323" s="25">
        <f>EDATE(C323,参数设置!$B$13)</f>
        <v>47401</v>
      </c>
      <c r="M323">
        <f>--(D323&gt;0)</f>
        <v>0</v>
      </c>
    </row>
    <row r="324" spans="1:13" ht="15" customHeight="1">
      <c r="A324">
        <v>27</v>
      </c>
      <c r="B324">
        <v>27</v>
      </c>
      <c r="C324" s="25">
        <f>EDATE(参数设置!$B$4,A324-1)</f>
        <v>47036</v>
      </c>
      <c r="D324" s="21">
        <f>IF(AND(A324&lt;=参数设置!$B$6,OR(INDEX(月度资金流!$B$7:$B$42,A324)=策略字典!$A$1,INDEX(月度资金流!$B$7:$B$42,A324)=策略字典!$A$2)),参数设置!$B$5,0)</f>
        <v>0</v>
      </c>
      <c r="E324">
        <v>9</v>
      </c>
      <c r="F324" s="25">
        <f>IF(E324=1,C324,G323)</f>
        <v>47304</v>
      </c>
      <c r="G324" s="25">
        <f>IF(E324&lt;参数设置!$B$13,DATE(YEAR(EDATE(C324,E324+1)),MONTH(EDATE(C324,E324+1)),参数设置!$B$14),EDATE(C324,参数设置!$B$13))</f>
        <v>47335</v>
      </c>
      <c r="H324">
        <f>G324-F324</f>
        <v>31</v>
      </c>
      <c r="I324" s="21">
        <f>IF(E324=参数设置!$B$13,D324,0)</f>
        <v>0</v>
      </c>
      <c r="J324" s="21">
        <f>IF(M324=1,ROUND(D324*参数设置!$B$11*H324/参数设置!$B$12,参数设置!$B$15),0)</f>
        <v>0</v>
      </c>
      <c r="K324" s="21">
        <f>I324+J324</f>
        <v>0</v>
      </c>
      <c r="L324" s="25">
        <f>EDATE(C324,参数设置!$B$13)</f>
        <v>47401</v>
      </c>
      <c r="M324">
        <f>--(D324&gt;0)</f>
        <v>0</v>
      </c>
    </row>
    <row r="325" spans="1:13" ht="15" customHeight="1">
      <c r="A325">
        <v>27</v>
      </c>
      <c r="B325">
        <v>27</v>
      </c>
      <c r="C325" s="25">
        <f>EDATE(参数设置!$B$4,A325-1)</f>
        <v>47036</v>
      </c>
      <c r="D325" s="21">
        <f>IF(AND(A325&lt;=参数设置!$B$6,OR(INDEX(月度资金流!$B$7:$B$42,A325)=策略字典!$A$1,INDEX(月度资金流!$B$7:$B$42,A325)=策略字典!$A$2)),参数设置!$B$5,0)</f>
        <v>0</v>
      </c>
      <c r="E325">
        <v>10</v>
      </c>
      <c r="F325" s="25">
        <f>IF(E325=1,C325,G324)</f>
        <v>47335</v>
      </c>
      <c r="G325" s="25">
        <f>IF(E325&lt;参数设置!$B$13,DATE(YEAR(EDATE(C325,E325+1)),MONTH(EDATE(C325,E325+1)),参数设置!$B$14),EDATE(C325,参数设置!$B$13))</f>
        <v>47366</v>
      </c>
      <c r="H325">
        <f>G325-F325</f>
        <v>31</v>
      </c>
      <c r="I325" s="21">
        <f>IF(E325=参数设置!$B$13,D325,0)</f>
        <v>0</v>
      </c>
      <c r="J325" s="21">
        <f>IF(M325=1,ROUND(D325*参数设置!$B$11*H325/参数设置!$B$12,参数设置!$B$15),0)</f>
        <v>0</v>
      </c>
      <c r="K325" s="21">
        <f>I325+J325</f>
        <v>0</v>
      </c>
      <c r="L325" s="25">
        <f>EDATE(C325,参数设置!$B$13)</f>
        <v>47401</v>
      </c>
      <c r="M325">
        <f>--(D325&gt;0)</f>
        <v>0</v>
      </c>
    </row>
    <row r="326" spans="1:13" ht="15" customHeight="1">
      <c r="A326">
        <v>27</v>
      </c>
      <c r="B326">
        <v>27</v>
      </c>
      <c r="C326" s="25">
        <f>EDATE(参数设置!$B$4,A326-1)</f>
        <v>47036</v>
      </c>
      <c r="D326" s="21">
        <f>IF(AND(A326&lt;=参数设置!$B$6,OR(INDEX(月度资金流!$B$7:$B$42,A326)=策略字典!$A$1,INDEX(月度资金流!$B$7:$B$42,A326)=策略字典!$A$2)),参数设置!$B$5,0)</f>
        <v>0</v>
      </c>
      <c r="E326">
        <v>11</v>
      </c>
      <c r="F326" s="25">
        <f>IF(E326=1,C326,G325)</f>
        <v>47366</v>
      </c>
      <c r="G326" s="25">
        <f>IF(E326&lt;参数设置!$B$13,DATE(YEAR(EDATE(C326,E326+1)),MONTH(EDATE(C326,E326+1)),参数设置!$B$14),EDATE(C326,参数设置!$B$13))</f>
        <v>47396</v>
      </c>
      <c r="H326">
        <f>G326-F326</f>
        <v>30</v>
      </c>
      <c r="I326" s="21">
        <f>IF(E326=参数设置!$B$13,D326,0)</f>
        <v>0</v>
      </c>
      <c r="J326" s="21">
        <f>IF(M326=1,ROUND(D326*参数设置!$B$11*H326/参数设置!$B$12,参数设置!$B$15),0)</f>
        <v>0</v>
      </c>
      <c r="K326" s="21">
        <f>I326+J326</f>
        <v>0</v>
      </c>
      <c r="L326" s="25">
        <f>EDATE(C326,参数设置!$B$13)</f>
        <v>47401</v>
      </c>
      <c r="M326">
        <f>--(D326&gt;0)</f>
        <v>0</v>
      </c>
    </row>
    <row r="327" spans="1:13" ht="15" customHeight="1">
      <c r="A327">
        <v>27</v>
      </c>
      <c r="B327">
        <v>27</v>
      </c>
      <c r="C327" s="25">
        <f>EDATE(参数设置!$B$4,A327-1)</f>
        <v>47036</v>
      </c>
      <c r="D327" s="21">
        <f>IF(AND(A327&lt;=参数设置!$B$6,OR(INDEX(月度资金流!$B$7:$B$42,A327)=策略字典!$A$1,INDEX(月度资金流!$B$7:$B$42,A327)=策略字典!$A$2)),参数设置!$B$5,0)</f>
        <v>0</v>
      </c>
      <c r="E327">
        <v>12</v>
      </c>
      <c r="F327" s="25">
        <f>IF(E327=1,C327,G326)</f>
        <v>47396</v>
      </c>
      <c r="G327" s="25">
        <f>IF(E327&lt;参数设置!$B$13,DATE(YEAR(EDATE(C327,E327+1)),MONTH(EDATE(C327,E327+1)),参数设置!$B$14),EDATE(C327,参数设置!$B$13))</f>
        <v>47401</v>
      </c>
      <c r="H327">
        <f>G327-F327</f>
        <v>5</v>
      </c>
      <c r="I327" s="21">
        <f>IF(E327=参数设置!$B$13,D327,0)</f>
        <v>0</v>
      </c>
      <c r="J327" s="21">
        <f>IF(M327=1,ROUND(D327*参数设置!$B$11*H327/参数设置!$B$12,参数设置!$B$15),0)</f>
        <v>0</v>
      </c>
      <c r="K327" s="21">
        <f>I327+J327</f>
        <v>0</v>
      </c>
      <c r="L327" s="25">
        <f>EDATE(C327,参数设置!$B$13)</f>
        <v>47401</v>
      </c>
      <c r="M327">
        <f>--(D327&gt;0)</f>
        <v>0</v>
      </c>
    </row>
    <row r="328" spans="1:13" ht="15" customHeight="1">
      <c r="A328">
        <v>28</v>
      </c>
      <c r="B328">
        <v>28</v>
      </c>
      <c r="C328" s="25">
        <f>EDATE(参数设置!$B$4,A328-1)</f>
        <v>47067</v>
      </c>
      <c r="D328" s="21">
        <f>IF(AND(A328&lt;=参数设置!$B$6,OR(INDEX(月度资金流!$B$7:$B$42,A328)=策略字典!$A$1,INDEX(月度资金流!$B$7:$B$42,A328)=策略字典!$A$2)),参数设置!$B$5,0)</f>
        <v>0</v>
      </c>
      <c r="E328">
        <v>1</v>
      </c>
      <c r="F328" s="25">
        <f>IF(E328=1,C328,G327)</f>
        <v>47067</v>
      </c>
      <c r="G328" s="25">
        <f>IF(E328&lt;参数设置!$B$13,DATE(YEAR(EDATE(C328,E328+1)),MONTH(EDATE(C328,E328+1)),参数设置!$B$14),EDATE(C328,参数设置!$B$13))</f>
        <v>47123</v>
      </c>
      <c r="H328">
        <f>G328-F328</f>
        <v>56</v>
      </c>
      <c r="I328" s="21">
        <f>IF(E328=参数设置!$B$13,D328,0)</f>
        <v>0</v>
      </c>
      <c r="J328" s="21">
        <f>IF(M328=1,ROUND(D328*参数设置!$B$11*H328/参数设置!$B$12,参数设置!$B$15),0)</f>
        <v>0</v>
      </c>
      <c r="K328" s="21">
        <f>I328+J328</f>
        <v>0</v>
      </c>
      <c r="L328" s="25">
        <f>EDATE(C328,参数设置!$B$13)</f>
        <v>47432</v>
      </c>
      <c r="M328">
        <f>--(D328&gt;0)</f>
        <v>0</v>
      </c>
    </row>
    <row r="329" spans="1:13" ht="15" customHeight="1">
      <c r="A329">
        <v>28</v>
      </c>
      <c r="B329">
        <v>28</v>
      </c>
      <c r="C329" s="25">
        <f>EDATE(参数设置!$B$4,A329-1)</f>
        <v>47067</v>
      </c>
      <c r="D329" s="21">
        <f>IF(AND(A329&lt;=参数设置!$B$6,OR(INDEX(月度资金流!$B$7:$B$42,A329)=策略字典!$A$1,INDEX(月度资金流!$B$7:$B$42,A329)=策略字典!$A$2)),参数设置!$B$5,0)</f>
        <v>0</v>
      </c>
      <c r="E329">
        <v>2</v>
      </c>
      <c r="F329" s="25">
        <f>IF(E329=1,C329,G328)</f>
        <v>47123</v>
      </c>
      <c r="G329" s="25">
        <f>IF(E329&lt;参数设置!$B$13,DATE(YEAR(EDATE(C329,E329+1)),MONTH(EDATE(C329,E329+1)),参数设置!$B$14),EDATE(C329,参数设置!$B$13))</f>
        <v>47154</v>
      </c>
      <c r="H329">
        <f>G329-F329</f>
        <v>31</v>
      </c>
      <c r="I329" s="21">
        <f>IF(E329=参数设置!$B$13,D329,0)</f>
        <v>0</v>
      </c>
      <c r="J329" s="21">
        <f>IF(M329=1,ROUND(D329*参数设置!$B$11*H329/参数设置!$B$12,参数设置!$B$15),0)</f>
        <v>0</v>
      </c>
      <c r="K329" s="21">
        <f>I329+J329</f>
        <v>0</v>
      </c>
      <c r="L329" s="25">
        <f>EDATE(C329,参数设置!$B$13)</f>
        <v>47432</v>
      </c>
      <c r="M329">
        <f>--(D329&gt;0)</f>
        <v>0</v>
      </c>
    </row>
    <row r="330" spans="1:13" ht="15" customHeight="1">
      <c r="A330">
        <v>28</v>
      </c>
      <c r="B330">
        <v>28</v>
      </c>
      <c r="C330" s="25">
        <f>EDATE(参数设置!$B$4,A330-1)</f>
        <v>47067</v>
      </c>
      <c r="D330" s="21">
        <f>IF(AND(A330&lt;=参数设置!$B$6,OR(INDEX(月度资金流!$B$7:$B$42,A330)=策略字典!$A$1,INDEX(月度资金流!$B$7:$B$42,A330)=策略字典!$A$2)),参数设置!$B$5,0)</f>
        <v>0</v>
      </c>
      <c r="E330">
        <v>3</v>
      </c>
      <c r="F330" s="25">
        <f>IF(E330=1,C330,G329)</f>
        <v>47154</v>
      </c>
      <c r="G330" s="25">
        <f>IF(E330&lt;参数设置!$B$13,DATE(YEAR(EDATE(C330,E330+1)),MONTH(EDATE(C330,E330+1)),参数设置!$B$14),EDATE(C330,参数设置!$B$13))</f>
        <v>47182</v>
      </c>
      <c r="H330">
        <f>G330-F330</f>
        <v>28</v>
      </c>
      <c r="I330" s="21">
        <f>IF(E330=参数设置!$B$13,D330,0)</f>
        <v>0</v>
      </c>
      <c r="J330" s="21">
        <f>IF(M330=1,ROUND(D330*参数设置!$B$11*H330/参数设置!$B$12,参数设置!$B$15),0)</f>
        <v>0</v>
      </c>
      <c r="K330" s="21">
        <f>I330+J330</f>
        <v>0</v>
      </c>
      <c r="L330" s="25">
        <f>EDATE(C330,参数设置!$B$13)</f>
        <v>47432</v>
      </c>
      <c r="M330">
        <f>--(D330&gt;0)</f>
        <v>0</v>
      </c>
    </row>
    <row r="331" spans="1:13" ht="15" customHeight="1">
      <c r="A331">
        <v>28</v>
      </c>
      <c r="B331">
        <v>28</v>
      </c>
      <c r="C331" s="25">
        <f>EDATE(参数设置!$B$4,A331-1)</f>
        <v>47067</v>
      </c>
      <c r="D331" s="21">
        <f>IF(AND(A331&lt;=参数设置!$B$6,OR(INDEX(月度资金流!$B$7:$B$42,A331)=策略字典!$A$1,INDEX(月度资金流!$B$7:$B$42,A331)=策略字典!$A$2)),参数设置!$B$5,0)</f>
        <v>0</v>
      </c>
      <c r="E331">
        <v>4</v>
      </c>
      <c r="F331" s="25">
        <f>IF(E331=1,C331,G330)</f>
        <v>47182</v>
      </c>
      <c r="G331" s="25">
        <f>IF(E331&lt;参数设置!$B$13,DATE(YEAR(EDATE(C331,E331+1)),MONTH(EDATE(C331,E331+1)),参数设置!$B$14),EDATE(C331,参数设置!$B$13))</f>
        <v>47213</v>
      </c>
      <c r="H331">
        <f>G331-F331</f>
        <v>31</v>
      </c>
      <c r="I331" s="21">
        <f>IF(E331=参数设置!$B$13,D331,0)</f>
        <v>0</v>
      </c>
      <c r="J331" s="21">
        <f>IF(M331=1,ROUND(D331*参数设置!$B$11*H331/参数设置!$B$12,参数设置!$B$15),0)</f>
        <v>0</v>
      </c>
      <c r="K331" s="21">
        <f>I331+J331</f>
        <v>0</v>
      </c>
      <c r="L331" s="25">
        <f>EDATE(C331,参数设置!$B$13)</f>
        <v>47432</v>
      </c>
      <c r="M331">
        <f>--(D331&gt;0)</f>
        <v>0</v>
      </c>
    </row>
    <row r="332" spans="1:13" ht="15" customHeight="1">
      <c r="A332">
        <v>28</v>
      </c>
      <c r="B332">
        <v>28</v>
      </c>
      <c r="C332" s="25">
        <f>EDATE(参数设置!$B$4,A332-1)</f>
        <v>47067</v>
      </c>
      <c r="D332" s="21">
        <f>IF(AND(A332&lt;=参数设置!$B$6,OR(INDEX(月度资金流!$B$7:$B$42,A332)=策略字典!$A$1,INDEX(月度资金流!$B$7:$B$42,A332)=策略字典!$A$2)),参数设置!$B$5,0)</f>
        <v>0</v>
      </c>
      <c r="E332">
        <v>5</v>
      </c>
      <c r="F332" s="25">
        <f>IF(E332=1,C332,G331)</f>
        <v>47213</v>
      </c>
      <c r="G332" s="25">
        <f>IF(E332&lt;参数设置!$B$13,DATE(YEAR(EDATE(C332,E332+1)),MONTH(EDATE(C332,E332+1)),参数设置!$B$14),EDATE(C332,参数设置!$B$13))</f>
        <v>47243</v>
      </c>
      <c r="H332">
        <f>G332-F332</f>
        <v>30</v>
      </c>
      <c r="I332" s="21">
        <f>IF(E332=参数设置!$B$13,D332,0)</f>
        <v>0</v>
      </c>
      <c r="J332" s="21">
        <f>IF(M332=1,ROUND(D332*参数设置!$B$11*H332/参数设置!$B$12,参数设置!$B$15),0)</f>
        <v>0</v>
      </c>
      <c r="K332" s="21">
        <f>I332+J332</f>
        <v>0</v>
      </c>
      <c r="L332" s="25">
        <f>EDATE(C332,参数设置!$B$13)</f>
        <v>47432</v>
      </c>
      <c r="M332">
        <f>--(D332&gt;0)</f>
        <v>0</v>
      </c>
    </row>
    <row r="333" spans="1:13" ht="15" customHeight="1">
      <c r="A333">
        <v>28</v>
      </c>
      <c r="B333">
        <v>28</v>
      </c>
      <c r="C333" s="25">
        <f>EDATE(参数设置!$B$4,A333-1)</f>
        <v>47067</v>
      </c>
      <c r="D333" s="21">
        <f>IF(AND(A333&lt;=参数设置!$B$6,OR(INDEX(月度资金流!$B$7:$B$42,A333)=策略字典!$A$1,INDEX(月度资金流!$B$7:$B$42,A333)=策略字典!$A$2)),参数设置!$B$5,0)</f>
        <v>0</v>
      </c>
      <c r="E333">
        <v>6</v>
      </c>
      <c r="F333" s="25">
        <f>IF(E333=1,C333,G332)</f>
        <v>47243</v>
      </c>
      <c r="G333" s="25">
        <f>IF(E333&lt;参数设置!$B$13,DATE(YEAR(EDATE(C333,E333+1)),MONTH(EDATE(C333,E333+1)),参数设置!$B$14),EDATE(C333,参数设置!$B$13))</f>
        <v>47274</v>
      </c>
      <c r="H333">
        <f>G333-F333</f>
        <v>31</v>
      </c>
      <c r="I333" s="21">
        <f>IF(E333=参数设置!$B$13,D333,0)</f>
        <v>0</v>
      </c>
      <c r="J333" s="21">
        <f>IF(M333=1,ROUND(D333*参数设置!$B$11*H333/参数设置!$B$12,参数设置!$B$15),0)</f>
        <v>0</v>
      </c>
      <c r="K333" s="21">
        <f>I333+J333</f>
        <v>0</v>
      </c>
      <c r="L333" s="25">
        <f>EDATE(C333,参数设置!$B$13)</f>
        <v>47432</v>
      </c>
      <c r="M333">
        <f>--(D333&gt;0)</f>
        <v>0</v>
      </c>
    </row>
    <row r="334" spans="1:13" ht="15" customHeight="1">
      <c r="A334">
        <v>28</v>
      </c>
      <c r="B334">
        <v>28</v>
      </c>
      <c r="C334" s="25">
        <f>EDATE(参数设置!$B$4,A334-1)</f>
        <v>47067</v>
      </c>
      <c r="D334" s="21">
        <f>IF(AND(A334&lt;=参数设置!$B$6,OR(INDEX(月度资金流!$B$7:$B$42,A334)=策略字典!$A$1,INDEX(月度资金流!$B$7:$B$42,A334)=策略字典!$A$2)),参数设置!$B$5,0)</f>
        <v>0</v>
      </c>
      <c r="E334">
        <v>7</v>
      </c>
      <c r="F334" s="25">
        <f>IF(E334=1,C334,G333)</f>
        <v>47274</v>
      </c>
      <c r="G334" s="25">
        <f>IF(E334&lt;参数设置!$B$13,DATE(YEAR(EDATE(C334,E334+1)),MONTH(EDATE(C334,E334+1)),参数设置!$B$14),EDATE(C334,参数设置!$B$13))</f>
        <v>47304</v>
      </c>
      <c r="H334">
        <f>G334-F334</f>
        <v>30</v>
      </c>
      <c r="I334" s="21">
        <f>IF(E334=参数设置!$B$13,D334,0)</f>
        <v>0</v>
      </c>
      <c r="J334" s="21">
        <f>IF(M334=1,ROUND(D334*参数设置!$B$11*H334/参数设置!$B$12,参数设置!$B$15),0)</f>
        <v>0</v>
      </c>
      <c r="K334" s="21">
        <f>I334+J334</f>
        <v>0</v>
      </c>
      <c r="L334" s="25">
        <f>EDATE(C334,参数设置!$B$13)</f>
        <v>47432</v>
      </c>
      <c r="M334">
        <f>--(D334&gt;0)</f>
        <v>0</v>
      </c>
    </row>
    <row r="335" spans="1:13" ht="15" customHeight="1">
      <c r="A335">
        <v>28</v>
      </c>
      <c r="B335">
        <v>28</v>
      </c>
      <c r="C335" s="25">
        <f>EDATE(参数设置!$B$4,A335-1)</f>
        <v>47067</v>
      </c>
      <c r="D335" s="21">
        <f>IF(AND(A335&lt;=参数设置!$B$6,OR(INDEX(月度资金流!$B$7:$B$42,A335)=策略字典!$A$1,INDEX(月度资金流!$B$7:$B$42,A335)=策略字典!$A$2)),参数设置!$B$5,0)</f>
        <v>0</v>
      </c>
      <c r="E335">
        <v>8</v>
      </c>
      <c r="F335" s="25">
        <f>IF(E335=1,C335,G334)</f>
        <v>47304</v>
      </c>
      <c r="G335" s="25">
        <f>IF(E335&lt;参数设置!$B$13,DATE(YEAR(EDATE(C335,E335+1)),MONTH(EDATE(C335,E335+1)),参数设置!$B$14),EDATE(C335,参数设置!$B$13))</f>
        <v>47335</v>
      </c>
      <c r="H335">
        <f>G335-F335</f>
        <v>31</v>
      </c>
      <c r="I335" s="21">
        <f>IF(E335=参数设置!$B$13,D335,0)</f>
        <v>0</v>
      </c>
      <c r="J335" s="21">
        <f>IF(M335=1,ROUND(D335*参数设置!$B$11*H335/参数设置!$B$12,参数设置!$B$15),0)</f>
        <v>0</v>
      </c>
      <c r="K335" s="21">
        <f>I335+J335</f>
        <v>0</v>
      </c>
      <c r="L335" s="25">
        <f>EDATE(C335,参数设置!$B$13)</f>
        <v>47432</v>
      </c>
      <c r="M335">
        <f>--(D335&gt;0)</f>
        <v>0</v>
      </c>
    </row>
    <row r="336" spans="1:13" ht="15" customHeight="1">
      <c r="A336">
        <v>28</v>
      </c>
      <c r="B336">
        <v>28</v>
      </c>
      <c r="C336" s="25">
        <f>EDATE(参数设置!$B$4,A336-1)</f>
        <v>47067</v>
      </c>
      <c r="D336" s="21">
        <f>IF(AND(A336&lt;=参数设置!$B$6,OR(INDEX(月度资金流!$B$7:$B$42,A336)=策略字典!$A$1,INDEX(月度资金流!$B$7:$B$42,A336)=策略字典!$A$2)),参数设置!$B$5,0)</f>
        <v>0</v>
      </c>
      <c r="E336">
        <v>9</v>
      </c>
      <c r="F336" s="25">
        <f>IF(E336=1,C336,G335)</f>
        <v>47335</v>
      </c>
      <c r="G336" s="25">
        <f>IF(E336&lt;参数设置!$B$13,DATE(YEAR(EDATE(C336,E336+1)),MONTH(EDATE(C336,E336+1)),参数设置!$B$14),EDATE(C336,参数设置!$B$13))</f>
        <v>47366</v>
      </c>
      <c r="H336">
        <f>G336-F336</f>
        <v>31</v>
      </c>
      <c r="I336" s="21">
        <f>IF(E336=参数设置!$B$13,D336,0)</f>
        <v>0</v>
      </c>
      <c r="J336" s="21">
        <f>IF(M336=1,ROUND(D336*参数设置!$B$11*H336/参数设置!$B$12,参数设置!$B$15),0)</f>
        <v>0</v>
      </c>
      <c r="K336" s="21">
        <f>I336+J336</f>
        <v>0</v>
      </c>
      <c r="L336" s="25">
        <f>EDATE(C336,参数设置!$B$13)</f>
        <v>47432</v>
      </c>
      <c r="M336">
        <f>--(D336&gt;0)</f>
        <v>0</v>
      </c>
    </row>
    <row r="337" spans="1:13" ht="15" customHeight="1">
      <c r="A337">
        <v>28</v>
      </c>
      <c r="B337">
        <v>28</v>
      </c>
      <c r="C337" s="25">
        <f>EDATE(参数设置!$B$4,A337-1)</f>
        <v>47067</v>
      </c>
      <c r="D337" s="21">
        <f>IF(AND(A337&lt;=参数设置!$B$6,OR(INDEX(月度资金流!$B$7:$B$42,A337)=策略字典!$A$1,INDEX(月度资金流!$B$7:$B$42,A337)=策略字典!$A$2)),参数设置!$B$5,0)</f>
        <v>0</v>
      </c>
      <c r="E337">
        <v>10</v>
      </c>
      <c r="F337" s="25">
        <f>IF(E337=1,C337,G336)</f>
        <v>47366</v>
      </c>
      <c r="G337" s="25">
        <f>IF(E337&lt;参数设置!$B$13,DATE(YEAR(EDATE(C337,E337+1)),MONTH(EDATE(C337,E337+1)),参数设置!$B$14),EDATE(C337,参数设置!$B$13))</f>
        <v>47396</v>
      </c>
      <c r="H337">
        <f>G337-F337</f>
        <v>30</v>
      </c>
      <c r="I337" s="21">
        <f>IF(E337=参数设置!$B$13,D337,0)</f>
        <v>0</v>
      </c>
      <c r="J337" s="21">
        <f>IF(M337=1,ROUND(D337*参数设置!$B$11*H337/参数设置!$B$12,参数设置!$B$15),0)</f>
        <v>0</v>
      </c>
      <c r="K337" s="21">
        <f>I337+J337</f>
        <v>0</v>
      </c>
      <c r="L337" s="25">
        <f>EDATE(C337,参数设置!$B$13)</f>
        <v>47432</v>
      </c>
      <c r="M337">
        <f>--(D337&gt;0)</f>
        <v>0</v>
      </c>
    </row>
    <row r="338" spans="1:13" ht="15" customHeight="1">
      <c r="A338">
        <v>28</v>
      </c>
      <c r="B338">
        <v>28</v>
      </c>
      <c r="C338" s="25">
        <f>EDATE(参数设置!$B$4,A338-1)</f>
        <v>47067</v>
      </c>
      <c r="D338" s="21">
        <f>IF(AND(A338&lt;=参数设置!$B$6,OR(INDEX(月度资金流!$B$7:$B$42,A338)=策略字典!$A$1,INDEX(月度资金流!$B$7:$B$42,A338)=策略字典!$A$2)),参数设置!$B$5,0)</f>
        <v>0</v>
      </c>
      <c r="E338">
        <v>11</v>
      </c>
      <c r="F338" s="25">
        <f>IF(E338=1,C338,G337)</f>
        <v>47396</v>
      </c>
      <c r="G338" s="25">
        <f>IF(E338&lt;参数设置!$B$13,DATE(YEAR(EDATE(C338,E338+1)),MONTH(EDATE(C338,E338+1)),参数设置!$B$14),EDATE(C338,参数设置!$B$13))</f>
        <v>47427</v>
      </c>
      <c r="H338">
        <f>G338-F338</f>
        <v>31</v>
      </c>
      <c r="I338" s="21">
        <f>IF(E338=参数设置!$B$13,D338,0)</f>
        <v>0</v>
      </c>
      <c r="J338" s="21">
        <f>IF(M338=1,ROUND(D338*参数设置!$B$11*H338/参数设置!$B$12,参数设置!$B$15),0)</f>
        <v>0</v>
      </c>
      <c r="K338" s="21">
        <f>I338+J338</f>
        <v>0</v>
      </c>
      <c r="L338" s="25">
        <f>EDATE(C338,参数设置!$B$13)</f>
        <v>47432</v>
      </c>
      <c r="M338">
        <f>--(D338&gt;0)</f>
        <v>0</v>
      </c>
    </row>
    <row r="339" spans="1:13" ht="15" customHeight="1">
      <c r="A339">
        <v>28</v>
      </c>
      <c r="B339">
        <v>28</v>
      </c>
      <c r="C339" s="25">
        <f>EDATE(参数设置!$B$4,A339-1)</f>
        <v>47067</v>
      </c>
      <c r="D339" s="21">
        <f>IF(AND(A339&lt;=参数设置!$B$6,OR(INDEX(月度资金流!$B$7:$B$42,A339)=策略字典!$A$1,INDEX(月度资金流!$B$7:$B$42,A339)=策略字典!$A$2)),参数设置!$B$5,0)</f>
        <v>0</v>
      </c>
      <c r="E339">
        <v>12</v>
      </c>
      <c r="F339" s="25">
        <f>IF(E339=1,C339,G338)</f>
        <v>47427</v>
      </c>
      <c r="G339" s="25">
        <f>IF(E339&lt;参数设置!$B$13,DATE(YEAR(EDATE(C339,E339+1)),MONTH(EDATE(C339,E339+1)),参数设置!$B$14),EDATE(C339,参数设置!$B$13))</f>
        <v>47432</v>
      </c>
      <c r="H339">
        <f>G339-F339</f>
        <v>5</v>
      </c>
      <c r="I339" s="21">
        <f>IF(E339=参数设置!$B$13,D339,0)</f>
        <v>0</v>
      </c>
      <c r="J339" s="21">
        <f>IF(M339=1,ROUND(D339*参数设置!$B$11*H339/参数设置!$B$12,参数设置!$B$15),0)</f>
        <v>0</v>
      </c>
      <c r="K339" s="21">
        <f>I339+J339</f>
        <v>0</v>
      </c>
      <c r="L339" s="25">
        <f>EDATE(C339,参数设置!$B$13)</f>
        <v>47432</v>
      </c>
      <c r="M339">
        <f>--(D339&gt;0)</f>
        <v>0</v>
      </c>
    </row>
    <row r="340" spans="1:13" ht="15" customHeight="1">
      <c r="A340">
        <v>29</v>
      </c>
      <c r="B340">
        <v>29</v>
      </c>
      <c r="C340" s="25">
        <f>EDATE(参数设置!$B$4,A340-1)</f>
        <v>47097</v>
      </c>
      <c r="D340" s="21">
        <f>IF(AND(A340&lt;=参数设置!$B$6,OR(INDEX(月度资金流!$B$7:$B$42,A340)=策略字典!$A$1,INDEX(月度资金流!$B$7:$B$42,A340)=策略字典!$A$2)),参数设置!$B$5,0)</f>
        <v>0</v>
      </c>
      <c r="E340">
        <v>1</v>
      </c>
      <c r="F340" s="25">
        <f>IF(E340=1,C340,G339)</f>
        <v>47097</v>
      </c>
      <c r="G340" s="25">
        <f>IF(E340&lt;参数设置!$B$13,DATE(YEAR(EDATE(C340,E340+1)),MONTH(EDATE(C340,E340+1)),参数设置!$B$14),EDATE(C340,参数设置!$B$13))</f>
        <v>47154</v>
      </c>
      <c r="H340">
        <f>G340-F340</f>
        <v>57</v>
      </c>
      <c r="I340" s="21">
        <f>IF(E340=参数设置!$B$13,D340,0)</f>
        <v>0</v>
      </c>
      <c r="J340" s="21">
        <f>IF(M340=1,ROUND(D340*参数设置!$B$11*H340/参数设置!$B$12,参数设置!$B$15),0)</f>
        <v>0</v>
      </c>
      <c r="K340" s="21">
        <f>I340+J340</f>
        <v>0</v>
      </c>
      <c r="L340" s="25">
        <f>EDATE(C340,参数设置!$B$13)</f>
        <v>47462</v>
      </c>
      <c r="M340">
        <f>--(D340&gt;0)</f>
        <v>0</v>
      </c>
    </row>
    <row r="341" spans="1:13" ht="15" customHeight="1">
      <c r="A341">
        <v>29</v>
      </c>
      <c r="B341">
        <v>29</v>
      </c>
      <c r="C341" s="25">
        <f>EDATE(参数设置!$B$4,A341-1)</f>
        <v>47097</v>
      </c>
      <c r="D341" s="21">
        <f>IF(AND(A341&lt;=参数设置!$B$6,OR(INDEX(月度资金流!$B$7:$B$42,A341)=策略字典!$A$1,INDEX(月度资金流!$B$7:$B$42,A341)=策略字典!$A$2)),参数设置!$B$5,0)</f>
        <v>0</v>
      </c>
      <c r="E341">
        <v>2</v>
      </c>
      <c r="F341" s="25">
        <f>IF(E341=1,C341,G340)</f>
        <v>47154</v>
      </c>
      <c r="G341" s="25">
        <f>IF(E341&lt;参数设置!$B$13,DATE(YEAR(EDATE(C341,E341+1)),MONTH(EDATE(C341,E341+1)),参数设置!$B$14),EDATE(C341,参数设置!$B$13))</f>
        <v>47182</v>
      </c>
      <c r="H341">
        <f>G341-F341</f>
        <v>28</v>
      </c>
      <c r="I341" s="21">
        <f>IF(E341=参数设置!$B$13,D341,0)</f>
        <v>0</v>
      </c>
      <c r="J341" s="21">
        <f>IF(M341=1,ROUND(D341*参数设置!$B$11*H341/参数设置!$B$12,参数设置!$B$15),0)</f>
        <v>0</v>
      </c>
      <c r="K341" s="21">
        <f>I341+J341</f>
        <v>0</v>
      </c>
      <c r="L341" s="25">
        <f>EDATE(C341,参数设置!$B$13)</f>
        <v>47462</v>
      </c>
      <c r="M341">
        <f>--(D341&gt;0)</f>
        <v>0</v>
      </c>
    </row>
    <row r="342" spans="1:13" ht="15" customHeight="1">
      <c r="A342">
        <v>29</v>
      </c>
      <c r="B342">
        <v>29</v>
      </c>
      <c r="C342" s="25">
        <f>EDATE(参数设置!$B$4,A342-1)</f>
        <v>47097</v>
      </c>
      <c r="D342" s="21">
        <f>IF(AND(A342&lt;=参数设置!$B$6,OR(INDEX(月度资金流!$B$7:$B$42,A342)=策略字典!$A$1,INDEX(月度资金流!$B$7:$B$42,A342)=策略字典!$A$2)),参数设置!$B$5,0)</f>
        <v>0</v>
      </c>
      <c r="E342">
        <v>3</v>
      </c>
      <c r="F342" s="25">
        <f>IF(E342=1,C342,G341)</f>
        <v>47182</v>
      </c>
      <c r="G342" s="25">
        <f>IF(E342&lt;参数设置!$B$13,DATE(YEAR(EDATE(C342,E342+1)),MONTH(EDATE(C342,E342+1)),参数设置!$B$14),EDATE(C342,参数设置!$B$13))</f>
        <v>47213</v>
      </c>
      <c r="H342">
        <f>G342-F342</f>
        <v>31</v>
      </c>
      <c r="I342" s="21">
        <f>IF(E342=参数设置!$B$13,D342,0)</f>
        <v>0</v>
      </c>
      <c r="J342" s="21">
        <f>IF(M342=1,ROUND(D342*参数设置!$B$11*H342/参数设置!$B$12,参数设置!$B$15),0)</f>
        <v>0</v>
      </c>
      <c r="K342" s="21">
        <f>I342+J342</f>
        <v>0</v>
      </c>
      <c r="L342" s="25">
        <f>EDATE(C342,参数设置!$B$13)</f>
        <v>47462</v>
      </c>
      <c r="M342">
        <f>--(D342&gt;0)</f>
        <v>0</v>
      </c>
    </row>
    <row r="343" spans="1:13" ht="15" customHeight="1">
      <c r="A343">
        <v>29</v>
      </c>
      <c r="B343">
        <v>29</v>
      </c>
      <c r="C343" s="25">
        <f>EDATE(参数设置!$B$4,A343-1)</f>
        <v>47097</v>
      </c>
      <c r="D343" s="21">
        <f>IF(AND(A343&lt;=参数设置!$B$6,OR(INDEX(月度资金流!$B$7:$B$42,A343)=策略字典!$A$1,INDEX(月度资金流!$B$7:$B$42,A343)=策略字典!$A$2)),参数设置!$B$5,0)</f>
        <v>0</v>
      </c>
      <c r="E343">
        <v>4</v>
      </c>
      <c r="F343" s="25">
        <f>IF(E343=1,C343,G342)</f>
        <v>47213</v>
      </c>
      <c r="G343" s="25">
        <f>IF(E343&lt;参数设置!$B$13,DATE(YEAR(EDATE(C343,E343+1)),MONTH(EDATE(C343,E343+1)),参数设置!$B$14),EDATE(C343,参数设置!$B$13))</f>
        <v>47243</v>
      </c>
      <c r="H343">
        <f>G343-F343</f>
        <v>30</v>
      </c>
      <c r="I343" s="21">
        <f>IF(E343=参数设置!$B$13,D343,0)</f>
        <v>0</v>
      </c>
      <c r="J343" s="21">
        <f>IF(M343=1,ROUND(D343*参数设置!$B$11*H343/参数设置!$B$12,参数设置!$B$15),0)</f>
        <v>0</v>
      </c>
      <c r="K343" s="21">
        <f>I343+J343</f>
        <v>0</v>
      </c>
      <c r="L343" s="25">
        <f>EDATE(C343,参数设置!$B$13)</f>
        <v>47462</v>
      </c>
      <c r="M343">
        <f>--(D343&gt;0)</f>
        <v>0</v>
      </c>
    </row>
    <row r="344" spans="1:13" ht="15" customHeight="1">
      <c r="A344">
        <v>29</v>
      </c>
      <c r="B344">
        <v>29</v>
      </c>
      <c r="C344" s="25">
        <f>EDATE(参数设置!$B$4,A344-1)</f>
        <v>47097</v>
      </c>
      <c r="D344" s="21">
        <f>IF(AND(A344&lt;=参数设置!$B$6,OR(INDEX(月度资金流!$B$7:$B$42,A344)=策略字典!$A$1,INDEX(月度资金流!$B$7:$B$42,A344)=策略字典!$A$2)),参数设置!$B$5,0)</f>
        <v>0</v>
      </c>
      <c r="E344">
        <v>5</v>
      </c>
      <c r="F344" s="25">
        <f>IF(E344=1,C344,G343)</f>
        <v>47243</v>
      </c>
      <c r="G344" s="25">
        <f>IF(E344&lt;参数设置!$B$13,DATE(YEAR(EDATE(C344,E344+1)),MONTH(EDATE(C344,E344+1)),参数设置!$B$14),EDATE(C344,参数设置!$B$13))</f>
        <v>47274</v>
      </c>
      <c r="H344">
        <f>G344-F344</f>
        <v>31</v>
      </c>
      <c r="I344" s="21">
        <f>IF(E344=参数设置!$B$13,D344,0)</f>
        <v>0</v>
      </c>
      <c r="J344" s="21">
        <f>IF(M344=1,ROUND(D344*参数设置!$B$11*H344/参数设置!$B$12,参数设置!$B$15),0)</f>
        <v>0</v>
      </c>
      <c r="K344" s="21">
        <f>I344+J344</f>
        <v>0</v>
      </c>
      <c r="L344" s="25">
        <f>EDATE(C344,参数设置!$B$13)</f>
        <v>47462</v>
      </c>
      <c r="M344">
        <f>--(D344&gt;0)</f>
        <v>0</v>
      </c>
    </row>
    <row r="345" spans="1:13" ht="15" customHeight="1">
      <c r="A345">
        <v>29</v>
      </c>
      <c r="B345">
        <v>29</v>
      </c>
      <c r="C345" s="25">
        <f>EDATE(参数设置!$B$4,A345-1)</f>
        <v>47097</v>
      </c>
      <c r="D345" s="21">
        <f>IF(AND(A345&lt;=参数设置!$B$6,OR(INDEX(月度资金流!$B$7:$B$42,A345)=策略字典!$A$1,INDEX(月度资金流!$B$7:$B$42,A345)=策略字典!$A$2)),参数设置!$B$5,0)</f>
        <v>0</v>
      </c>
      <c r="E345">
        <v>6</v>
      </c>
      <c r="F345" s="25">
        <f>IF(E345=1,C345,G344)</f>
        <v>47274</v>
      </c>
      <c r="G345" s="25">
        <f>IF(E345&lt;参数设置!$B$13,DATE(YEAR(EDATE(C345,E345+1)),MONTH(EDATE(C345,E345+1)),参数设置!$B$14),EDATE(C345,参数设置!$B$13))</f>
        <v>47304</v>
      </c>
      <c r="H345">
        <f>G345-F345</f>
        <v>30</v>
      </c>
      <c r="I345" s="21">
        <f>IF(E345=参数设置!$B$13,D345,0)</f>
        <v>0</v>
      </c>
      <c r="J345" s="21">
        <f>IF(M345=1,ROUND(D345*参数设置!$B$11*H345/参数设置!$B$12,参数设置!$B$15),0)</f>
        <v>0</v>
      </c>
      <c r="K345" s="21">
        <f>I345+J345</f>
        <v>0</v>
      </c>
      <c r="L345" s="25">
        <f>EDATE(C345,参数设置!$B$13)</f>
        <v>47462</v>
      </c>
      <c r="M345">
        <f>--(D345&gt;0)</f>
        <v>0</v>
      </c>
    </row>
    <row r="346" spans="1:13" ht="15" customHeight="1">
      <c r="A346">
        <v>29</v>
      </c>
      <c r="B346">
        <v>29</v>
      </c>
      <c r="C346" s="25">
        <f>EDATE(参数设置!$B$4,A346-1)</f>
        <v>47097</v>
      </c>
      <c r="D346" s="21">
        <f>IF(AND(A346&lt;=参数设置!$B$6,OR(INDEX(月度资金流!$B$7:$B$42,A346)=策略字典!$A$1,INDEX(月度资金流!$B$7:$B$42,A346)=策略字典!$A$2)),参数设置!$B$5,0)</f>
        <v>0</v>
      </c>
      <c r="E346">
        <v>7</v>
      </c>
      <c r="F346" s="25">
        <f>IF(E346=1,C346,G345)</f>
        <v>47304</v>
      </c>
      <c r="G346" s="25">
        <f>IF(E346&lt;参数设置!$B$13,DATE(YEAR(EDATE(C346,E346+1)),MONTH(EDATE(C346,E346+1)),参数设置!$B$14),EDATE(C346,参数设置!$B$13))</f>
        <v>47335</v>
      </c>
      <c r="H346">
        <f>G346-F346</f>
        <v>31</v>
      </c>
      <c r="I346" s="21">
        <f>IF(E346=参数设置!$B$13,D346,0)</f>
        <v>0</v>
      </c>
      <c r="J346" s="21">
        <f>IF(M346=1,ROUND(D346*参数设置!$B$11*H346/参数设置!$B$12,参数设置!$B$15),0)</f>
        <v>0</v>
      </c>
      <c r="K346" s="21">
        <f>I346+J346</f>
        <v>0</v>
      </c>
      <c r="L346" s="25">
        <f>EDATE(C346,参数设置!$B$13)</f>
        <v>47462</v>
      </c>
      <c r="M346">
        <f>--(D346&gt;0)</f>
        <v>0</v>
      </c>
    </row>
    <row r="347" spans="1:13" ht="15" customHeight="1">
      <c r="A347">
        <v>29</v>
      </c>
      <c r="B347">
        <v>29</v>
      </c>
      <c r="C347" s="25">
        <f>EDATE(参数设置!$B$4,A347-1)</f>
        <v>47097</v>
      </c>
      <c r="D347" s="21">
        <f>IF(AND(A347&lt;=参数设置!$B$6,OR(INDEX(月度资金流!$B$7:$B$42,A347)=策略字典!$A$1,INDEX(月度资金流!$B$7:$B$42,A347)=策略字典!$A$2)),参数设置!$B$5,0)</f>
        <v>0</v>
      </c>
      <c r="E347">
        <v>8</v>
      </c>
      <c r="F347" s="25">
        <f>IF(E347=1,C347,G346)</f>
        <v>47335</v>
      </c>
      <c r="G347" s="25">
        <f>IF(E347&lt;参数设置!$B$13,DATE(YEAR(EDATE(C347,E347+1)),MONTH(EDATE(C347,E347+1)),参数设置!$B$14),EDATE(C347,参数设置!$B$13))</f>
        <v>47366</v>
      </c>
      <c r="H347">
        <f>G347-F347</f>
        <v>31</v>
      </c>
      <c r="I347" s="21">
        <f>IF(E347=参数设置!$B$13,D347,0)</f>
        <v>0</v>
      </c>
      <c r="J347" s="21">
        <f>IF(M347=1,ROUND(D347*参数设置!$B$11*H347/参数设置!$B$12,参数设置!$B$15),0)</f>
        <v>0</v>
      </c>
      <c r="K347" s="21">
        <f>I347+J347</f>
        <v>0</v>
      </c>
      <c r="L347" s="25">
        <f>EDATE(C347,参数设置!$B$13)</f>
        <v>47462</v>
      </c>
      <c r="M347">
        <f>--(D347&gt;0)</f>
        <v>0</v>
      </c>
    </row>
    <row r="348" spans="1:13" ht="15" customHeight="1">
      <c r="A348">
        <v>29</v>
      </c>
      <c r="B348">
        <v>29</v>
      </c>
      <c r="C348" s="25">
        <f>EDATE(参数设置!$B$4,A348-1)</f>
        <v>47097</v>
      </c>
      <c r="D348" s="21">
        <f>IF(AND(A348&lt;=参数设置!$B$6,OR(INDEX(月度资金流!$B$7:$B$42,A348)=策略字典!$A$1,INDEX(月度资金流!$B$7:$B$42,A348)=策略字典!$A$2)),参数设置!$B$5,0)</f>
        <v>0</v>
      </c>
      <c r="E348">
        <v>9</v>
      </c>
      <c r="F348" s="25">
        <f>IF(E348=1,C348,G347)</f>
        <v>47366</v>
      </c>
      <c r="G348" s="25">
        <f>IF(E348&lt;参数设置!$B$13,DATE(YEAR(EDATE(C348,E348+1)),MONTH(EDATE(C348,E348+1)),参数设置!$B$14),EDATE(C348,参数设置!$B$13))</f>
        <v>47396</v>
      </c>
      <c r="H348">
        <f>G348-F348</f>
        <v>30</v>
      </c>
      <c r="I348" s="21">
        <f>IF(E348=参数设置!$B$13,D348,0)</f>
        <v>0</v>
      </c>
      <c r="J348" s="21">
        <f>IF(M348=1,ROUND(D348*参数设置!$B$11*H348/参数设置!$B$12,参数设置!$B$15),0)</f>
        <v>0</v>
      </c>
      <c r="K348" s="21">
        <f>I348+J348</f>
        <v>0</v>
      </c>
      <c r="L348" s="25">
        <f>EDATE(C348,参数设置!$B$13)</f>
        <v>47462</v>
      </c>
      <c r="M348">
        <f>--(D348&gt;0)</f>
        <v>0</v>
      </c>
    </row>
    <row r="349" spans="1:13" ht="15" customHeight="1">
      <c r="A349">
        <v>29</v>
      </c>
      <c r="B349">
        <v>29</v>
      </c>
      <c r="C349" s="25">
        <f>EDATE(参数设置!$B$4,A349-1)</f>
        <v>47097</v>
      </c>
      <c r="D349" s="21">
        <f>IF(AND(A349&lt;=参数设置!$B$6,OR(INDEX(月度资金流!$B$7:$B$42,A349)=策略字典!$A$1,INDEX(月度资金流!$B$7:$B$42,A349)=策略字典!$A$2)),参数设置!$B$5,0)</f>
        <v>0</v>
      </c>
      <c r="E349">
        <v>10</v>
      </c>
      <c r="F349" s="25">
        <f>IF(E349=1,C349,G348)</f>
        <v>47396</v>
      </c>
      <c r="G349" s="25">
        <f>IF(E349&lt;参数设置!$B$13,DATE(YEAR(EDATE(C349,E349+1)),MONTH(EDATE(C349,E349+1)),参数设置!$B$14),EDATE(C349,参数设置!$B$13))</f>
        <v>47427</v>
      </c>
      <c r="H349">
        <f>G349-F349</f>
        <v>31</v>
      </c>
      <c r="I349" s="21">
        <f>IF(E349=参数设置!$B$13,D349,0)</f>
        <v>0</v>
      </c>
      <c r="J349" s="21">
        <f>IF(M349=1,ROUND(D349*参数设置!$B$11*H349/参数设置!$B$12,参数设置!$B$15),0)</f>
        <v>0</v>
      </c>
      <c r="K349" s="21">
        <f>I349+J349</f>
        <v>0</v>
      </c>
      <c r="L349" s="25">
        <f>EDATE(C349,参数设置!$B$13)</f>
        <v>47462</v>
      </c>
      <c r="M349">
        <f>--(D349&gt;0)</f>
        <v>0</v>
      </c>
    </row>
    <row r="350" spans="1:13" ht="15" customHeight="1">
      <c r="A350">
        <v>29</v>
      </c>
      <c r="B350">
        <v>29</v>
      </c>
      <c r="C350" s="25">
        <f>EDATE(参数设置!$B$4,A350-1)</f>
        <v>47097</v>
      </c>
      <c r="D350" s="21">
        <f>IF(AND(A350&lt;=参数设置!$B$6,OR(INDEX(月度资金流!$B$7:$B$42,A350)=策略字典!$A$1,INDEX(月度资金流!$B$7:$B$42,A350)=策略字典!$A$2)),参数设置!$B$5,0)</f>
        <v>0</v>
      </c>
      <c r="E350">
        <v>11</v>
      </c>
      <c r="F350" s="25">
        <f>IF(E350=1,C350,G349)</f>
        <v>47427</v>
      </c>
      <c r="G350" s="25">
        <f>IF(E350&lt;参数设置!$B$13,DATE(YEAR(EDATE(C350,E350+1)),MONTH(EDATE(C350,E350+1)),参数设置!$B$14),EDATE(C350,参数设置!$B$13))</f>
        <v>47457</v>
      </c>
      <c r="H350">
        <f>G350-F350</f>
        <v>30</v>
      </c>
      <c r="I350" s="21">
        <f>IF(E350=参数设置!$B$13,D350,0)</f>
        <v>0</v>
      </c>
      <c r="J350" s="21">
        <f>IF(M350=1,ROUND(D350*参数设置!$B$11*H350/参数设置!$B$12,参数设置!$B$15),0)</f>
        <v>0</v>
      </c>
      <c r="K350" s="21">
        <f>I350+J350</f>
        <v>0</v>
      </c>
      <c r="L350" s="25">
        <f>EDATE(C350,参数设置!$B$13)</f>
        <v>47462</v>
      </c>
      <c r="M350">
        <f>--(D350&gt;0)</f>
        <v>0</v>
      </c>
    </row>
    <row r="351" spans="1:13" ht="15" customHeight="1">
      <c r="A351">
        <v>29</v>
      </c>
      <c r="B351">
        <v>29</v>
      </c>
      <c r="C351" s="25">
        <f>EDATE(参数设置!$B$4,A351-1)</f>
        <v>47097</v>
      </c>
      <c r="D351" s="21">
        <f>IF(AND(A351&lt;=参数设置!$B$6,OR(INDEX(月度资金流!$B$7:$B$42,A351)=策略字典!$A$1,INDEX(月度资金流!$B$7:$B$42,A351)=策略字典!$A$2)),参数设置!$B$5,0)</f>
        <v>0</v>
      </c>
      <c r="E351">
        <v>12</v>
      </c>
      <c r="F351" s="25">
        <f>IF(E351=1,C351,G350)</f>
        <v>47457</v>
      </c>
      <c r="G351" s="25">
        <f>IF(E351&lt;参数设置!$B$13,DATE(YEAR(EDATE(C351,E351+1)),MONTH(EDATE(C351,E351+1)),参数设置!$B$14),EDATE(C351,参数设置!$B$13))</f>
        <v>47462</v>
      </c>
      <c r="H351">
        <f>G351-F351</f>
        <v>5</v>
      </c>
      <c r="I351" s="21">
        <f>IF(E351=参数设置!$B$13,D351,0)</f>
        <v>0</v>
      </c>
      <c r="J351" s="21">
        <f>IF(M351=1,ROUND(D351*参数设置!$B$11*H351/参数设置!$B$12,参数设置!$B$15),0)</f>
        <v>0</v>
      </c>
      <c r="K351" s="21">
        <f>I351+J351</f>
        <v>0</v>
      </c>
      <c r="L351" s="25">
        <f>EDATE(C351,参数设置!$B$13)</f>
        <v>47462</v>
      </c>
      <c r="M351">
        <f>--(D351&gt;0)</f>
        <v>0</v>
      </c>
    </row>
    <row r="352" spans="1:13" ht="15" customHeight="1">
      <c r="A352">
        <v>30</v>
      </c>
      <c r="B352">
        <v>30</v>
      </c>
      <c r="C352" s="25">
        <f>EDATE(参数设置!$B$4,A352-1)</f>
        <v>47128</v>
      </c>
      <c r="D352" s="21">
        <f>IF(AND(A352&lt;=参数设置!$B$6,OR(INDEX(月度资金流!$B$7:$B$42,A352)=策略字典!$A$1,INDEX(月度资金流!$B$7:$B$42,A352)=策略字典!$A$2)),参数设置!$B$5,0)</f>
        <v>0</v>
      </c>
      <c r="E352">
        <v>1</v>
      </c>
      <c r="F352" s="25">
        <f>IF(E352=1,C352,G351)</f>
        <v>47128</v>
      </c>
      <c r="G352" s="25">
        <f>IF(E352&lt;参数设置!$B$13,DATE(YEAR(EDATE(C352,E352+1)),MONTH(EDATE(C352,E352+1)),参数设置!$B$14),EDATE(C352,参数设置!$B$13))</f>
        <v>47182</v>
      </c>
      <c r="H352">
        <f>G352-F352</f>
        <v>54</v>
      </c>
      <c r="I352" s="21">
        <f>IF(E352=参数设置!$B$13,D352,0)</f>
        <v>0</v>
      </c>
      <c r="J352" s="21">
        <f>IF(M352=1,ROUND(D352*参数设置!$B$11*H352/参数设置!$B$12,参数设置!$B$15),0)</f>
        <v>0</v>
      </c>
      <c r="K352" s="21">
        <f>I352+J352</f>
        <v>0</v>
      </c>
      <c r="L352" s="25">
        <f>EDATE(C352,参数设置!$B$13)</f>
        <v>47493</v>
      </c>
      <c r="M352">
        <f>--(D352&gt;0)</f>
        <v>0</v>
      </c>
    </row>
    <row r="353" spans="1:13" ht="15" customHeight="1">
      <c r="A353">
        <v>30</v>
      </c>
      <c r="B353">
        <v>30</v>
      </c>
      <c r="C353" s="25">
        <f>EDATE(参数设置!$B$4,A353-1)</f>
        <v>47128</v>
      </c>
      <c r="D353" s="21">
        <f>IF(AND(A353&lt;=参数设置!$B$6,OR(INDEX(月度资金流!$B$7:$B$42,A353)=策略字典!$A$1,INDEX(月度资金流!$B$7:$B$42,A353)=策略字典!$A$2)),参数设置!$B$5,0)</f>
        <v>0</v>
      </c>
      <c r="E353">
        <v>2</v>
      </c>
      <c r="F353" s="25">
        <f>IF(E353=1,C353,G352)</f>
        <v>47182</v>
      </c>
      <c r="G353" s="25">
        <f>IF(E353&lt;参数设置!$B$13,DATE(YEAR(EDATE(C353,E353+1)),MONTH(EDATE(C353,E353+1)),参数设置!$B$14),EDATE(C353,参数设置!$B$13))</f>
        <v>47213</v>
      </c>
      <c r="H353">
        <f>G353-F353</f>
        <v>31</v>
      </c>
      <c r="I353" s="21">
        <f>IF(E353=参数设置!$B$13,D353,0)</f>
        <v>0</v>
      </c>
      <c r="J353" s="21">
        <f>IF(M353=1,ROUND(D353*参数设置!$B$11*H353/参数设置!$B$12,参数设置!$B$15),0)</f>
        <v>0</v>
      </c>
      <c r="K353" s="21">
        <f>I353+J353</f>
        <v>0</v>
      </c>
      <c r="L353" s="25">
        <f>EDATE(C353,参数设置!$B$13)</f>
        <v>47493</v>
      </c>
      <c r="M353">
        <f>--(D353&gt;0)</f>
        <v>0</v>
      </c>
    </row>
    <row r="354" spans="1:13" ht="15" customHeight="1">
      <c r="A354">
        <v>30</v>
      </c>
      <c r="B354">
        <v>30</v>
      </c>
      <c r="C354" s="25">
        <f>EDATE(参数设置!$B$4,A354-1)</f>
        <v>47128</v>
      </c>
      <c r="D354" s="21">
        <f>IF(AND(A354&lt;=参数设置!$B$6,OR(INDEX(月度资金流!$B$7:$B$42,A354)=策略字典!$A$1,INDEX(月度资金流!$B$7:$B$42,A354)=策略字典!$A$2)),参数设置!$B$5,0)</f>
        <v>0</v>
      </c>
      <c r="E354">
        <v>3</v>
      </c>
      <c r="F354" s="25">
        <f>IF(E354=1,C354,G353)</f>
        <v>47213</v>
      </c>
      <c r="G354" s="25">
        <f>IF(E354&lt;参数设置!$B$13,DATE(YEAR(EDATE(C354,E354+1)),MONTH(EDATE(C354,E354+1)),参数设置!$B$14),EDATE(C354,参数设置!$B$13))</f>
        <v>47243</v>
      </c>
      <c r="H354">
        <f>G354-F354</f>
        <v>30</v>
      </c>
      <c r="I354" s="21">
        <f>IF(E354=参数设置!$B$13,D354,0)</f>
        <v>0</v>
      </c>
      <c r="J354" s="21">
        <f>IF(M354=1,ROUND(D354*参数设置!$B$11*H354/参数设置!$B$12,参数设置!$B$15),0)</f>
        <v>0</v>
      </c>
      <c r="K354" s="21">
        <f>I354+J354</f>
        <v>0</v>
      </c>
      <c r="L354" s="25">
        <f>EDATE(C354,参数设置!$B$13)</f>
        <v>47493</v>
      </c>
      <c r="M354">
        <f>--(D354&gt;0)</f>
        <v>0</v>
      </c>
    </row>
    <row r="355" spans="1:13" ht="15" customHeight="1">
      <c r="A355">
        <v>30</v>
      </c>
      <c r="B355">
        <v>30</v>
      </c>
      <c r="C355" s="25">
        <f>EDATE(参数设置!$B$4,A355-1)</f>
        <v>47128</v>
      </c>
      <c r="D355" s="21">
        <f>IF(AND(A355&lt;=参数设置!$B$6,OR(INDEX(月度资金流!$B$7:$B$42,A355)=策略字典!$A$1,INDEX(月度资金流!$B$7:$B$42,A355)=策略字典!$A$2)),参数设置!$B$5,0)</f>
        <v>0</v>
      </c>
      <c r="E355">
        <v>4</v>
      </c>
      <c r="F355" s="25">
        <f>IF(E355=1,C355,G354)</f>
        <v>47243</v>
      </c>
      <c r="G355" s="25">
        <f>IF(E355&lt;参数设置!$B$13,DATE(YEAR(EDATE(C355,E355+1)),MONTH(EDATE(C355,E355+1)),参数设置!$B$14),EDATE(C355,参数设置!$B$13))</f>
        <v>47274</v>
      </c>
      <c r="H355">
        <f>G355-F355</f>
        <v>31</v>
      </c>
      <c r="I355" s="21">
        <f>IF(E355=参数设置!$B$13,D355,0)</f>
        <v>0</v>
      </c>
      <c r="J355" s="21">
        <f>IF(M355=1,ROUND(D355*参数设置!$B$11*H355/参数设置!$B$12,参数设置!$B$15),0)</f>
        <v>0</v>
      </c>
      <c r="K355" s="21">
        <f>I355+J355</f>
        <v>0</v>
      </c>
      <c r="L355" s="25">
        <f>EDATE(C355,参数设置!$B$13)</f>
        <v>47493</v>
      </c>
      <c r="M355">
        <f>--(D355&gt;0)</f>
        <v>0</v>
      </c>
    </row>
    <row r="356" spans="1:13" ht="15" customHeight="1">
      <c r="A356">
        <v>30</v>
      </c>
      <c r="B356">
        <v>30</v>
      </c>
      <c r="C356" s="25">
        <f>EDATE(参数设置!$B$4,A356-1)</f>
        <v>47128</v>
      </c>
      <c r="D356" s="21">
        <f>IF(AND(A356&lt;=参数设置!$B$6,OR(INDEX(月度资金流!$B$7:$B$42,A356)=策略字典!$A$1,INDEX(月度资金流!$B$7:$B$42,A356)=策略字典!$A$2)),参数设置!$B$5,0)</f>
        <v>0</v>
      </c>
      <c r="E356">
        <v>5</v>
      </c>
      <c r="F356" s="25">
        <f>IF(E356=1,C356,G355)</f>
        <v>47274</v>
      </c>
      <c r="G356" s="25">
        <f>IF(E356&lt;参数设置!$B$13,DATE(YEAR(EDATE(C356,E356+1)),MONTH(EDATE(C356,E356+1)),参数设置!$B$14),EDATE(C356,参数设置!$B$13))</f>
        <v>47304</v>
      </c>
      <c r="H356">
        <f>G356-F356</f>
        <v>30</v>
      </c>
      <c r="I356" s="21">
        <f>IF(E356=参数设置!$B$13,D356,0)</f>
        <v>0</v>
      </c>
      <c r="J356" s="21">
        <f>IF(M356=1,ROUND(D356*参数设置!$B$11*H356/参数设置!$B$12,参数设置!$B$15),0)</f>
        <v>0</v>
      </c>
      <c r="K356" s="21">
        <f>I356+J356</f>
        <v>0</v>
      </c>
      <c r="L356" s="25">
        <f>EDATE(C356,参数设置!$B$13)</f>
        <v>47493</v>
      </c>
      <c r="M356">
        <f>--(D356&gt;0)</f>
        <v>0</v>
      </c>
    </row>
    <row r="357" spans="1:13" ht="15" customHeight="1">
      <c r="A357">
        <v>30</v>
      </c>
      <c r="B357">
        <v>30</v>
      </c>
      <c r="C357" s="25">
        <f>EDATE(参数设置!$B$4,A357-1)</f>
        <v>47128</v>
      </c>
      <c r="D357" s="21">
        <f>IF(AND(A357&lt;=参数设置!$B$6,OR(INDEX(月度资金流!$B$7:$B$42,A357)=策略字典!$A$1,INDEX(月度资金流!$B$7:$B$42,A357)=策略字典!$A$2)),参数设置!$B$5,0)</f>
        <v>0</v>
      </c>
      <c r="E357">
        <v>6</v>
      </c>
      <c r="F357" s="25">
        <f>IF(E357=1,C357,G356)</f>
        <v>47304</v>
      </c>
      <c r="G357" s="25">
        <f>IF(E357&lt;参数设置!$B$13,DATE(YEAR(EDATE(C357,E357+1)),MONTH(EDATE(C357,E357+1)),参数设置!$B$14),EDATE(C357,参数设置!$B$13))</f>
        <v>47335</v>
      </c>
      <c r="H357">
        <f>G357-F357</f>
        <v>31</v>
      </c>
      <c r="I357" s="21">
        <f>IF(E357=参数设置!$B$13,D357,0)</f>
        <v>0</v>
      </c>
      <c r="J357" s="21">
        <f>IF(M357=1,ROUND(D357*参数设置!$B$11*H357/参数设置!$B$12,参数设置!$B$15),0)</f>
        <v>0</v>
      </c>
      <c r="K357" s="21">
        <f>I357+J357</f>
        <v>0</v>
      </c>
      <c r="L357" s="25">
        <f>EDATE(C357,参数设置!$B$13)</f>
        <v>47493</v>
      </c>
      <c r="M357">
        <f>--(D357&gt;0)</f>
        <v>0</v>
      </c>
    </row>
    <row r="358" spans="1:13" ht="15" customHeight="1">
      <c r="A358">
        <v>30</v>
      </c>
      <c r="B358">
        <v>30</v>
      </c>
      <c r="C358" s="25">
        <f>EDATE(参数设置!$B$4,A358-1)</f>
        <v>47128</v>
      </c>
      <c r="D358" s="21">
        <f>IF(AND(A358&lt;=参数设置!$B$6,OR(INDEX(月度资金流!$B$7:$B$42,A358)=策略字典!$A$1,INDEX(月度资金流!$B$7:$B$42,A358)=策略字典!$A$2)),参数设置!$B$5,0)</f>
        <v>0</v>
      </c>
      <c r="E358">
        <v>7</v>
      </c>
      <c r="F358" s="25">
        <f>IF(E358=1,C358,G357)</f>
        <v>47335</v>
      </c>
      <c r="G358" s="25">
        <f>IF(E358&lt;参数设置!$B$13,DATE(YEAR(EDATE(C358,E358+1)),MONTH(EDATE(C358,E358+1)),参数设置!$B$14),EDATE(C358,参数设置!$B$13))</f>
        <v>47366</v>
      </c>
      <c r="H358">
        <f>G358-F358</f>
        <v>31</v>
      </c>
      <c r="I358" s="21">
        <f>IF(E358=参数设置!$B$13,D358,0)</f>
        <v>0</v>
      </c>
      <c r="J358" s="21">
        <f>IF(M358=1,ROUND(D358*参数设置!$B$11*H358/参数设置!$B$12,参数设置!$B$15),0)</f>
        <v>0</v>
      </c>
      <c r="K358" s="21">
        <f>I358+J358</f>
        <v>0</v>
      </c>
      <c r="L358" s="25">
        <f>EDATE(C358,参数设置!$B$13)</f>
        <v>47493</v>
      </c>
      <c r="M358">
        <f>--(D358&gt;0)</f>
        <v>0</v>
      </c>
    </row>
    <row r="359" spans="1:13" ht="15" customHeight="1">
      <c r="A359">
        <v>30</v>
      </c>
      <c r="B359">
        <v>30</v>
      </c>
      <c r="C359" s="25">
        <f>EDATE(参数设置!$B$4,A359-1)</f>
        <v>47128</v>
      </c>
      <c r="D359" s="21">
        <f>IF(AND(A359&lt;=参数设置!$B$6,OR(INDEX(月度资金流!$B$7:$B$42,A359)=策略字典!$A$1,INDEX(月度资金流!$B$7:$B$42,A359)=策略字典!$A$2)),参数设置!$B$5,0)</f>
        <v>0</v>
      </c>
      <c r="E359">
        <v>8</v>
      </c>
      <c r="F359" s="25">
        <f>IF(E359=1,C359,G358)</f>
        <v>47366</v>
      </c>
      <c r="G359" s="25">
        <f>IF(E359&lt;参数设置!$B$13,DATE(YEAR(EDATE(C359,E359+1)),MONTH(EDATE(C359,E359+1)),参数设置!$B$14),EDATE(C359,参数设置!$B$13))</f>
        <v>47396</v>
      </c>
      <c r="H359">
        <f>G359-F359</f>
        <v>30</v>
      </c>
      <c r="I359" s="21">
        <f>IF(E359=参数设置!$B$13,D359,0)</f>
        <v>0</v>
      </c>
      <c r="J359" s="21">
        <f>IF(M359=1,ROUND(D359*参数设置!$B$11*H359/参数设置!$B$12,参数设置!$B$15),0)</f>
        <v>0</v>
      </c>
      <c r="K359" s="21">
        <f>I359+J359</f>
        <v>0</v>
      </c>
      <c r="L359" s="25">
        <f>EDATE(C359,参数设置!$B$13)</f>
        <v>47493</v>
      </c>
      <c r="M359">
        <f>--(D359&gt;0)</f>
        <v>0</v>
      </c>
    </row>
    <row r="360" spans="1:13" ht="15" customHeight="1">
      <c r="A360">
        <v>30</v>
      </c>
      <c r="B360">
        <v>30</v>
      </c>
      <c r="C360" s="25">
        <f>EDATE(参数设置!$B$4,A360-1)</f>
        <v>47128</v>
      </c>
      <c r="D360" s="21">
        <f>IF(AND(A360&lt;=参数设置!$B$6,OR(INDEX(月度资金流!$B$7:$B$42,A360)=策略字典!$A$1,INDEX(月度资金流!$B$7:$B$42,A360)=策略字典!$A$2)),参数设置!$B$5,0)</f>
        <v>0</v>
      </c>
      <c r="E360">
        <v>9</v>
      </c>
      <c r="F360" s="25">
        <f>IF(E360=1,C360,G359)</f>
        <v>47396</v>
      </c>
      <c r="G360" s="25">
        <f>IF(E360&lt;参数设置!$B$13,DATE(YEAR(EDATE(C360,E360+1)),MONTH(EDATE(C360,E360+1)),参数设置!$B$14),EDATE(C360,参数设置!$B$13))</f>
        <v>47427</v>
      </c>
      <c r="H360">
        <f>G360-F360</f>
        <v>31</v>
      </c>
      <c r="I360" s="21">
        <f>IF(E360=参数设置!$B$13,D360,0)</f>
        <v>0</v>
      </c>
      <c r="J360" s="21">
        <f>IF(M360=1,ROUND(D360*参数设置!$B$11*H360/参数设置!$B$12,参数设置!$B$15),0)</f>
        <v>0</v>
      </c>
      <c r="K360" s="21">
        <f>I360+J360</f>
        <v>0</v>
      </c>
      <c r="L360" s="25">
        <f>EDATE(C360,参数设置!$B$13)</f>
        <v>47493</v>
      </c>
      <c r="M360">
        <f>--(D360&gt;0)</f>
        <v>0</v>
      </c>
    </row>
    <row r="361" spans="1:13" ht="15" customHeight="1">
      <c r="A361">
        <v>30</v>
      </c>
      <c r="B361">
        <v>30</v>
      </c>
      <c r="C361" s="25">
        <f>EDATE(参数设置!$B$4,A361-1)</f>
        <v>47128</v>
      </c>
      <c r="D361" s="21">
        <f>IF(AND(A361&lt;=参数设置!$B$6,OR(INDEX(月度资金流!$B$7:$B$42,A361)=策略字典!$A$1,INDEX(月度资金流!$B$7:$B$42,A361)=策略字典!$A$2)),参数设置!$B$5,0)</f>
        <v>0</v>
      </c>
      <c r="E361">
        <v>10</v>
      </c>
      <c r="F361" s="25">
        <f>IF(E361=1,C361,G360)</f>
        <v>47427</v>
      </c>
      <c r="G361" s="25">
        <f>IF(E361&lt;参数设置!$B$13,DATE(YEAR(EDATE(C361,E361+1)),MONTH(EDATE(C361,E361+1)),参数设置!$B$14),EDATE(C361,参数设置!$B$13))</f>
        <v>47457</v>
      </c>
      <c r="H361">
        <f>G361-F361</f>
        <v>30</v>
      </c>
      <c r="I361" s="21">
        <f>IF(E361=参数设置!$B$13,D361,0)</f>
        <v>0</v>
      </c>
      <c r="J361" s="21">
        <f>IF(M361=1,ROUND(D361*参数设置!$B$11*H361/参数设置!$B$12,参数设置!$B$15),0)</f>
        <v>0</v>
      </c>
      <c r="K361" s="21">
        <f>I361+J361</f>
        <v>0</v>
      </c>
      <c r="L361" s="25">
        <f>EDATE(C361,参数设置!$B$13)</f>
        <v>47493</v>
      </c>
      <c r="M361">
        <f>--(D361&gt;0)</f>
        <v>0</v>
      </c>
    </row>
    <row r="362" spans="1:13" ht="15" customHeight="1">
      <c r="A362">
        <v>30</v>
      </c>
      <c r="B362">
        <v>30</v>
      </c>
      <c r="C362" s="25">
        <f>EDATE(参数设置!$B$4,A362-1)</f>
        <v>47128</v>
      </c>
      <c r="D362" s="21">
        <f>IF(AND(A362&lt;=参数设置!$B$6,OR(INDEX(月度资金流!$B$7:$B$42,A362)=策略字典!$A$1,INDEX(月度资金流!$B$7:$B$42,A362)=策略字典!$A$2)),参数设置!$B$5,0)</f>
        <v>0</v>
      </c>
      <c r="E362">
        <v>11</v>
      </c>
      <c r="F362" s="25">
        <f>IF(E362=1,C362,G361)</f>
        <v>47457</v>
      </c>
      <c r="G362" s="25">
        <f>IF(E362&lt;参数设置!$B$13,DATE(YEAR(EDATE(C362,E362+1)),MONTH(EDATE(C362,E362+1)),参数设置!$B$14),EDATE(C362,参数设置!$B$13))</f>
        <v>47488</v>
      </c>
      <c r="H362">
        <f>G362-F362</f>
        <v>31</v>
      </c>
      <c r="I362" s="21">
        <f>IF(E362=参数设置!$B$13,D362,0)</f>
        <v>0</v>
      </c>
      <c r="J362" s="21">
        <f>IF(M362=1,ROUND(D362*参数设置!$B$11*H362/参数设置!$B$12,参数设置!$B$15),0)</f>
        <v>0</v>
      </c>
      <c r="K362" s="21">
        <f>I362+J362</f>
        <v>0</v>
      </c>
      <c r="L362" s="25">
        <f>EDATE(C362,参数设置!$B$13)</f>
        <v>47493</v>
      </c>
      <c r="M362">
        <f>--(D362&gt;0)</f>
        <v>0</v>
      </c>
    </row>
    <row r="363" spans="1:13" ht="15" customHeight="1">
      <c r="A363">
        <v>30</v>
      </c>
      <c r="B363">
        <v>30</v>
      </c>
      <c r="C363" s="25">
        <f>EDATE(参数设置!$B$4,A363-1)</f>
        <v>47128</v>
      </c>
      <c r="D363" s="21">
        <f>IF(AND(A363&lt;=参数设置!$B$6,OR(INDEX(月度资金流!$B$7:$B$42,A363)=策略字典!$A$1,INDEX(月度资金流!$B$7:$B$42,A363)=策略字典!$A$2)),参数设置!$B$5,0)</f>
        <v>0</v>
      </c>
      <c r="E363">
        <v>12</v>
      </c>
      <c r="F363" s="25">
        <f>IF(E363=1,C363,G362)</f>
        <v>47488</v>
      </c>
      <c r="G363" s="25">
        <f>IF(E363&lt;参数设置!$B$13,DATE(YEAR(EDATE(C363,E363+1)),MONTH(EDATE(C363,E363+1)),参数设置!$B$14),EDATE(C363,参数设置!$B$13))</f>
        <v>47493</v>
      </c>
      <c r="H363">
        <f>G363-F363</f>
        <v>5</v>
      </c>
      <c r="I363" s="21">
        <f>IF(E363=参数设置!$B$13,D363,0)</f>
        <v>0</v>
      </c>
      <c r="J363" s="21">
        <f>IF(M363=1,ROUND(D363*参数设置!$B$11*H363/参数设置!$B$12,参数设置!$B$15),0)</f>
        <v>0</v>
      </c>
      <c r="K363" s="21">
        <f>I363+J363</f>
        <v>0</v>
      </c>
      <c r="L363" s="25">
        <f>EDATE(C363,参数设置!$B$13)</f>
        <v>47493</v>
      </c>
      <c r="M363">
        <f>--(D363&gt;0)</f>
        <v>0</v>
      </c>
    </row>
    <row r="364" spans="1:13" ht="15" customHeight="1">
      <c r="A364">
        <v>31</v>
      </c>
      <c r="B364">
        <v>31</v>
      </c>
      <c r="C364" s="25">
        <f>EDATE(参数设置!$B$4,A364-1)</f>
        <v>47159</v>
      </c>
      <c r="D364" s="21">
        <f>IF(AND(A364&lt;=参数设置!$B$6,OR(INDEX(月度资金流!$B$7:$B$42,A364)=策略字典!$A$1,INDEX(月度资金流!$B$7:$B$42,A364)=策略字典!$A$2)),参数设置!$B$5,0)</f>
        <v>0</v>
      </c>
      <c r="E364">
        <v>1</v>
      </c>
      <c r="F364" s="25">
        <f>IF(E364=1,C364,G363)</f>
        <v>47159</v>
      </c>
      <c r="G364" s="25">
        <f>IF(E364&lt;参数设置!$B$13,DATE(YEAR(EDATE(C364,E364+1)),MONTH(EDATE(C364,E364+1)),参数设置!$B$14),EDATE(C364,参数设置!$B$13))</f>
        <v>47213</v>
      </c>
      <c r="H364">
        <f>G364-F364</f>
        <v>54</v>
      </c>
      <c r="I364" s="21">
        <f>IF(E364=参数设置!$B$13,D364,0)</f>
        <v>0</v>
      </c>
      <c r="J364" s="21">
        <f>IF(M364=1,ROUND(D364*参数设置!$B$11*H364/参数设置!$B$12,参数设置!$B$15),0)</f>
        <v>0</v>
      </c>
      <c r="K364" s="21">
        <f>I364+J364</f>
        <v>0</v>
      </c>
      <c r="L364" s="25">
        <f>EDATE(C364,参数设置!$B$13)</f>
        <v>47524</v>
      </c>
      <c r="M364">
        <f>--(D364&gt;0)</f>
        <v>0</v>
      </c>
    </row>
    <row r="365" spans="1:13" ht="15" customHeight="1">
      <c r="A365">
        <v>31</v>
      </c>
      <c r="B365">
        <v>31</v>
      </c>
      <c r="C365" s="25">
        <f>EDATE(参数设置!$B$4,A365-1)</f>
        <v>47159</v>
      </c>
      <c r="D365" s="21">
        <f>IF(AND(A365&lt;=参数设置!$B$6,OR(INDEX(月度资金流!$B$7:$B$42,A365)=策略字典!$A$1,INDEX(月度资金流!$B$7:$B$42,A365)=策略字典!$A$2)),参数设置!$B$5,0)</f>
        <v>0</v>
      </c>
      <c r="E365">
        <v>2</v>
      </c>
      <c r="F365" s="25">
        <f>IF(E365=1,C365,G364)</f>
        <v>47213</v>
      </c>
      <c r="G365" s="25">
        <f>IF(E365&lt;参数设置!$B$13,DATE(YEAR(EDATE(C365,E365+1)),MONTH(EDATE(C365,E365+1)),参数设置!$B$14),EDATE(C365,参数设置!$B$13))</f>
        <v>47243</v>
      </c>
      <c r="H365">
        <f>G365-F365</f>
        <v>30</v>
      </c>
      <c r="I365" s="21">
        <f>IF(E365=参数设置!$B$13,D365,0)</f>
        <v>0</v>
      </c>
      <c r="J365" s="21">
        <f>IF(M365=1,ROUND(D365*参数设置!$B$11*H365/参数设置!$B$12,参数设置!$B$15),0)</f>
        <v>0</v>
      </c>
      <c r="K365" s="21">
        <f>I365+J365</f>
        <v>0</v>
      </c>
      <c r="L365" s="25">
        <f>EDATE(C365,参数设置!$B$13)</f>
        <v>47524</v>
      </c>
      <c r="M365">
        <f>--(D365&gt;0)</f>
        <v>0</v>
      </c>
    </row>
    <row r="366" spans="1:13" ht="15" customHeight="1">
      <c r="A366">
        <v>31</v>
      </c>
      <c r="B366">
        <v>31</v>
      </c>
      <c r="C366" s="25">
        <f>EDATE(参数设置!$B$4,A366-1)</f>
        <v>47159</v>
      </c>
      <c r="D366" s="21">
        <f>IF(AND(A366&lt;=参数设置!$B$6,OR(INDEX(月度资金流!$B$7:$B$42,A366)=策略字典!$A$1,INDEX(月度资金流!$B$7:$B$42,A366)=策略字典!$A$2)),参数设置!$B$5,0)</f>
        <v>0</v>
      </c>
      <c r="E366">
        <v>3</v>
      </c>
      <c r="F366" s="25">
        <f>IF(E366=1,C366,G365)</f>
        <v>47243</v>
      </c>
      <c r="G366" s="25">
        <f>IF(E366&lt;参数设置!$B$13,DATE(YEAR(EDATE(C366,E366+1)),MONTH(EDATE(C366,E366+1)),参数设置!$B$14),EDATE(C366,参数设置!$B$13))</f>
        <v>47274</v>
      </c>
      <c r="H366">
        <f>G366-F366</f>
        <v>31</v>
      </c>
      <c r="I366" s="21">
        <f>IF(E366=参数设置!$B$13,D366,0)</f>
        <v>0</v>
      </c>
      <c r="J366" s="21">
        <f>IF(M366=1,ROUND(D366*参数设置!$B$11*H366/参数设置!$B$12,参数设置!$B$15),0)</f>
        <v>0</v>
      </c>
      <c r="K366" s="21">
        <f>I366+J366</f>
        <v>0</v>
      </c>
      <c r="L366" s="25">
        <f>EDATE(C366,参数设置!$B$13)</f>
        <v>47524</v>
      </c>
      <c r="M366">
        <f>--(D366&gt;0)</f>
        <v>0</v>
      </c>
    </row>
    <row r="367" spans="1:13" ht="15" customHeight="1">
      <c r="A367">
        <v>31</v>
      </c>
      <c r="B367">
        <v>31</v>
      </c>
      <c r="C367" s="25">
        <f>EDATE(参数设置!$B$4,A367-1)</f>
        <v>47159</v>
      </c>
      <c r="D367" s="21">
        <f>IF(AND(A367&lt;=参数设置!$B$6,OR(INDEX(月度资金流!$B$7:$B$42,A367)=策略字典!$A$1,INDEX(月度资金流!$B$7:$B$42,A367)=策略字典!$A$2)),参数设置!$B$5,0)</f>
        <v>0</v>
      </c>
      <c r="E367">
        <v>4</v>
      </c>
      <c r="F367" s="25">
        <f>IF(E367=1,C367,G366)</f>
        <v>47274</v>
      </c>
      <c r="G367" s="25">
        <f>IF(E367&lt;参数设置!$B$13,DATE(YEAR(EDATE(C367,E367+1)),MONTH(EDATE(C367,E367+1)),参数设置!$B$14),EDATE(C367,参数设置!$B$13))</f>
        <v>47304</v>
      </c>
      <c r="H367">
        <f>G367-F367</f>
        <v>30</v>
      </c>
      <c r="I367" s="21">
        <f>IF(E367=参数设置!$B$13,D367,0)</f>
        <v>0</v>
      </c>
      <c r="J367" s="21">
        <f>IF(M367=1,ROUND(D367*参数设置!$B$11*H367/参数设置!$B$12,参数设置!$B$15),0)</f>
        <v>0</v>
      </c>
      <c r="K367" s="21">
        <f>I367+J367</f>
        <v>0</v>
      </c>
      <c r="L367" s="25">
        <f>EDATE(C367,参数设置!$B$13)</f>
        <v>47524</v>
      </c>
      <c r="M367">
        <f>--(D367&gt;0)</f>
        <v>0</v>
      </c>
    </row>
    <row r="368" spans="1:13" ht="15" customHeight="1">
      <c r="A368">
        <v>31</v>
      </c>
      <c r="B368">
        <v>31</v>
      </c>
      <c r="C368" s="25">
        <f>EDATE(参数设置!$B$4,A368-1)</f>
        <v>47159</v>
      </c>
      <c r="D368" s="21">
        <f>IF(AND(A368&lt;=参数设置!$B$6,OR(INDEX(月度资金流!$B$7:$B$42,A368)=策略字典!$A$1,INDEX(月度资金流!$B$7:$B$42,A368)=策略字典!$A$2)),参数设置!$B$5,0)</f>
        <v>0</v>
      </c>
      <c r="E368">
        <v>5</v>
      </c>
      <c r="F368" s="25">
        <f>IF(E368=1,C368,G367)</f>
        <v>47304</v>
      </c>
      <c r="G368" s="25">
        <f>IF(E368&lt;参数设置!$B$13,DATE(YEAR(EDATE(C368,E368+1)),MONTH(EDATE(C368,E368+1)),参数设置!$B$14),EDATE(C368,参数设置!$B$13))</f>
        <v>47335</v>
      </c>
      <c r="H368">
        <f>G368-F368</f>
        <v>31</v>
      </c>
      <c r="I368" s="21">
        <f>IF(E368=参数设置!$B$13,D368,0)</f>
        <v>0</v>
      </c>
      <c r="J368" s="21">
        <f>IF(M368=1,ROUND(D368*参数设置!$B$11*H368/参数设置!$B$12,参数设置!$B$15),0)</f>
        <v>0</v>
      </c>
      <c r="K368" s="21">
        <f>I368+J368</f>
        <v>0</v>
      </c>
      <c r="L368" s="25">
        <f>EDATE(C368,参数设置!$B$13)</f>
        <v>47524</v>
      </c>
      <c r="M368">
        <f>--(D368&gt;0)</f>
        <v>0</v>
      </c>
    </row>
    <row r="369" spans="1:13" ht="15" customHeight="1">
      <c r="A369">
        <v>31</v>
      </c>
      <c r="B369">
        <v>31</v>
      </c>
      <c r="C369" s="25">
        <f>EDATE(参数设置!$B$4,A369-1)</f>
        <v>47159</v>
      </c>
      <c r="D369" s="21">
        <f>IF(AND(A369&lt;=参数设置!$B$6,OR(INDEX(月度资金流!$B$7:$B$42,A369)=策略字典!$A$1,INDEX(月度资金流!$B$7:$B$42,A369)=策略字典!$A$2)),参数设置!$B$5,0)</f>
        <v>0</v>
      </c>
      <c r="E369">
        <v>6</v>
      </c>
      <c r="F369" s="25">
        <f>IF(E369=1,C369,G368)</f>
        <v>47335</v>
      </c>
      <c r="G369" s="25">
        <f>IF(E369&lt;参数设置!$B$13,DATE(YEAR(EDATE(C369,E369+1)),MONTH(EDATE(C369,E369+1)),参数设置!$B$14),EDATE(C369,参数设置!$B$13))</f>
        <v>47366</v>
      </c>
      <c r="H369">
        <f>G369-F369</f>
        <v>31</v>
      </c>
      <c r="I369" s="21">
        <f>IF(E369=参数设置!$B$13,D369,0)</f>
        <v>0</v>
      </c>
      <c r="J369" s="21">
        <f>IF(M369=1,ROUND(D369*参数设置!$B$11*H369/参数设置!$B$12,参数设置!$B$15),0)</f>
        <v>0</v>
      </c>
      <c r="K369" s="21">
        <f>I369+J369</f>
        <v>0</v>
      </c>
      <c r="L369" s="25">
        <f>EDATE(C369,参数设置!$B$13)</f>
        <v>47524</v>
      </c>
      <c r="M369">
        <f>--(D369&gt;0)</f>
        <v>0</v>
      </c>
    </row>
    <row r="370" spans="1:13" ht="15" customHeight="1">
      <c r="A370">
        <v>31</v>
      </c>
      <c r="B370">
        <v>31</v>
      </c>
      <c r="C370" s="25">
        <f>EDATE(参数设置!$B$4,A370-1)</f>
        <v>47159</v>
      </c>
      <c r="D370" s="21">
        <f>IF(AND(A370&lt;=参数设置!$B$6,OR(INDEX(月度资金流!$B$7:$B$42,A370)=策略字典!$A$1,INDEX(月度资金流!$B$7:$B$42,A370)=策略字典!$A$2)),参数设置!$B$5,0)</f>
        <v>0</v>
      </c>
      <c r="E370">
        <v>7</v>
      </c>
      <c r="F370" s="25">
        <f>IF(E370=1,C370,G369)</f>
        <v>47366</v>
      </c>
      <c r="G370" s="25">
        <f>IF(E370&lt;参数设置!$B$13,DATE(YEAR(EDATE(C370,E370+1)),MONTH(EDATE(C370,E370+1)),参数设置!$B$14),EDATE(C370,参数设置!$B$13))</f>
        <v>47396</v>
      </c>
      <c r="H370">
        <f>G370-F370</f>
        <v>30</v>
      </c>
      <c r="I370" s="21">
        <f>IF(E370=参数设置!$B$13,D370,0)</f>
        <v>0</v>
      </c>
      <c r="J370" s="21">
        <f>IF(M370=1,ROUND(D370*参数设置!$B$11*H370/参数设置!$B$12,参数设置!$B$15),0)</f>
        <v>0</v>
      </c>
      <c r="K370" s="21">
        <f>I370+J370</f>
        <v>0</v>
      </c>
      <c r="L370" s="25">
        <f>EDATE(C370,参数设置!$B$13)</f>
        <v>47524</v>
      </c>
      <c r="M370">
        <f>--(D370&gt;0)</f>
        <v>0</v>
      </c>
    </row>
    <row r="371" spans="1:13" ht="15" customHeight="1">
      <c r="A371">
        <v>31</v>
      </c>
      <c r="B371">
        <v>31</v>
      </c>
      <c r="C371" s="25">
        <f>EDATE(参数设置!$B$4,A371-1)</f>
        <v>47159</v>
      </c>
      <c r="D371" s="21">
        <f>IF(AND(A371&lt;=参数设置!$B$6,OR(INDEX(月度资金流!$B$7:$B$42,A371)=策略字典!$A$1,INDEX(月度资金流!$B$7:$B$42,A371)=策略字典!$A$2)),参数设置!$B$5,0)</f>
        <v>0</v>
      </c>
      <c r="E371">
        <v>8</v>
      </c>
      <c r="F371" s="25">
        <f>IF(E371=1,C371,G370)</f>
        <v>47396</v>
      </c>
      <c r="G371" s="25">
        <f>IF(E371&lt;参数设置!$B$13,DATE(YEAR(EDATE(C371,E371+1)),MONTH(EDATE(C371,E371+1)),参数设置!$B$14),EDATE(C371,参数设置!$B$13))</f>
        <v>47427</v>
      </c>
      <c r="H371">
        <f>G371-F371</f>
        <v>31</v>
      </c>
      <c r="I371" s="21">
        <f>IF(E371=参数设置!$B$13,D371,0)</f>
        <v>0</v>
      </c>
      <c r="J371" s="21">
        <f>IF(M371=1,ROUND(D371*参数设置!$B$11*H371/参数设置!$B$12,参数设置!$B$15),0)</f>
        <v>0</v>
      </c>
      <c r="K371" s="21">
        <f>I371+J371</f>
        <v>0</v>
      </c>
      <c r="L371" s="25">
        <f>EDATE(C371,参数设置!$B$13)</f>
        <v>47524</v>
      </c>
      <c r="M371">
        <f>--(D371&gt;0)</f>
        <v>0</v>
      </c>
    </row>
    <row r="372" spans="1:13" ht="15" customHeight="1">
      <c r="A372">
        <v>31</v>
      </c>
      <c r="B372">
        <v>31</v>
      </c>
      <c r="C372" s="25">
        <f>EDATE(参数设置!$B$4,A372-1)</f>
        <v>47159</v>
      </c>
      <c r="D372" s="21">
        <f>IF(AND(A372&lt;=参数设置!$B$6,OR(INDEX(月度资金流!$B$7:$B$42,A372)=策略字典!$A$1,INDEX(月度资金流!$B$7:$B$42,A372)=策略字典!$A$2)),参数设置!$B$5,0)</f>
        <v>0</v>
      </c>
      <c r="E372">
        <v>9</v>
      </c>
      <c r="F372" s="25">
        <f>IF(E372=1,C372,G371)</f>
        <v>47427</v>
      </c>
      <c r="G372" s="25">
        <f>IF(E372&lt;参数设置!$B$13,DATE(YEAR(EDATE(C372,E372+1)),MONTH(EDATE(C372,E372+1)),参数设置!$B$14),EDATE(C372,参数设置!$B$13))</f>
        <v>47457</v>
      </c>
      <c r="H372">
        <f>G372-F372</f>
        <v>30</v>
      </c>
      <c r="I372" s="21">
        <f>IF(E372=参数设置!$B$13,D372,0)</f>
        <v>0</v>
      </c>
      <c r="J372" s="21">
        <f>IF(M372=1,ROUND(D372*参数设置!$B$11*H372/参数设置!$B$12,参数设置!$B$15),0)</f>
        <v>0</v>
      </c>
      <c r="K372" s="21">
        <f>I372+J372</f>
        <v>0</v>
      </c>
      <c r="L372" s="25">
        <f>EDATE(C372,参数设置!$B$13)</f>
        <v>47524</v>
      </c>
      <c r="M372">
        <f>--(D372&gt;0)</f>
        <v>0</v>
      </c>
    </row>
    <row r="373" spans="1:13" ht="15" customHeight="1">
      <c r="A373">
        <v>31</v>
      </c>
      <c r="B373">
        <v>31</v>
      </c>
      <c r="C373" s="25">
        <f>EDATE(参数设置!$B$4,A373-1)</f>
        <v>47159</v>
      </c>
      <c r="D373" s="21">
        <f>IF(AND(A373&lt;=参数设置!$B$6,OR(INDEX(月度资金流!$B$7:$B$42,A373)=策略字典!$A$1,INDEX(月度资金流!$B$7:$B$42,A373)=策略字典!$A$2)),参数设置!$B$5,0)</f>
        <v>0</v>
      </c>
      <c r="E373">
        <v>10</v>
      </c>
      <c r="F373" s="25">
        <f>IF(E373=1,C373,G372)</f>
        <v>47457</v>
      </c>
      <c r="G373" s="25">
        <f>IF(E373&lt;参数设置!$B$13,DATE(YEAR(EDATE(C373,E373+1)),MONTH(EDATE(C373,E373+1)),参数设置!$B$14),EDATE(C373,参数设置!$B$13))</f>
        <v>47488</v>
      </c>
      <c r="H373">
        <f>G373-F373</f>
        <v>31</v>
      </c>
      <c r="I373" s="21">
        <f>IF(E373=参数设置!$B$13,D373,0)</f>
        <v>0</v>
      </c>
      <c r="J373" s="21">
        <f>IF(M373=1,ROUND(D373*参数设置!$B$11*H373/参数设置!$B$12,参数设置!$B$15),0)</f>
        <v>0</v>
      </c>
      <c r="K373" s="21">
        <f>I373+J373</f>
        <v>0</v>
      </c>
      <c r="L373" s="25">
        <f>EDATE(C373,参数设置!$B$13)</f>
        <v>47524</v>
      </c>
      <c r="M373">
        <f>--(D373&gt;0)</f>
        <v>0</v>
      </c>
    </row>
    <row r="374" spans="1:13" ht="15" customHeight="1">
      <c r="A374">
        <v>31</v>
      </c>
      <c r="B374">
        <v>31</v>
      </c>
      <c r="C374" s="25">
        <f>EDATE(参数设置!$B$4,A374-1)</f>
        <v>47159</v>
      </c>
      <c r="D374" s="21">
        <f>IF(AND(A374&lt;=参数设置!$B$6,OR(INDEX(月度资金流!$B$7:$B$42,A374)=策略字典!$A$1,INDEX(月度资金流!$B$7:$B$42,A374)=策略字典!$A$2)),参数设置!$B$5,0)</f>
        <v>0</v>
      </c>
      <c r="E374">
        <v>11</v>
      </c>
      <c r="F374" s="25">
        <f>IF(E374=1,C374,G373)</f>
        <v>47488</v>
      </c>
      <c r="G374" s="25">
        <f>IF(E374&lt;参数设置!$B$13,DATE(YEAR(EDATE(C374,E374+1)),MONTH(EDATE(C374,E374+1)),参数设置!$B$14),EDATE(C374,参数设置!$B$13))</f>
        <v>47519</v>
      </c>
      <c r="H374">
        <f>G374-F374</f>
        <v>31</v>
      </c>
      <c r="I374" s="21">
        <f>IF(E374=参数设置!$B$13,D374,0)</f>
        <v>0</v>
      </c>
      <c r="J374" s="21">
        <f>IF(M374=1,ROUND(D374*参数设置!$B$11*H374/参数设置!$B$12,参数设置!$B$15),0)</f>
        <v>0</v>
      </c>
      <c r="K374" s="21">
        <f>I374+J374</f>
        <v>0</v>
      </c>
      <c r="L374" s="25">
        <f>EDATE(C374,参数设置!$B$13)</f>
        <v>47524</v>
      </c>
      <c r="M374">
        <f>--(D374&gt;0)</f>
        <v>0</v>
      </c>
    </row>
    <row r="375" spans="1:13" ht="15" customHeight="1">
      <c r="A375">
        <v>31</v>
      </c>
      <c r="B375">
        <v>31</v>
      </c>
      <c r="C375" s="25">
        <f>EDATE(参数设置!$B$4,A375-1)</f>
        <v>47159</v>
      </c>
      <c r="D375" s="21">
        <f>IF(AND(A375&lt;=参数设置!$B$6,OR(INDEX(月度资金流!$B$7:$B$42,A375)=策略字典!$A$1,INDEX(月度资金流!$B$7:$B$42,A375)=策略字典!$A$2)),参数设置!$B$5,0)</f>
        <v>0</v>
      </c>
      <c r="E375">
        <v>12</v>
      </c>
      <c r="F375" s="25">
        <f>IF(E375=1,C375,G374)</f>
        <v>47519</v>
      </c>
      <c r="G375" s="25">
        <f>IF(E375&lt;参数设置!$B$13,DATE(YEAR(EDATE(C375,E375+1)),MONTH(EDATE(C375,E375+1)),参数设置!$B$14),EDATE(C375,参数设置!$B$13))</f>
        <v>47524</v>
      </c>
      <c r="H375">
        <f>G375-F375</f>
        <v>5</v>
      </c>
      <c r="I375" s="21">
        <f>IF(E375=参数设置!$B$13,D375,0)</f>
        <v>0</v>
      </c>
      <c r="J375" s="21">
        <f>IF(M375=1,ROUND(D375*参数设置!$B$11*H375/参数设置!$B$12,参数设置!$B$15),0)</f>
        <v>0</v>
      </c>
      <c r="K375" s="21">
        <f>I375+J375</f>
        <v>0</v>
      </c>
      <c r="L375" s="25">
        <f>EDATE(C375,参数设置!$B$13)</f>
        <v>47524</v>
      </c>
      <c r="M375">
        <f>--(D375&gt;0)</f>
        <v>0</v>
      </c>
    </row>
    <row r="376" spans="1:13" ht="15" customHeight="1">
      <c r="A376">
        <v>32</v>
      </c>
      <c r="B376">
        <v>32</v>
      </c>
      <c r="C376" s="25">
        <f>EDATE(参数设置!$B$4,A376-1)</f>
        <v>47187</v>
      </c>
      <c r="D376" s="21">
        <f>IF(AND(A376&lt;=参数设置!$B$6,OR(INDEX(月度资金流!$B$7:$B$42,A376)=策略字典!$A$1,INDEX(月度资金流!$B$7:$B$42,A376)=策略字典!$A$2)),参数设置!$B$5,0)</f>
        <v>0</v>
      </c>
      <c r="E376">
        <v>1</v>
      </c>
      <c r="F376" s="25">
        <f>IF(E376=1,C376,G375)</f>
        <v>47187</v>
      </c>
      <c r="G376" s="25">
        <f>IF(E376&lt;参数设置!$B$13,DATE(YEAR(EDATE(C376,E376+1)),MONTH(EDATE(C376,E376+1)),参数设置!$B$14),EDATE(C376,参数设置!$B$13))</f>
        <v>47243</v>
      </c>
      <c r="H376">
        <f>G376-F376</f>
        <v>56</v>
      </c>
      <c r="I376" s="21">
        <f>IF(E376=参数设置!$B$13,D376,0)</f>
        <v>0</v>
      </c>
      <c r="J376" s="21">
        <f>IF(M376=1,ROUND(D376*参数设置!$B$11*H376/参数设置!$B$12,参数设置!$B$15),0)</f>
        <v>0</v>
      </c>
      <c r="K376" s="21">
        <f>I376+J376</f>
        <v>0</v>
      </c>
      <c r="L376" s="25">
        <f>EDATE(C376,参数设置!$B$13)</f>
        <v>47552</v>
      </c>
      <c r="M376">
        <f>--(D376&gt;0)</f>
        <v>0</v>
      </c>
    </row>
    <row r="377" spans="1:13" ht="15" customHeight="1">
      <c r="A377">
        <v>32</v>
      </c>
      <c r="B377">
        <v>32</v>
      </c>
      <c r="C377" s="25">
        <f>EDATE(参数设置!$B$4,A377-1)</f>
        <v>47187</v>
      </c>
      <c r="D377" s="21">
        <f>IF(AND(A377&lt;=参数设置!$B$6,OR(INDEX(月度资金流!$B$7:$B$42,A377)=策略字典!$A$1,INDEX(月度资金流!$B$7:$B$42,A377)=策略字典!$A$2)),参数设置!$B$5,0)</f>
        <v>0</v>
      </c>
      <c r="E377">
        <v>2</v>
      </c>
      <c r="F377" s="25">
        <f>IF(E377=1,C377,G376)</f>
        <v>47243</v>
      </c>
      <c r="G377" s="25">
        <f>IF(E377&lt;参数设置!$B$13,DATE(YEAR(EDATE(C377,E377+1)),MONTH(EDATE(C377,E377+1)),参数设置!$B$14),EDATE(C377,参数设置!$B$13))</f>
        <v>47274</v>
      </c>
      <c r="H377">
        <f>G377-F377</f>
        <v>31</v>
      </c>
      <c r="I377" s="21">
        <f>IF(E377=参数设置!$B$13,D377,0)</f>
        <v>0</v>
      </c>
      <c r="J377" s="21">
        <f>IF(M377=1,ROUND(D377*参数设置!$B$11*H377/参数设置!$B$12,参数设置!$B$15),0)</f>
        <v>0</v>
      </c>
      <c r="K377" s="21">
        <f>I377+J377</f>
        <v>0</v>
      </c>
      <c r="L377" s="25">
        <f>EDATE(C377,参数设置!$B$13)</f>
        <v>47552</v>
      </c>
      <c r="M377">
        <f>--(D377&gt;0)</f>
        <v>0</v>
      </c>
    </row>
    <row r="378" spans="1:13" ht="15" customHeight="1">
      <c r="A378">
        <v>32</v>
      </c>
      <c r="B378">
        <v>32</v>
      </c>
      <c r="C378" s="25">
        <f>EDATE(参数设置!$B$4,A378-1)</f>
        <v>47187</v>
      </c>
      <c r="D378" s="21">
        <f>IF(AND(A378&lt;=参数设置!$B$6,OR(INDEX(月度资金流!$B$7:$B$42,A378)=策略字典!$A$1,INDEX(月度资金流!$B$7:$B$42,A378)=策略字典!$A$2)),参数设置!$B$5,0)</f>
        <v>0</v>
      </c>
      <c r="E378">
        <v>3</v>
      </c>
      <c r="F378" s="25">
        <f>IF(E378=1,C378,G377)</f>
        <v>47274</v>
      </c>
      <c r="G378" s="25">
        <f>IF(E378&lt;参数设置!$B$13,DATE(YEAR(EDATE(C378,E378+1)),MONTH(EDATE(C378,E378+1)),参数设置!$B$14),EDATE(C378,参数设置!$B$13))</f>
        <v>47304</v>
      </c>
      <c r="H378">
        <f>G378-F378</f>
        <v>30</v>
      </c>
      <c r="I378" s="21">
        <f>IF(E378=参数设置!$B$13,D378,0)</f>
        <v>0</v>
      </c>
      <c r="J378" s="21">
        <f>IF(M378=1,ROUND(D378*参数设置!$B$11*H378/参数设置!$B$12,参数设置!$B$15),0)</f>
        <v>0</v>
      </c>
      <c r="K378" s="21">
        <f>I378+J378</f>
        <v>0</v>
      </c>
      <c r="L378" s="25">
        <f>EDATE(C378,参数设置!$B$13)</f>
        <v>47552</v>
      </c>
      <c r="M378">
        <f>--(D378&gt;0)</f>
        <v>0</v>
      </c>
    </row>
    <row r="379" spans="1:13" ht="15" customHeight="1">
      <c r="A379">
        <v>32</v>
      </c>
      <c r="B379">
        <v>32</v>
      </c>
      <c r="C379" s="25">
        <f>EDATE(参数设置!$B$4,A379-1)</f>
        <v>47187</v>
      </c>
      <c r="D379" s="21">
        <f>IF(AND(A379&lt;=参数设置!$B$6,OR(INDEX(月度资金流!$B$7:$B$42,A379)=策略字典!$A$1,INDEX(月度资金流!$B$7:$B$42,A379)=策略字典!$A$2)),参数设置!$B$5,0)</f>
        <v>0</v>
      </c>
      <c r="E379">
        <v>4</v>
      </c>
      <c r="F379" s="25">
        <f>IF(E379=1,C379,G378)</f>
        <v>47304</v>
      </c>
      <c r="G379" s="25">
        <f>IF(E379&lt;参数设置!$B$13,DATE(YEAR(EDATE(C379,E379+1)),MONTH(EDATE(C379,E379+1)),参数设置!$B$14),EDATE(C379,参数设置!$B$13))</f>
        <v>47335</v>
      </c>
      <c r="H379">
        <f>G379-F379</f>
        <v>31</v>
      </c>
      <c r="I379" s="21">
        <f>IF(E379=参数设置!$B$13,D379,0)</f>
        <v>0</v>
      </c>
      <c r="J379" s="21">
        <f>IF(M379=1,ROUND(D379*参数设置!$B$11*H379/参数设置!$B$12,参数设置!$B$15),0)</f>
        <v>0</v>
      </c>
      <c r="K379" s="21">
        <f>I379+J379</f>
        <v>0</v>
      </c>
      <c r="L379" s="25">
        <f>EDATE(C379,参数设置!$B$13)</f>
        <v>47552</v>
      </c>
      <c r="M379">
        <f>--(D379&gt;0)</f>
        <v>0</v>
      </c>
    </row>
    <row r="380" spans="1:13" ht="15" customHeight="1">
      <c r="A380">
        <v>32</v>
      </c>
      <c r="B380">
        <v>32</v>
      </c>
      <c r="C380" s="25">
        <f>EDATE(参数设置!$B$4,A380-1)</f>
        <v>47187</v>
      </c>
      <c r="D380" s="21">
        <f>IF(AND(A380&lt;=参数设置!$B$6,OR(INDEX(月度资金流!$B$7:$B$42,A380)=策略字典!$A$1,INDEX(月度资金流!$B$7:$B$42,A380)=策略字典!$A$2)),参数设置!$B$5,0)</f>
        <v>0</v>
      </c>
      <c r="E380">
        <v>5</v>
      </c>
      <c r="F380" s="25">
        <f>IF(E380=1,C380,G379)</f>
        <v>47335</v>
      </c>
      <c r="G380" s="25">
        <f>IF(E380&lt;参数设置!$B$13,DATE(YEAR(EDATE(C380,E380+1)),MONTH(EDATE(C380,E380+1)),参数设置!$B$14),EDATE(C380,参数设置!$B$13))</f>
        <v>47366</v>
      </c>
      <c r="H380">
        <f>G380-F380</f>
        <v>31</v>
      </c>
      <c r="I380" s="21">
        <f>IF(E380=参数设置!$B$13,D380,0)</f>
        <v>0</v>
      </c>
      <c r="J380" s="21">
        <f>IF(M380=1,ROUND(D380*参数设置!$B$11*H380/参数设置!$B$12,参数设置!$B$15),0)</f>
        <v>0</v>
      </c>
      <c r="K380" s="21">
        <f>I380+J380</f>
        <v>0</v>
      </c>
      <c r="L380" s="25">
        <f>EDATE(C380,参数设置!$B$13)</f>
        <v>47552</v>
      </c>
      <c r="M380">
        <f>--(D380&gt;0)</f>
        <v>0</v>
      </c>
    </row>
    <row r="381" spans="1:13" ht="15" customHeight="1">
      <c r="A381">
        <v>32</v>
      </c>
      <c r="B381">
        <v>32</v>
      </c>
      <c r="C381" s="25">
        <f>EDATE(参数设置!$B$4,A381-1)</f>
        <v>47187</v>
      </c>
      <c r="D381" s="21">
        <f>IF(AND(A381&lt;=参数设置!$B$6,OR(INDEX(月度资金流!$B$7:$B$42,A381)=策略字典!$A$1,INDEX(月度资金流!$B$7:$B$42,A381)=策略字典!$A$2)),参数设置!$B$5,0)</f>
        <v>0</v>
      </c>
      <c r="E381">
        <v>6</v>
      </c>
      <c r="F381" s="25">
        <f>IF(E381=1,C381,G380)</f>
        <v>47366</v>
      </c>
      <c r="G381" s="25">
        <f>IF(E381&lt;参数设置!$B$13,DATE(YEAR(EDATE(C381,E381+1)),MONTH(EDATE(C381,E381+1)),参数设置!$B$14),EDATE(C381,参数设置!$B$13))</f>
        <v>47396</v>
      </c>
      <c r="H381">
        <f>G381-F381</f>
        <v>30</v>
      </c>
      <c r="I381" s="21">
        <f>IF(E381=参数设置!$B$13,D381,0)</f>
        <v>0</v>
      </c>
      <c r="J381" s="21">
        <f>IF(M381=1,ROUND(D381*参数设置!$B$11*H381/参数设置!$B$12,参数设置!$B$15),0)</f>
        <v>0</v>
      </c>
      <c r="K381" s="21">
        <f>I381+J381</f>
        <v>0</v>
      </c>
      <c r="L381" s="25">
        <f>EDATE(C381,参数设置!$B$13)</f>
        <v>47552</v>
      </c>
      <c r="M381">
        <f>--(D381&gt;0)</f>
        <v>0</v>
      </c>
    </row>
    <row r="382" spans="1:13" ht="15" customHeight="1">
      <c r="A382">
        <v>32</v>
      </c>
      <c r="B382">
        <v>32</v>
      </c>
      <c r="C382" s="25">
        <f>EDATE(参数设置!$B$4,A382-1)</f>
        <v>47187</v>
      </c>
      <c r="D382" s="21">
        <f>IF(AND(A382&lt;=参数设置!$B$6,OR(INDEX(月度资金流!$B$7:$B$42,A382)=策略字典!$A$1,INDEX(月度资金流!$B$7:$B$42,A382)=策略字典!$A$2)),参数设置!$B$5,0)</f>
        <v>0</v>
      </c>
      <c r="E382">
        <v>7</v>
      </c>
      <c r="F382" s="25">
        <f>IF(E382=1,C382,G381)</f>
        <v>47396</v>
      </c>
      <c r="G382" s="25">
        <f>IF(E382&lt;参数设置!$B$13,DATE(YEAR(EDATE(C382,E382+1)),MONTH(EDATE(C382,E382+1)),参数设置!$B$14),EDATE(C382,参数设置!$B$13))</f>
        <v>47427</v>
      </c>
      <c r="H382">
        <f>G382-F382</f>
        <v>31</v>
      </c>
      <c r="I382" s="21">
        <f>IF(E382=参数设置!$B$13,D382,0)</f>
        <v>0</v>
      </c>
      <c r="J382" s="21">
        <f>IF(M382=1,ROUND(D382*参数设置!$B$11*H382/参数设置!$B$12,参数设置!$B$15),0)</f>
        <v>0</v>
      </c>
      <c r="K382" s="21">
        <f>I382+J382</f>
        <v>0</v>
      </c>
      <c r="L382" s="25">
        <f>EDATE(C382,参数设置!$B$13)</f>
        <v>47552</v>
      </c>
      <c r="M382">
        <f>--(D382&gt;0)</f>
        <v>0</v>
      </c>
    </row>
    <row r="383" spans="1:13" ht="15" customHeight="1">
      <c r="A383">
        <v>32</v>
      </c>
      <c r="B383">
        <v>32</v>
      </c>
      <c r="C383" s="25">
        <f>EDATE(参数设置!$B$4,A383-1)</f>
        <v>47187</v>
      </c>
      <c r="D383" s="21">
        <f>IF(AND(A383&lt;=参数设置!$B$6,OR(INDEX(月度资金流!$B$7:$B$42,A383)=策略字典!$A$1,INDEX(月度资金流!$B$7:$B$42,A383)=策略字典!$A$2)),参数设置!$B$5,0)</f>
        <v>0</v>
      </c>
      <c r="E383">
        <v>8</v>
      </c>
      <c r="F383" s="25">
        <f>IF(E383=1,C383,G382)</f>
        <v>47427</v>
      </c>
      <c r="G383" s="25">
        <f>IF(E383&lt;参数设置!$B$13,DATE(YEAR(EDATE(C383,E383+1)),MONTH(EDATE(C383,E383+1)),参数设置!$B$14),EDATE(C383,参数设置!$B$13))</f>
        <v>47457</v>
      </c>
      <c r="H383">
        <f>G383-F383</f>
        <v>30</v>
      </c>
      <c r="I383" s="21">
        <f>IF(E383=参数设置!$B$13,D383,0)</f>
        <v>0</v>
      </c>
      <c r="J383" s="21">
        <f>IF(M383=1,ROUND(D383*参数设置!$B$11*H383/参数设置!$B$12,参数设置!$B$15),0)</f>
        <v>0</v>
      </c>
      <c r="K383" s="21">
        <f>I383+J383</f>
        <v>0</v>
      </c>
      <c r="L383" s="25">
        <f>EDATE(C383,参数设置!$B$13)</f>
        <v>47552</v>
      </c>
      <c r="M383">
        <f>--(D383&gt;0)</f>
        <v>0</v>
      </c>
    </row>
    <row r="384" spans="1:13" ht="15" customHeight="1">
      <c r="A384">
        <v>32</v>
      </c>
      <c r="B384">
        <v>32</v>
      </c>
      <c r="C384" s="25">
        <f>EDATE(参数设置!$B$4,A384-1)</f>
        <v>47187</v>
      </c>
      <c r="D384" s="21">
        <f>IF(AND(A384&lt;=参数设置!$B$6,OR(INDEX(月度资金流!$B$7:$B$42,A384)=策略字典!$A$1,INDEX(月度资金流!$B$7:$B$42,A384)=策略字典!$A$2)),参数设置!$B$5,0)</f>
        <v>0</v>
      </c>
      <c r="E384">
        <v>9</v>
      </c>
      <c r="F384" s="25">
        <f>IF(E384=1,C384,G383)</f>
        <v>47457</v>
      </c>
      <c r="G384" s="25">
        <f>IF(E384&lt;参数设置!$B$13,DATE(YEAR(EDATE(C384,E384+1)),MONTH(EDATE(C384,E384+1)),参数设置!$B$14),EDATE(C384,参数设置!$B$13))</f>
        <v>47488</v>
      </c>
      <c r="H384">
        <f>G384-F384</f>
        <v>31</v>
      </c>
      <c r="I384" s="21">
        <f>IF(E384=参数设置!$B$13,D384,0)</f>
        <v>0</v>
      </c>
      <c r="J384" s="21">
        <f>IF(M384=1,ROUND(D384*参数设置!$B$11*H384/参数设置!$B$12,参数设置!$B$15),0)</f>
        <v>0</v>
      </c>
      <c r="K384" s="21">
        <f>I384+J384</f>
        <v>0</v>
      </c>
      <c r="L384" s="25">
        <f>EDATE(C384,参数设置!$B$13)</f>
        <v>47552</v>
      </c>
      <c r="M384">
        <f>--(D384&gt;0)</f>
        <v>0</v>
      </c>
    </row>
    <row r="385" spans="1:13" ht="15" customHeight="1">
      <c r="A385">
        <v>32</v>
      </c>
      <c r="B385">
        <v>32</v>
      </c>
      <c r="C385" s="25">
        <f>EDATE(参数设置!$B$4,A385-1)</f>
        <v>47187</v>
      </c>
      <c r="D385" s="21">
        <f>IF(AND(A385&lt;=参数设置!$B$6,OR(INDEX(月度资金流!$B$7:$B$42,A385)=策略字典!$A$1,INDEX(月度资金流!$B$7:$B$42,A385)=策略字典!$A$2)),参数设置!$B$5,0)</f>
        <v>0</v>
      </c>
      <c r="E385">
        <v>10</v>
      </c>
      <c r="F385" s="25">
        <f>IF(E385=1,C385,G384)</f>
        <v>47488</v>
      </c>
      <c r="G385" s="25">
        <f>IF(E385&lt;参数设置!$B$13,DATE(YEAR(EDATE(C385,E385+1)),MONTH(EDATE(C385,E385+1)),参数设置!$B$14),EDATE(C385,参数设置!$B$13))</f>
        <v>47519</v>
      </c>
      <c r="H385">
        <f>G385-F385</f>
        <v>31</v>
      </c>
      <c r="I385" s="21">
        <f>IF(E385=参数设置!$B$13,D385,0)</f>
        <v>0</v>
      </c>
      <c r="J385" s="21">
        <f>IF(M385=1,ROUND(D385*参数设置!$B$11*H385/参数设置!$B$12,参数设置!$B$15),0)</f>
        <v>0</v>
      </c>
      <c r="K385" s="21">
        <f>I385+J385</f>
        <v>0</v>
      </c>
      <c r="L385" s="25">
        <f>EDATE(C385,参数设置!$B$13)</f>
        <v>47552</v>
      </c>
      <c r="M385">
        <f>--(D385&gt;0)</f>
        <v>0</v>
      </c>
    </row>
    <row r="386" spans="1:13" ht="15" customHeight="1">
      <c r="A386">
        <v>32</v>
      </c>
      <c r="B386">
        <v>32</v>
      </c>
      <c r="C386" s="25">
        <f>EDATE(参数设置!$B$4,A386-1)</f>
        <v>47187</v>
      </c>
      <c r="D386" s="21">
        <f>IF(AND(A386&lt;=参数设置!$B$6,OR(INDEX(月度资金流!$B$7:$B$42,A386)=策略字典!$A$1,INDEX(月度资金流!$B$7:$B$42,A386)=策略字典!$A$2)),参数设置!$B$5,0)</f>
        <v>0</v>
      </c>
      <c r="E386">
        <v>11</v>
      </c>
      <c r="F386" s="25">
        <f>IF(E386=1,C386,G385)</f>
        <v>47519</v>
      </c>
      <c r="G386" s="25">
        <f>IF(E386&lt;参数设置!$B$13,DATE(YEAR(EDATE(C386,E386+1)),MONTH(EDATE(C386,E386+1)),参数设置!$B$14),EDATE(C386,参数设置!$B$13))</f>
        <v>47547</v>
      </c>
      <c r="H386">
        <f>G386-F386</f>
        <v>28</v>
      </c>
      <c r="I386" s="21">
        <f>IF(E386=参数设置!$B$13,D386,0)</f>
        <v>0</v>
      </c>
      <c r="J386" s="21">
        <f>IF(M386=1,ROUND(D386*参数设置!$B$11*H386/参数设置!$B$12,参数设置!$B$15),0)</f>
        <v>0</v>
      </c>
      <c r="K386" s="21">
        <f>I386+J386</f>
        <v>0</v>
      </c>
      <c r="L386" s="25">
        <f>EDATE(C386,参数设置!$B$13)</f>
        <v>47552</v>
      </c>
      <c r="M386">
        <f>--(D386&gt;0)</f>
        <v>0</v>
      </c>
    </row>
    <row r="387" spans="1:13" ht="15" customHeight="1">
      <c r="A387">
        <v>32</v>
      </c>
      <c r="B387">
        <v>32</v>
      </c>
      <c r="C387" s="25">
        <f>EDATE(参数设置!$B$4,A387-1)</f>
        <v>47187</v>
      </c>
      <c r="D387" s="21">
        <f>IF(AND(A387&lt;=参数设置!$B$6,OR(INDEX(月度资金流!$B$7:$B$42,A387)=策略字典!$A$1,INDEX(月度资金流!$B$7:$B$42,A387)=策略字典!$A$2)),参数设置!$B$5,0)</f>
        <v>0</v>
      </c>
      <c r="E387">
        <v>12</v>
      </c>
      <c r="F387" s="25">
        <f>IF(E387=1,C387,G386)</f>
        <v>47547</v>
      </c>
      <c r="G387" s="25">
        <f>IF(E387&lt;参数设置!$B$13,DATE(YEAR(EDATE(C387,E387+1)),MONTH(EDATE(C387,E387+1)),参数设置!$B$14),EDATE(C387,参数设置!$B$13))</f>
        <v>47552</v>
      </c>
      <c r="H387">
        <f>G387-F387</f>
        <v>5</v>
      </c>
      <c r="I387" s="21">
        <f>IF(E387=参数设置!$B$13,D387,0)</f>
        <v>0</v>
      </c>
      <c r="J387" s="21">
        <f>IF(M387=1,ROUND(D387*参数设置!$B$11*H387/参数设置!$B$12,参数设置!$B$15),0)</f>
        <v>0</v>
      </c>
      <c r="K387" s="21">
        <f>I387+J387</f>
        <v>0</v>
      </c>
      <c r="L387" s="25">
        <f>EDATE(C387,参数设置!$B$13)</f>
        <v>47552</v>
      </c>
      <c r="M387">
        <f>--(D387&gt;0)</f>
        <v>0</v>
      </c>
    </row>
    <row r="388" spans="1:13" ht="15" customHeight="1">
      <c r="A388">
        <v>33</v>
      </c>
      <c r="B388">
        <v>33</v>
      </c>
      <c r="C388" s="25">
        <f>EDATE(参数设置!$B$4,A388-1)</f>
        <v>47218</v>
      </c>
      <c r="D388" s="21">
        <f>IF(AND(A388&lt;=参数设置!$B$6,OR(INDEX(月度资金流!$B$7:$B$42,A388)=策略字典!$A$1,INDEX(月度资金流!$B$7:$B$42,A388)=策略字典!$A$2)),参数设置!$B$5,0)</f>
        <v>0</v>
      </c>
      <c r="E388">
        <v>1</v>
      </c>
      <c r="F388" s="25">
        <f>IF(E388=1,C388,G387)</f>
        <v>47218</v>
      </c>
      <c r="G388" s="25">
        <f>IF(E388&lt;参数设置!$B$13,DATE(YEAR(EDATE(C388,E388+1)),MONTH(EDATE(C388,E388+1)),参数设置!$B$14),EDATE(C388,参数设置!$B$13))</f>
        <v>47274</v>
      </c>
      <c r="H388">
        <f>G388-F388</f>
        <v>56</v>
      </c>
      <c r="I388" s="21">
        <f>IF(E388=参数设置!$B$13,D388,0)</f>
        <v>0</v>
      </c>
      <c r="J388" s="21">
        <f>IF(M388=1,ROUND(D388*参数设置!$B$11*H388/参数设置!$B$12,参数设置!$B$15),0)</f>
        <v>0</v>
      </c>
      <c r="K388" s="21">
        <f>I388+J388</f>
        <v>0</v>
      </c>
      <c r="L388" s="25">
        <f>EDATE(C388,参数设置!$B$13)</f>
        <v>47583</v>
      </c>
      <c r="M388">
        <f>--(D388&gt;0)</f>
        <v>0</v>
      </c>
    </row>
    <row r="389" spans="1:13" ht="15" customHeight="1">
      <c r="A389">
        <v>33</v>
      </c>
      <c r="B389">
        <v>33</v>
      </c>
      <c r="C389" s="25">
        <f>EDATE(参数设置!$B$4,A389-1)</f>
        <v>47218</v>
      </c>
      <c r="D389" s="21">
        <f>IF(AND(A389&lt;=参数设置!$B$6,OR(INDEX(月度资金流!$B$7:$B$42,A389)=策略字典!$A$1,INDEX(月度资金流!$B$7:$B$42,A389)=策略字典!$A$2)),参数设置!$B$5,0)</f>
        <v>0</v>
      </c>
      <c r="E389">
        <v>2</v>
      </c>
      <c r="F389" s="25">
        <f>IF(E389=1,C389,G388)</f>
        <v>47274</v>
      </c>
      <c r="G389" s="25">
        <f>IF(E389&lt;参数设置!$B$13,DATE(YEAR(EDATE(C389,E389+1)),MONTH(EDATE(C389,E389+1)),参数设置!$B$14),EDATE(C389,参数设置!$B$13))</f>
        <v>47304</v>
      </c>
      <c r="H389">
        <f>G389-F389</f>
        <v>30</v>
      </c>
      <c r="I389" s="21">
        <f>IF(E389=参数设置!$B$13,D389,0)</f>
        <v>0</v>
      </c>
      <c r="J389" s="21">
        <f>IF(M389=1,ROUND(D389*参数设置!$B$11*H389/参数设置!$B$12,参数设置!$B$15),0)</f>
        <v>0</v>
      </c>
      <c r="K389" s="21">
        <f>I389+J389</f>
        <v>0</v>
      </c>
      <c r="L389" s="25">
        <f>EDATE(C389,参数设置!$B$13)</f>
        <v>47583</v>
      </c>
      <c r="M389">
        <f>--(D389&gt;0)</f>
        <v>0</v>
      </c>
    </row>
    <row r="390" spans="1:13" ht="15" customHeight="1">
      <c r="A390">
        <v>33</v>
      </c>
      <c r="B390">
        <v>33</v>
      </c>
      <c r="C390" s="25">
        <f>EDATE(参数设置!$B$4,A390-1)</f>
        <v>47218</v>
      </c>
      <c r="D390" s="21">
        <f>IF(AND(A390&lt;=参数设置!$B$6,OR(INDEX(月度资金流!$B$7:$B$42,A390)=策略字典!$A$1,INDEX(月度资金流!$B$7:$B$42,A390)=策略字典!$A$2)),参数设置!$B$5,0)</f>
        <v>0</v>
      </c>
      <c r="E390">
        <v>3</v>
      </c>
      <c r="F390" s="25">
        <f>IF(E390=1,C390,G389)</f>
        <v>47304</v>
      </c>
      <c r="G390" s="25">
        <f>IF(E390&lt;参数设置!$B$13,DATE(YEAR(EDATE(C390,E390+1)),MONTH(EDATE(C390,E390+1)),参数设置!$B$14),EDATE(C390,参数设置!$B$13))</f>
        <v>47335</v>
      </c>
      <c r="H390">
        <f>G390-F390</f>
        <v>31</v>
      </c>
      <c r="I390" s="21">
        <f>IF(E390=参数设置!$B$13,D390,0)</f>
        <v>0</v>
      </c>
      <c r="J390" s="21">
        <f>IF(M390=1,ROUND(D390*参数设置!$B$11*H390/参数设置!$B$12,参数设置!$B$15),0)</f>
        <v>0</v>
      </c>
      <c r="K390" s="21">
        <f>I390+J390</f>
        <v>0</v>
      </c>
      <c r="L390" s="25">
        <f>EDATE(C390,参数设置!$B$13)</f>
        <v>47583</v>
      </c>
      <c r="M390">
        <f>--(D390&gt;0)</f>
        <v>0</v>
      </c>
    </row>
    <row r="391" spans="1:13" ht="15" customHeight="1">
      <c r="A391">
        <v>33</v>
      </c>
      <c r="B391">
        <v>33</v>
      </c>
      <c r="C391" s="25">
        <f>EDATE(参数设置!$B$4,A391-1)</f>
        <v>47218</v>
      </c>
      <c r="D391" s="21">
        <f>IF(AND(A391&lt;=参数设置!$B$6,OR(INDEX(月度资金流!$B$7:$B$42,A391)=策略字典!$A$1,INDEX(月度资金流!$B$7:$B$42,A391)=策略字典!$A$2)),参数设置!$B$5,0)</f>
        <v>0</v>
      </c>
      <c r="E391">
        <v>4</v>
      </c>
      <c r="F391" s="25">
        <f>IF(E391=1,C391,G390)</f>
        <v>47335</v>
      </c>
      <c r="G391" s="25">
        <f>IF(E391&lt;参数设置!$B$13,DATE(YEAR(EDATE(C391,E391+1)),MONTH(EDATE(C391,E391+1)),参数设置!$B$14),EDATE(C391,参数设置!$B$13))</f>
        <v>47366</v>
      </c>
      <c r="H391">
        <f>G391-F391</f>
        <v>31</v>
      </c>
      <c r="I391" s="21">
        <f>IF(E391=参数设置!$B$13,D391,0)</f>
        <v>0</v>
      </c>
      <c r="J391" s="21">
        <f>IF(M391=1,ROUND(D391*参数设置!$B$11*H391/参数设置!$B$12,参数设置!$B$15),0)</f>
        <v>0</v>
      </c>
      <c r="K391" s="21">
        <f>I391+J391</f>
        <v>0</v>
      </c>
      <c r="L391" s="25">
        <f>EDATE(C391,参数设置!$B$13)</f>
        <v>47583</v>
      </c>
      <c r="M391">
        <f>--(D391&gt;0)</f>
        <v>0</v>
      </c>
    </row>
    <row r="392" spans="1:13" ht="15" customHeight="1">
      <c r="A392">
        <v>33</v>
      </c>
      <c r="B392">
        <v>33</v>
      </c>
      <c r="C392" s="25">
        <f>EDATE(参数设置!$B$4,A392-1)</f>
        <v>47218</v>
      </c>
      <c r="D392" s="21">
        <f>IF(AND(A392&lt;=参数设置!$B$6,OR(INDEX(月度资金流!$B$7:$B$42,A392)=策略字典!$A$1,INDEX(月度资金流!$B$7:$B$42,A392)=策略字典!$A$2)),参数设置!$B$5,0)</f>
        <v>0</v>
      </c>
      <c r="E392">
        <v>5</v>
      </c>
      <c r="F392" s="25">
        <f>IF(E392=1,C392,G391)</f>
        <v>47366</v>
      </c>
      <c r="G392" s="25">
        <f>IF(E392&lt;参数设置!$B$13,DATE(YEAR(EDATE(C392,E392+1)),MONTH(EDATE(C392,E392+1)),参数设置!$B$14),EDATE(C392,参数设置!$B$13))</f>
        <v>47396</v>
      </c>
      <c r="H392">
        <f>G392-F392</f>
        <v>30</v>
      </c>
      <c r="I392" s="21">
        <f>IF(E392=参数设置!$B$13,D392,0)</f>
        <v>0</v>
      </c>
      <c r="J392" s="21">
        <f>IF(M392=1,ROUND(D392*参数设置!$B$11*H392/参数设置!$B$12,参数设置!$B$15),0)</f>
        <v>0</v>
      </c>
      <c r="K392" s="21">
        <f>I392+J392</f>
        <v>0</v>
      </c>
      <c r="L392" s="25">
        <f>EDATE(C392,参数设置!$B$13)</f>
        <v>47583</v>
      </c>
      <c r="M392">
        <f>--(D392&gt;0)</f>
        <v>0</v>
      </c>
    </row>
    <row r="393" spans="1:13" ht="15" customHeight="1">
      <c r="A393">
        <v>33</v>
      </c>
      <c r="B393">
        <v>33</v>
      </c>
      <c r="C393" s="25">
        <f>EDATE(参数设置!$B$4,A393-1)</f>
        <v>47218</v>
      </c>
      <c r="D393" s="21">
        <f>IF(AND(A393&lt;=参数设置!$B$6,OR(INDEX(月度资金流!$B$7:$B$42,A393)=策略字典!$A$1,INDEX(月度资金流!$B$7:$B$42,A393)=策略字典!$A$2)),参数设置!$B$5,0)</f>
        <v>0</v>
      </c>
      <c r="E393">
        <v>6</v>
      </c>
      <c r="F393" s="25">
        <f>IF(E393=1,C393,G392)</f>
        <v>47396</v>
      </c>
      <c r="G393" s="25">
        <f>IF(E393&lt;参数设置!$B$13,DATE(YEAR(EDATE(C393,E393+1)),MONTH(EDATE(C393,E393+1)),参数设置!$B$14),EDATE(C393,参数设置!$B$13))</f>
        <v>47427</v>
      </c>
      <c r="H393">
        <f>G393-F393</f>
        <v>31</v>
      </c>
      <c r="I393" s="21">
        <f>IF(E393=参数设置!$B$13,D393,0)</f>
        <v>0</v>
      </c>
      <c r="J393" s="21">
        <f>IF(M393=1,ROUND(D393*参数设置!$B$11*H393/参数设置!$B$12,参数设置!$B$15),0)</f>
        <v>0</v>
      </c>
      <c r="K393" s="21">
        <f>I393+J393</f>
        <v>0</v>
      </c>
      <c r="L393" s="25">
        <f>EDATE(C393,参数设置!$B$13)</f>
        <v>47583</v>
      </c>
      <c r="M393">
        <f>--(D393&gt;0)</f>
        <v>0</v>
      </c>
    </row>
    <row r="394" spans="1:13" ht="15" customHeight="1">
      <c r="A394">
        <v>33</v>
      </c>
      <c r="B394">
        <v>33</v>
      </c>
      <c r="C394" s="25">
        <f>EDATE(参数设置!$B$4,A394-1)</f>
        <v>47218</v>
      </c>
      <c r="D394" s="21">
        <f>IF(AND(A394&lt;=参数设置!$B$6,OR(INDEX(月度资金流!$B$7:$B$42,A394)=策略字典!$A$1,INDEX(月度资金流!$B$7:$B$42,A394)=策略字典!$A$2)),参数设置!$B$5,0)</f>
        <v>0</v>
      </c>
      <c r="E394">
        <v>7</v>
      </c>
      <c r="F394" s="25">
        <f>IF(E394=1,C394,G393)</f>
        <v>47427</v>
      </c>
      <c r="G394" s="25">
        <f>IF(E394&lt;参数设置!$B$13,DATE(YEAR(EDATE(C394,E394+1)),MONTH(EDATE(C394,E394+1)),参数设置!$B$14),EDATE(C394,参数设置!$B$13))</f>
        <v>47457</v>
      </c>
      <c r="H394">
        <f>G394-F394</f>
        <v>30</v>
      </c>
      <c r="I394" s="21">
        <f>IF(E394=参数设置!$B$13,D394,0)</f>
        <v>0</v>
      </c>
      <c r="J394" s="21">
        <f>IF(M394=1,ROUND(D394*参数设置!$B$11*H394/参数设置!$B$12,参数设置!$B$15),0)</f>
        <v>0</v>
      </c>
      <c r="K394" s="21">
        <f>I394+J394</f>
        <v>0</v>
      </c>
      <c r="L394" s="25">
        <f>EDATE(C394,参数设置!$B$13)</f>
        <v>47583</v>
      </c>
      <c r="M394">
        <f>--(D394&gt;0)</f>
        <v>0</v>
      </c>
    </row>
    <row r="395" spans="1:13" ht="15" customHeight="1">
      <c r="A395">
        <v>33</v>
      </c>
      <c r="B395">
        <v>33</v>
      </c>
      <c r="C395" s="25">
        <f>EDATE(参数设置!$B$4,A395-1)</f>
        <v>47218</v>
      </c>
      <c r="D395" s="21">
        <f>IF(AND(A395&lt;=参数设置!$B$6,OR(INDEX(月度资金流!$B$7:$B$42,A395)=策略字典!$A$1,INDEX(月度资金流!$B$7:$B$42,A395)=策略字典!$A$2)),参数设置!$B$5,0)</f>
        <v>0</v>
      </c>
      <c r="E395">
        <v>8</v>
      </c>
      <c r="F395" s="25">
        <f>IF(E395=1,C395,G394)</f>
        <v>47457</v>
      </c>
      <c r="G395" s="25">
        <f>IF(E395&lt;参数设置!$B$13,DATE(YEAR(EDATE(C395,E395+1)),MONTH(EDATE(C395,E395+1)),参数设置!$B$14),EDATE(C395,参数设置!$B$13))</f>
        <v>47488</v>
      </c>
      <c r="H395">
        <f>G395-F395</f>
        <v>31</v>
      </c>
      <c r="I395" s="21">
        <f>IF(E395=参数设置!$B$13,D395,0)</f>
        <v>0</v>
      </c>
      <c r="J395" s="21">
        <f>IF(M395=1,ROUND(D395*参数设置!$B$11*H395/参数设置!$B$12,参数设置!$B$15),0)</f>
        <v>0</v>
      </c>
      <c r="K395" s="21">
        <f>I395+J395</f>
        <v>0</v>
      </c>
      <c r="L395" s="25">
        <f>EDATE(C395,参数设置!$B$13)</f>
        <v>47583</v>
      </c>
      <c r="M395">
        <f>--(D395&gt;0)</f>
        <v>0</v>
      </c>
    </row>
    <row r="396" spans="1:13" ht="15" customHeight="1">
      <c r="A396">
        <v>33</v>
      </c>
      <c r="B396">
        <v>33</v>
      </c>
      <c r="C396" s="25">
        <f>EDATE(参数设置!$B$4,A396-1)</f>
        <v>47218</v>
      </c>
      <c r="D396" s="21">
        <f>IF(AND(A396&lt;=参数设置!$B$6,OR(INDEX(月度资金流!$B$7:$B$42,A396)=策略字典!$A$1,INDEX(月度资金流!$B$7:$B$42,A396)=策略字典!$A$2)),参数设置!$B$5,0)</f>
        <v>0</v>
      </c>
      <c r="E396">
        <v>9</v>
      </c>
      <c r="F396" s="25">
        <f>IF(E396=1,C396,G395)</f>
        <v>47488</v>
      </c>
      <c r="G396" s="25">
        <f>IF(E396&lt;参数设置!$B$13,DATE(YEAR(EDATE(C396,E396+1)),MONTH(EDATE(C396,E396+1)),参数设置!$B$14),EDATE(C396,参数设置!$B$13))</f>
        <v>47519</v>
      </c>
      <c r="H396">
        <f>G396-F396</f>
        <v>31</v>
      </c>
      <c r="I396" s="21">
        <f>IF(E396=参数设置!$B$13,D396,0)</f>
        <v>0</v>
      </c>
      <c r="J396" s="21">
        <f>IF(M396=1,ROUND(D396*参数设置!$B$11*H396/参数设置!$B$12,参数设置!$B$15),0)</f>
        <v>0</v>
      </c>
      <c r="K396" s="21">
        <f>I396+J396</f>
        <v>0</v>
      </c>
      <c r="L396" s="25">
        <f>EDATE(C396,参数设置!$B$13)</f>
        <v>47583</v>
      </c>
      <c r="M396">
        <f>--(D396&gt;0)</f>
        <v>0</v>
      </c>
    </row>
    <row r="397" spans="1:13" ht="15" customHeight="1">
      <c r="A397">
        <v>33</v>
      </c>
      <c r="B397">
        <v>33</v>
      </c>
      <c r="C397" s="25">
        <f>EDATE(参数设置!$B$4,A397-1)</f>
        <v>47218</v>
      </c>
      <c r="D397" s="21">
        <f>IF(AND(A397&lt;=参数设置!$B$6,OR(INDEX(月度资金流!$B$7:$B$42,A397)=策略字典!$A$1,INDEX(月度资金流!$B$7:$B$42,A397)=策略字典!$A$2)),参数设置!$B$5,0)</f>
        <v>0</v>
      </c>
      <c r="E397">
        <v>10</v>
      </c>
      <c r="F397" s="25">
        <f>IF(E397=1,C397,G396)</f>
        <v>47519</v>
      </c>
      <c r="G397" s="25">
        <f>IF(E397&lt;参数设置!$B$13,DATE(YEAR(EDATE(C397,E397+1)),MONTH(EDATE(C397,E397+1)),参数设置!$B$14),EDATE(C397,参数设置!$B$13))</f>
        <v>47547</v>
      </c>
      <c r="H397">
        <f>G397-F397</f>
        <v>28</v>
      </c>
      <c r="I397" s="21">
        <f>IF(E397=参数设置!$B$13,D397,0)</f>
        <v>0</v>
      </c>
      <c r="J397" s="21">
        <f>IF(M397=1,ROUND(D397*参数设置!$B$11*H397/参数设置!$B$12,参数设置!$B$15),0)</f>
        <v>0</v>
      </c>
      <c r="K397" s="21">
        <f>I397+J397</f>
        <v>0</v>
      </c>
      <c r="L397" s="25">
        <f>EDATE(C397,参数设置!$B$13)</f>
        <v>47583</v>
      </c>
      <c r="M397">
        <f>--(D397&gt;0)</f>
        <v>0</v>
      </c>
    </row>
    <row r="398" spans="1:13" ht="15" customHeight="1">
      <c r="A398">
        <v>33</v>
      </c>
      <c r="B398">
        <v>33</v>
      </c>
      <c r="C398" s="25">
        <f>EDATE(参数设置!$B$4,A398-1)</f>
        <v>47218</v>
      </c>
      <c r="D398" s="21">
        <f>IF(AND(A398&lt;=参数设置!$B$6,OR(INDEX(月度资金流!$B$7:$B$42,A398)=策略字典!$A$1,INDEX(月度资金流!$B$7:$B$42,A398)=策略字典!$A$2)),参数设置!$B$5,0)</f>
        <v>0</v>
      </c>
      <c r="E398">
        <v>11</v>
      </c>
      <c r="F398" s="25">
        <f>IF(E398=1,C398,G397)</f>
        <v>47547</v>
      </c>
      <c r="G398" s="25">
        <f>IF(E398&lt;参数设置!$B$13,DATE(YEAR(EDATE(C398,E398+1)),MONTH(EDATE(C398,E398+1)),参数设置!$B$14),EDATE(C398,参数设置!$B$13))</f>
        <v>47578</v>
      </c>
      <c r="H398">
        <f>G398-F398</f>
        <v>31</v>
      </c>
      <c r="I398" s="21">
        <f>IF(E398=参数设置!$B$13,D398,0)</f>
        <v>0</v>
      </c>
      <c r="J398" s="21">
        <f>IF(M398=1,ROUND(D398*参数设置!$B$11*H398/参数设置!$B$12,参数设置!$B$15),0)</f>
        <v>0</v>
      </c>
      <c r="K398" s="21">
        <f>I398+J398</f>
        <v>0</v>
      </c>
      <c r="L398" s="25">
        <f>EDATE(C398,参数设置!$B$13)</f>
        <v>47583</v>
      </c>
      <c r="M398">
        <f>--(D398&gt;0)</f>
        <v>0</v>
      </c>
    </row>
    <row r="399" spans="1:13" ht="15" customHeight="1">
      <c r="A399">
        <v>33</v>
      </c>
      <c r="B399">
        <v>33</v>
      </c>
      <c r="C399" s="25">
        <f>EDATE(参数设置!$B$4,A399-1)</f>
        <v>47218</v>
      </c>
      <c r="D399" s="21">
        <f>IF(AND(A399&lt;=参数设置!$B$6,OR(INDEX(月度资金流!$B$7:$B$42,A399)=策略字典!$A$1,INDEX(月度资金流!$B$7:$B$42,A399)=策略字典!$A$2)),参数设置!$B$5,0)</f>
        <v>0</v>
      </c>
      <c r="E399">
        <v>12</v>
      </c>
      <c r="F399" s="25">
        <f>IF(E399=1,C399,G398)</f>
        <v>47578</v>
      </c>
      <c r="G399" s="25">
        <f>IF(E399&lt;参数设置!$B$13,DATE(YEAR(EDATE(C399,E399+1)),MONTH(EDATE(C399,E399+1)),参数设置!$B$14),EDATE(C399,参数设置!$B$13))</f>
        <v>47583</v>
      </c>
      <c r="H399">
        <f>G399-F399</f>
        <v>5</v>
      </c>
      <c r="I399" s="21">
        <f>IF(E399=参数设置!$B$13,D399,0)</f>
        <v>0</v>
      </c>
      <c r="J399" s="21">
        <f>IF(M399=1,ROUND(D399*参数设置!$B$11*H399/参数设置!$B$12,参数设置!$B$15),0)</f>
        <v>0</v>
      </c>
      <c r="K399" s="21">
        <f>I399+J399</f>
        <v>0</v>
      </c>
      <c r="L399" s="25">
        <f>EDATE(C399,参数设置!$B$13)</f>
        <v>47583</v>
      </c>
      <c r="M399">
        <f>--(D399&gt;0)</f>
        <v>0</v>
      </c>
    </row>
    <row r="400" spans="1:13" ht="15" customHeight="1">
      <c r="A400">
        <v>34</v>
      </c>
      <c r="B400">
        <v>34</v>
      </c>
      <c r="C400" s="25">
        <f>EDATE(参数设置!$B$4,A400-1)</f>
        <v>47248</v>
      </c>
      <c r="D400" s="21">
        <f>IF(AND(A400&lt;=参数设置!$B$6,OR(INDEX(月度资金流!$B$7:$B$42,A400)=策略字典!$A$1,INDEX(月度资金流!$B$7:$B$42,A400)=策略字典!$A$2)),参数设置!$B$5,0)</f>
        <v>0</v>
      </c>
      <c r="E400">
        <v>1</v>
      </c>
      <c r="F400" s="25">
        <f>IF(E400=1,C400,G399)</f>
        <v>47248</v>
      </c>
      <c r="G400" s="25">
        <f>IF(E400&lt;参数设置!$B$13,DATE(YEAR(EDATE(C400,E400+1)),MONTH(EDATE(C400,E400+1)),参数设置!$B$14),EDATE(C400,参数设置!$B$13))</f>
        <v>47304</v>
      </c>
      <c r="H400">
        <f>G400-F400</f>
        <v>56</v>
      </c>
      <c r="I400" s="21">
        <f>IF(E400=参数设置!$B$13,D400,0)</f>
        <v>0</v>
      </c>
      <c r="J400" s="21">
        <f>IF(M400=1,ROUND(D400*参数设置!$B$11*H400/参数设置!$B$12,参数设置!$B$15),0)</f>
        <v>0</v>
      </c>
      <c r="K400" s="21">
        <f>I400+J400</f>
        <v>0</v>
      </c>
      <c r="L400" s="25">
        <f>EDATE(C400,参数设置!$B$13)</f>
        <v>47613</v>
      </c>
      <c r="M400">
        <f>--(D400&gt;0)</f>
        <v>0</v>
      </c>
    </row>
    <row r="401" spans="1:13" ht="15" customHeight="1">
      <c r="A401">
        <v>34</v>
      </c>
      <c r="B401">
        <v>34</v>
      </c>
      <c r="C401" s="25">
        <f>EDATE(参数设置!$B$4,A401-1)</f>
        <v>47248</v>
      </c>
      <c r="D401" s="21">
        <f>IF(AND(A401&lt;=参数设置!$B$6,OR(INDEX(月度资金流!$B$7:$B$42,A401)=策略字典!$A$1,INDEX(月度资金流!$B$7:$B$42,A401)=策略字典!$A$2)),参数设置!$B$5,0)</f>
        <v>0</v>
      </c>
      <c r="E401">
        <v>2</v>
      </c>
      <c r="F401" s="25">
        <f>IF(E401=1,C401,G400)</f>
        <v>47304</v>
      </c>
      <c r="G401" s="25">
        <f>IF(E401&lt;参数设置!$B$13,DATE(YEAR(EDATE(C401,E401+1)),MONTH(EDATE(C401,E401+1)),参数设置!$B$14),EDATE(C401,参数设置!$B$13))</f>
        <v>47335</v>
      </c>
      <c r="H401">
        <f>G401-F401</f>
        <v>31</v>
      </c>
      <c r="I401" s="21">
        <f>IF(E401=参数设置!$B$13,D401,0)</f>
        <v>0</v>
      </c>
      <c r="J401" s="21">
        <f>IF(M401=1,ROUND(D401*参数设置!$B$11*H401/参数设置!$B$12,参数设置!$B$15),0)</f>
        <v>0</v>
      </c>
      <c r="K401" s="21">
        <f>I401+J401</f>
        <v>0</v>
      </c>
      <c r="L401" s="25">
        <f>EDATE(C401,参数设置!$B$13)</f>
        <v>47613</v>
      </c>
      <c r="M401">
        <f>--(D401&gt;0)</f>
        <v>0</v>
      </c>
    </row>
    <row r="402" spans="1:13" ht="15" customHeight="1">
      <c r="A402">
        <v>34</v>
      </c>
      <c r="B402">
        <v>34</v>
      </c>
      <c r="C402" s="25">
        <f>EDATE(参数设置!$B$4,A402-1)</f>
        <v>47248</v>
      </c>
      <c r="D402" s="21">
        <f>IF(AND(A402&lt;=参数设置!$B$6,OR(INDEX(月度资金流!$B$7:$B$42,A402)=策略字典!$A$1,INDEX(月度资金流!$B$7:$B$42,A402)=策略字典!$A$2)),参数设置!$B$5,0)</f>
        <v>0</v>
      </c>
      <c r="E402">
        <v>3</v>
      </c>
      <c r="F402" s="25">
        <f>IF(E402=1,C402,G401)</f>
        <v>47335</v>
      </c>
      <c r="G402" s="25">
        <f>IF(E402&lt;参数设置!$B$13,DATE(YEAR(EDATE(C402,E402+1)),MONTH(EDATE(C402,E402+1)),参数设置!$B$14),EDATE(C402,参数设置!$B$13))</f>
        <v>47366</v>
      </c>
      <c r="H402">
        <f>G402-F402</f>
        <v>31</v>
      </c>
      <c r="I402" s="21">
        <f>IF(E402=参数设置!$B$13,D402,0)</f>
        <v>0</v>
      </c>
      <c r="J402" s="21">
        <f>IF(M402=1,ROUND(D402*参数设置!$B$11*H402/参数设置!$B$12,参数设置!$B$15),0)</f>
        <v>0</v>
      </c>
      <c r="K402" s="21">
        <f>I402+J402</f>
        <v>0</v>
      </c>
      <c r="L402" s="25">
        <f>EDATE(C402,参数设置!$B$13)</f>
        <v>47613</v>
      </c>
      <c r="M402">
        <f>--(D402&gt;0)</f>
        <v>0</v>
      </c>
    </row>
    <row r="403" spans="1:13" ht="15" customHeight="1">
      <c r="A403">
        <v>34</v>
      </c>
      <c r="B403">
        <v>34</v>
      </c>
      <c r="C403" s="25">
        <f>EDATE(参数设置!$B$4,A403-1)</f>
        <v>47248</v>
      </c>
      <c r="D403" s="21">
        <f>IF(AND(A403&lt;=参数设置!$B$6,OR(INDEX(月度资金流!$B$7:$B$42,A403)=策略字典!$A$1,INDEX(月度资金流!$B$7:$B$42,A403)=策略字典!$A$2)),参数设置!$B$5,0)</f>
        <v>0</v>
      </c>
      <c r="E403">
        <v>4</v>
      </c>
      <c r="F403" s="25">
        <f>IF(E403=1,C403,G402)</f>
        <v>47366</v>
      </c>
      <c r="G403" s="25">
        <f>IF(E403&lt;参数设置!$B$13,DATE(YEAR(EDATE(C403,E403+1)),MONTH(EDATE(C403,E403+1)),参数设置!$B$14),EDATE(C403,参数设置!$B$13))</f>
        <v>47396</v>
      </c>
      <c r="H403">
        <f>G403-F403</f>
        <v>30</v>
      </c>
      <c r="I403" s="21">
        <f>IF(E403=参数设置!$B$13,D403,0)</f>
        <v>0</v>
      </c>
      <c r="J403" s="21">
        <f>IF(M403=1,ROUND(D403*参数设置!$B$11*H403/参数设置!$B$12,参数设置!$B$15),0)</f>
        <v>0</v>
      </c>
      <c r="K403" s="21">
        <f>I403+J403</f>
        <v>0</v>
      </c>
      <c r="L403" s="25">
        <f>EDATE(C403,参数设置!$B$13)</f>
        <v>47613</v>
      </c>
      <c r="M403">
        <f>--(D403&gt;0)</f>
        <v>0</v>
      </c>
    </row>
    <row r="404" spans="1:13" ht="15" customHeight="1">
      <c r="A404">
        <v>34</v>
      </c>
      <c r="B404">
        <v>34</v>
      </c>
      <c r="C404" s="25">
        <f>EDATE(参数设置!$B$4,A404-1)</f>
        <v>47248</v>
      </c>
      <c r="D404" s="21">
        <f>IF(AND(A404&lt;=参数设置!$B$6,OR(INDEX(月度资金流!$B$7:$B$42,A404)=策略字典!$A$1,INDEX(月度资金流!$B$7:$B$42,A404)=策略字典!$A$2)),参数设置!$B$5,0)</f>
        <v>0</v>
      </c>
      <c r="E404">
        <v>5</v>
      </c>
      <c r="F404" s="25">
        <f>IF(E404=1,C404,G403)</f>
        <v>47396</v>
      </c>
      <c r="G404" s="25">
        <f>IF(E404&lt;参数设置!$B$13,DATE(YEAR(EDATE(C404,E404+1)),MONTH(EDATE(C404,E404+1)),参数设置!$B$14),EDATE(C404,参数设置!$B$13))</f>
        <v>47427</v>
      </c>
      <c r="H404">
        <f>G404-F404</f>
        <v>31</v>
      </c>
      <c r="I404" s="21">
        <f>IF(E404=参数设置!$B$13,D404,0)</f>
        <v>0</v>
      </c>
      <c r="J404" s="21">
        <f>IF(M404=1,ROUND(D404*参数设置!$B$11*H404/参数设置!$B$12,参数设置!$B$15),0)</f>
        <v>0</v>
      </c>
      <c r="K404" s="21">
        <f>I404+J404</f>
        <v>0</v>
      </c>
      <c r="L404" s="25">
        <f>EDATE(C404,参数设置!$B$13)</f>
        <v>47613</v>
      </c>
      <c r="M404">
        <f>--(D404&gt;0)</f>
        <v>0</v>
      </c>
    </row>
    <row r="405" spans="1:13" ht="15" customHeight="1">
      <c r="A405">
        <v>34</v>
      </c>
      <c r="B405">
        <v>34</v>
      </c>
      <c r="C405" s="25">
        <f>EDATE(参数设置!$B$4,A405-1)</f>
        <v>47248</v>
      </c>
      <c r="D405" s="21">
        <f>IF(AND(A405&lt;=参数设置!$B$6,OR(INDEX(月度资金流!$B$7:$B$42,A405)=策略字典!$A$1,INDEX(月度资金流!$B$7:$B$42,A405)=策略字典!$A$2)),参数设置!$B$5,0)</f>
        <v>0</v>
      </c>
      <c r="E405">
        <v>6</v>
      </c>
      <c r="F405" s="25">
        <f>IF(E405=1,C405,G404)</f>
        <v>47427</v>
      </c>
      <c r="G405" s="25">
        <f>IF(E405&lt;参数设置!$B$13,DATE(YEAR(EDATE(C405,E405+1)),MONTH(EDATE(C405,E405+1)),参数设置!$B$14),EDATE(C405,参数设置!$B$13))</f>
        <v>47457</v>
      </c>
      <c r="H405">
        <f>G405-F405</f>
        <v>30</v>
      </c>
      <c r="I405" s="21">
        <f>IF(E405=参数设置!$B$13,D405,0)</f>
        <v>0</v>
      </c>
      <c r="J405" s="21">
        <f>IF(M405=1,ROUND(D405*参数设置!$B$11*H405/参数设置!$B$12,参数设置!$B$15),0)</f>
        <v>0</v>
      </c>
      <c r="K405" s="21">
        <f>I405+J405</f>
        <v>0</v>
      </c>
      <c r="L405" s="25">
        <f>EDATE(C405,参数设置!$B$13)</f>
        <v>47613</v>
      </c>
      <c r="M405">
        <f>--(D405&gt;0)</f>
        <v>0</v>
      </c>
    </row>
    <row r="406" spans="1:13" ht="15" customHeight="1">
      <c r="A406">
        <v>34</v>
      </c>
      <c r="B406">
        <v>34</v>
      </c>
      <c r="C406" s="25">
        <f>EDATE(参数设置!$B$4,A406-1)</f>
        <v>47248</v>
      </c>
      <c r="D406" s="21">
        <f>IF(AND(A406&lt;=参数设置!$B$6,OR(INDEX(月度资金流!$B$7:$B$42,A406)=策略字典!$A$1,INDEX(月度资金流!$B$7:$B$42,A406)=策略字典!$A$2)),参数设置!$B$5,0)</f>
        <v>0</v>
      </c>
      <c r="E406">
        <v>7</v>
      </c>
      <c r="F406" s="25">
        <f>IF(E406=1,C406,G405)</f>
        <v>47457</v>
      </c>
      <c r="G406" s="25">
        <f>IF(E406&lt;参数设置!$B$13,DATE(YEAR(EDATE(C406,E406+1)),MONTH(EDATE(C406,E406+1)),参数设置!$B$14),EDATE(C406,参数设置!$B$13))</f>
        <v>47488</v>
      </c>
      <c r="H406">
        <f>G406-F406</f>
        <v>31</v>
      </c>
      <c r="I406" s="21">
        <f>IF(E406=参数设置!$B$13,D406,0)</f>
        <v>0</v>
      </c>
      <c r="J406" s="21">
        <f>IF(M406=1,ROUND(D406*参数设置!$B$11*H406/参数设置!$B$12,参数设置!$B$15),0)</f>
        <v>0</v>
      </c>
      <c r="K406" s="21">
        <f>I406+J406</f>
        <v>0</v>
      </c>
      <c r="L406" s="25">
        <f>EDATE(C406,参数设置!$B$13)</f>
        <v>47613</v>
      </c>
      <c r="M406">
        <f>--(D406&gt;0)</f>
        <v>0</v>
      </c>
    </row>
    <row r="407" spans="1:13" ht="15" customHeight="1">
      <c r="A407">
        <v>34</v>
      </c>
      <c r="B407">
        <v>34</v>
      </c>
      <c r="C407" s="25">
        <f>EDATE(参数设置!$B$4,A407-1)</f>
        <v>47248</v>
      </c>
      <c r="D407" s="21">
        <f>IF(AND(A407&lt;=参数设置!$B$6,OR(INDEX(月度资金流!$B$7:$B$42,A407)=策略字典!$A$1,INDEX(月度资金流!$B$7:$B$42,A407)=策略字典!$A$2)),参数设置!$B$5,0)</f>
        <v>0</v>
      </c>
      <c r="E407">
        <v>8</v>
      </c>
      <c r="F407" s="25">
        <f>IF(E407=1,C407,G406)</f>
        <v>47488</v>
      </c>
      <c r="G407" s="25">
        <f>IF(E407&lt;参数设置!$B$13,DATE(YEAR(EDATE(C407,E407+1)),MONTH(EDATE(C407,E407+1)),参数设置!$B$14),EDATE(C407,参数设置!$B$13))</f>
        <v>47519</v>
      </c>
      <c r="H407">
        <f>G407-F407</f>
        <v>31</v>
      </c>
      <c r="I407" s="21">
        <f>IF(E407=参数设置!$B$13,D407,0)</f>
        <v>0</v>
      </c>
      <c r="J407" s="21">
        <f>IF(M407=1,ROUND(D407*参数设置!$B$11*H407/参数设置!$B$12,参数设置!$B$15),0)</f>
        <v>0</v>
      </c>
      <c r="K407" s="21">
        <f>I407+J407</f>
        <v>0</v>
      </c>
      <c r="L407" s="25">
        <f>EDATE(C407,参数设置!$B$13)</f>
        <v>47613</v>
      </c>
      <c r="M407">
        <f>--(D407&gt;0)</f>
        <v>0</v>
      </c>
    </row>
    <row r="408" spans="1:13" ht="15" customHeight="1">
      <c r="A408">
        <v>34</v>
      </c>
      <c r="B408">
        <v>34</v>
      </c>
      <c r="C408" s="25">
        <f>EDATE(参数设置!$B$4,A408-1)</f>
        <v>47248</v>
      </c>
      <c r="D408" s="21">
        <f>IF(AND(A408&lt;=参数设置!$B$6,OR(INDEX(月度资金流!$B$7:$B$42,A408)=策略字典!$A$1,INDEX(月度资金流!$B$7:$B$42,A408)=策略字典!$A$2)),参数设置!$B$5,0)</f>
        <v>0</v>
      </c>
      <c r="E408">
        <v>9</v>
      </c>
      <c r="F408" s="25">
        <f>IF(E408=1,C408,G407)</f>
        <v>47519</v>
      </c>
      <c r="G408" s="25">
        <f>IF(E408&lt;参数设置!$B$13,DATE(YEAR(EDATE(C408,E408+1)),MONTH(EDATE(C408,E408+1)),参数设置!$B$14),EDATE(C408,参数设置!$B$13))</f>
        <v>47547</v>
      </c>
      <c r="H408">
        <f>G408-F408</f>
        <v>28</v>
      </c>
      <c r="I408" s="21">
        <f>IF(E408=参数设置!$B$13,D408,0)</f>
        <v>0</v>
      </c>
      <c r="J408" s="21">
        <f>IF(M408=1,ROUND(D408*参数设置!$B$11*H408/参数设置!$B$12,参数设置!$B$15),0)</f>
        <v>0</v>
      </c>
      <c r="K408" s="21">
        <f>I408+J408</f>
        <v>0</v>
      </c>
      <c r="L408" s="25">
        <f>EDATE(C408,参数设置!$B$13)</f>
        <v>47613</v>
      </c>
      <c r="M408">
        <f>--(D408&gt;0)</f>
        <v>0</v>
      </c>
    </row>
    <row r="409" spans="1:13" ht="15" customHeight="1">
      <c r="A409">
        <v>34</v>
      </c>
      <c r="B409">
        <v>34</v>
      </c>
      <c r="C409" s="25">
        <f>EDATE(参数设置!$B$4,A409-1)</f>
        <v>47248</v>
      </c>
      <c r="D409" s="21">
        <f>IF(AND(A409&lt;=参数设置!$B$6,OR(INDEX(月度资金流!$B$7:$B$42,A409)=策略字典!$A$1,INDEX(月度资金流!$B$7:$B$42,A409)=策略字典!$A$2)),参数设置!$B$5,0)</f>
        <v>0</v>
      </c>
      <c r="E409">
        <v>10</v>
      </c>
      <c r="F409" s="25">
        <f>IF(E409=1,C409,G408)</f>
        <v>47547</v>
      </c>
      <c r="G409" s="25">
        <f>IF(E409&lt;参数设置!$B$13,DATE(YEAR(EDATE(C409,E409+1)),MONTH(EDATE(C409,E409+1)),参数设置!$B$14),EDATE(C409,参数设置!$B$13))</f>
        <v>47578</v>
      </c>
      <c r="H409">
        <f>G409-F409</f>
        <v>31</v>
      </c>
      <c r="I409" s="21">
        <f>IF(E409=参数设置!$B$13,D409,0)</f>
        <v>0</v>
      </c>
      <c r="J409" s="21">
        <f>IF(M409=1,ROUND(D409*参数设置!$B$11*H409/参数设置!$B$12,参数设置!$B$15),0)</f>
        <v>0</v>
      </c>
      <c r="K409" s="21">
        <f>I409+J409</f>
        <v>0</v>
      </c>
      <c r="L409" s="25">
        <f>EDATE(C409,参数设置!$B$13)</f>
        <v>47613</v>
      </c>
      <c r="M409">
        <f>--(D409&gt;0)</f>
        <v>0</v>
      </c>
    </row>
    <row r="410" spans="1:13" ht="15" customHeight="1">
      <c r="A410">
        <v>34</v>
      </c>
      <c r="B410">
        <v>34</v>
      </c>
      <c r="C410" s="25">
        <f>EDATE(参数设置!$B$4,A410-1)</f>
        <v>47248</v>
      </c>
      <c r="D410" s="21">
        <f>IF(AND(A410&lt;=参数设置!$B$6,OR(INDEX(月度资金流!$B$7:$B$42,A410)=策略字典!$A$1,INDEX(月度资金流!$B$7:$B$42,A410)=策略字典!$A$2)),参数设置!$B$5,0)</f>
        <v>0</v>
      </c>
      <c r="E410">
        <v>11</v>
      </c>
      <c r="F410" s="25">
        <f>IF(E410=1,C410,G409)</f>
        <v>47578</v>
      </c>
      <c r="G410" s="25">
        <f>IF(E410&lt;参数设置!$B$13,DATE(YEAR(EDATE(C410,E410+1)),MONTH(EDATE(C410,E410+1)),参数设置!$B$14),EDATE(C410,参数设置!$B$13))</f>
        <v>47608</v>
      </c>
      <c r="H410">
        <f>G410-F410</f>
        <v>30</v>
      </c>
      <c r="I410" s="21">
        <f>IF(E410=参数设置!$B$13,D410,0)</f>
        <v>0</v>
      </c>
      <c r="J410" s="21">
        <f>IF(M410=1,ROUND(D410*参数设置!$B$11*H410/参数设置!$B$12,参数设置!$B$15),0)</f>
        <v>0</v>
      </c>
      <c r="K410" s="21">
        <f>I410+J410</f>
        <v>0</v>
      </c>
      <c r="L410" s="25">
        <f>EDATE(C410,参数设置!$B$13)</f>
        <v>47613</v>
      </c>
      <c r="M410">
        <f>--(D410&gt;0)</f>
        <v>0</v>
      </c>
    </row>
    <row r="411" spans="1:13" ht="15" customHeight="1">
      <c r="A411">
        <v>34</v>
      </c>
      <c r="B411">
        <v>34</v>
      </c>
      <c r="C411" s="25">
        <f>EDATE(参数设置!$B$4,A411-1)</f>
        <v>47248</v>
      </c>
      <c r="D411" s="21">
        <f>IF(AND(A411&lt;=参数设置!$B$6,OR(INDEX(月度资金流!$B$7:$B$42,A411)=策略字典!$A$1,INDEX(月度资金流!$B$7:$B$42,A411)=策略字典!$A$2)),参数设置!$B$5,0)</f>
        <v>0</v>
      </c>
      <c r="E411">
        <v>12</v>
      </c>
      <c r="F411" s="25">
        <f>IF(E411=1,C411,G410)</f>
        <v>47608</v>
      </c>
      <c r="G411" s="25">
        <f>IF(E411&lt;参数设置!$B$13,DATE(YEAR(EDATE(C411,E411+1)),MONTH(EDATE(C411,E411+1)),参数设置!$B$14),EDATE(C411,参数设置!$B$13))</f>
        <v>47613</v>
      </c>
      <c r="H411">
        <f>G411-F411</f>
        <v>5</v>
      </c>
      <c r="I411" s="21">
        <f>IF(E411=参数设置!$B$13,D411,0)</f>
        <v>0</v>
      </c>
      <c r="J411" s="21">
        <f>IF(M411=1,ROUND(D411*参数设置!$B$11*H411/参数设置!$B$12,参数设置!$B$15),0)</f>
        <v>0</v>
      </c>
      <c r="K411" s="21">
        <f>I411+J411</f>
        <v>0</v>
      </c>
      <c r="L411" s="25">
        <f>EDATE(C411,参数设置!$B$13)</f>
        <v>47613</v>
      </c>
      <c r="M411">
        <f>--(D411&gt;0)</f>
        <v>0</v>
      </c>
    </row>
    <row r="412" spans="1:13" ht="15" customHeight="1">
      <c r="A412">
        <v>35</v>
      </c>
      <c r="B412">
        <v>35</v>
      </c>
      <c r="C412" s="25">
        <f>EDATE(参数设置!$B$4,A412-1)</f>
        <v>47279</v>
      </c>
      <c r="D412" s="21">
        <f>IF(AND(A412&lt;=参数设置!$B$6,OR(INDEX(月度资金流!$B$7:$B$42,A412)=策略字典!$A$1,INDEX(月度资金流!$B$7:$B$42,A412)=策略字典!$A$2)),参数设置!$B$5,0)</f>
        <v>0</v>
      </c>
      <c r="E412">
        <v>1</v>
      </c>
      <c r="F412" s="25">
        <f>IF(E412=1,C412,G411)</f>
        <v>47279</v>
      </c>
      <c r="G412" s="25">
        <f>IF(E412&lt;参数设置!$B$13,DATE(YEAR(EDATE(C412,E412+1)),MONTH(EDATE(C412,E412+1)),参数设置!$B$14),EDATE(C412,参数设置!$B$13))</f>
        <v>47335</v>
      </c>
      <c r="H412">
        <f>G412-F412</f>
        <v>56</v>
      </c>
      <c r="I412" s="21">
        <f>IF(E412=参数设置!$B$13,D412,0)</f>
        <v>0</v>
      </c>
      <c r="J412" s="21">
        <f>IF(M412=1,ROUND(D412*参数设置!$B$11*H412/参数设置!$B$12,参数设置!$B$15),0)</f>
        <v>0</v>
      </c>
      <c r="K412" s="21">
        <f>I412+J412</f>
        <v>0</v>
      </c>
      <c r="L412" s="25">
        <f>EDATE(C412,参数设置!$B$13)</f>
        <v>47644</v>
      </c>
      <c r="M412">
        <f>--(D412&gt;0)</f>
        <v>0</v>
      </c>
    </row>
    <row r="413" spans="1:13" ht="15" customHeight="1">
      <c r="A413">
        <v>35</v>
      </c>
      <c r="B413">
        <v>35</v>
      </c>
      <c r="C413" s="25">
        <f>EDATE(参数设置!$B$4,A413-1)</f>
        <v>47279</v>
      </c>
      <c r="D413" s="21">
        <f>IF(AND(A413&lt;=参数设置!$B$6,OR(INDEX(月度资金流!$B$7:$B$42,A413)=策略字典!$A$1,INDEX(月度资金流!$B$7:$B$42,A413)=策略字典!$A$2)),参数设置!$B$5,0)</f>
        <v>0</v>
      </c>
      <c r="E413">
        <v>2</v>
      </c>
      <c r="F413" s="25">
        <f>IF(E413=1,C413,G412)</f>
        <v>47335</v>
      </c>
      <c r="G413" s="25">
        <f>IF(E413&lt;参数设置!$B$13,DATE(YEAR(EDATE(C413,E413+1)),MONTH(EDATE(C413,E413+1)),参数设置!$B$14),EDATE(C413,参数设置!$B$13))</f>
        <v>47366</v>
      </c>
      <c r="H413">
        <f>G413-F413</f>
        <v>31</v>
      </c>
      <c r="I413" s="21">
        <f>IF(E413=参数设置!$B$13,D413,0)</f>
        <v>0</v>
      </c>
      <c r="J413" s="21">
        <f>IF(M413=1,ROUND(D413*参数设置!$B$11*H413/参数设置!$B$12,参数设置!$B$15),0)</f>
        <v>0</v>
      </c>
      <c r="K413" s="21">
        <f>I413+J413</f>
        <v>0</v>
      </c>
      <c r="L413" s="25">
        <f>EDATE(C413,参数设置!$B$13)</f>
        <v>47644</v>
      </c>
      <c r="M413">
        <f>--(D413&gt;0)</f>
        <v>0</v>
      </c>
    </row>
    <row r="414" spans="1:13" ht="15" customHeight="1">
      <c r="A414">
        <v>35</v>
      </c>
      <c r="B414">
        <v>35</v>
      </c>
      <c r="C414" s="25">
        <f>EDATE(参数设置!$B$4,A414-1)</f>
        <v>47279</v>
      </c>
      <c r="D414" s="21">
        <f>IF(AND(A414&lt;=参数设置!$B$6,OR(INDEX(月度资金流!$B$7:$B$42,A414)=策略字典!$A$1,INDEX(月度资金流!$B$7:$B$42,A414)=策略字典!$A$2)),参数设置!$B$5,0)</f>
        <v>0</v>
      </c>
      <c r="E414">
        <v>3</v>
      </c>
      <c r="F414" s="25">
        <f>IF(E414=1,C414,G413)</f>
        <v>47366</v>
      </c>
      <c r="G414" s="25">
        <f>IF(E414&lt;参数设置!$B$13,DATE(YEAR(EDATE(C414,E414+1)),MONTH(EDATE(C414,E414+1)),参数设置!$B$14),EDATE(C414,参数设置!$B$13))</f>
        <v>47396</v>
      </c>
      <c r="H414">
        <f>G414-F414</f>
        <v>30</v>
      </c>
      <c r="I414" s="21">
        <f>IF(E414=参数设置!$B$13,D414,0)</f>
        <v>0</v>
      </c>
      <c r="J414" s="21">
        <f>IF(M414=1,ROUND(D414*参数设置!$B$11*H414/参数设置!$B$12,参数设置!$B$15),0)</f>
        <v>0</v>
      </c>
      <c r="K414" s="21">
        <f>I414+J414</f>
        <v>0</v>
      </c>
      <c r="L414" s="25">
        <f>EDATE(C414,参数设置!$B$13)</f>
        <v>47644</v>
      </c>
      <c r="M414">
        <f>--(D414&gt;0)</f>
        <v>0</v>
      </c>
    </row>
    <row r="415" spans="1:13" ht="15" customHeight="1">
      <c r="A415">
        <v>35</v>
      </c>
      <c r="B415">
        <v>35</v>
      </c>
      <c r="C415" s="25">
        <f>EDATE(参数设置!$B$4,A415-1)</f>
        <v>47279</v>
      </c>
      <c r="D415" s="21">
        <f>IF(AND(A415&lt;=参数设置!$B$6,OR(INDEX(月度资金流!$B$7:$B$42,A415)=策略字典!$A$1,INDEX(月度资金流!$B$7:$B$42,A415)=策略字典!$A$2)),参数设置!$B$5,0)</f>
        <v>0</v>
      </c>
      <c r="E415">
        <v>4</v>
      </c>
      <c r="F415" s="25">
        <f>IF(E415=1,C415,G414)</f>
        <v>47396</v>
      </c>
      <c r="G415" s="25">
        <f>IF(E415&lt;参数设置!$B$13,DATE(YEAR(EDATE(C415,E415+1)),MONTH(EDATE(C415,E415+1)),参数设置!$B$14),EDATE(C415,参数设置!$B$13))</f>
        <v>47427</v>
      </c>
      <c r="H415">
        <f>G415-F415</f>
        <v>31</v>
      </c>
      <c r="I415" s="21">
        <f>IF(E415=参数设置!$B$13,D415,0)</f>
        <v>0</v>
      </c>
      <c r="J415" s="21">
        <f>IF(M415=1,ROUND(D415*参数设置!$B$11*H415/参数设置!$B$12,参数设置!$B$15),0)</f>
        <v>0</v>
      </c>
      <c r="K415" s="21">
        <f>I415+J415</f>
        <v>0</v>
      </c>
      <c r="L415" s="25">
        <f>EDATE(C415,参数设置!$B$13)</f>
        <v>47644</v>
      </c>
      <c r="M415">
        <f>--(D415&gt;0)</f>
        <v>0</v>
      </c>
    </row>
    <row r="416" spans="1:13" ht="15" customHeight="1">
      <c r="A416">
        <v>35</v>
      </c>
      <c r="B416">
        <v>35</v>
      </c>
      <c r="C416" s="25">
        <f>EDATE(参数设置!$B$4,A416-1)</f>
        <v>47279</v>
      </c>
      <c r="D416" s="21">
        <f>IF(AND(A416&lt;=参数设置!$B$6,OR(INDEX(月度资金流!$B$7:$B$42,A416)=策略字典!$A$1,INDEX(月度资金流!$B$7:$B$42,A416)=策略字典!$A$2)),参数设置!$B$5,0)</f>
        <v>0</v>
      </c>
      <c r="E416">
        <v>5</v>
      </c>
      <c r="F416" s="25">
        <f>IF(E416=1,C416,G415)</f>
        <v>47427</v>
      </c>
      <c r="G416" s="25">
        <f>IF(E416&lt;参数设置!$B$13,DATE(YEAR(EDATE(C416,E416+1)),MONTH(EDATE(C416,E416+1)),参数设置!$B$14),EDATE(C416,参数设置!$B$13))</f>
        <v>47457</v>
      </c>
      <c r="H416">
        <f>G416-F416</f>
        <v>30</v>
      </c>
      <c r="I416" s="21">
        <f>IF(E416=参数设置!$B$13,D416,0)</f>
        <v>0</v>
      </c>
      <c r="J416" s="21">
        <f>IF(M416=1,ROUND(D416*参数设置!$B$11*H416/参数设置!$B$12,参数设置!$B$15),0)</f>
        <v>0</v>
      </c>
      <c r="K416" s="21">
        <f>I416+J416</f>
        <v>0</v>
      </c>
      <c r="L416" s="25">
        <f>EDATE(C416,参数设置!$B$13)</f>
        <v>47644</v>
      </c>
      <c r="M416">
        <f>--(D416&gt;0)</f>
        <v>0</v>
      </c>
    </row>
    <row r="417" spans="1:13" ht="15" customHeight="1">
      <c r="A417">
        <v>35</v>
      </c>
      <c r="B417">
        <v>35</v>
      </c>
      <c r="C417" s="25">
        <f>EDATE(参数设置!$B$4,A417-1)</f>
        <v>47279</v>
      </c>
      <c r="D417" s="21">
        <f>IF(AND(A417&lt;=参数设置!$B$6,OR(INDEX(月度资金流!$B$7:$B$42,A417)=策略字典!$A$1,INDEX(月度资金流!$B$7:$B$42,A417)=策略字典!$A$2)),参数设置!$B$5,0)</f>
        <v>0</v>
      </c>
      <c r="E417">
        <v>6</v>
      </c>
      <c r="F417" s="25">
        <f>IF(E417=1,C417,G416)</f>
        <v>47457</v>
      </c>
      <c r="G417" s="25">
        <f>IF(E417&lt;参数设置!$B$13,DATE(YEAR(EDATE(C417,E417+1)),MONTH(EDATE(C417,E417+1)),参数设置!$B$14),EDATE(C417,参数设置!$B$13))</f>
        <v>47488</v>
      </c>
      <c r="H417">
        <f>G417-F417</f>
        <v>31</v>
      </c>
      <c r="I417" s="21">
        <f>IF(E417=参数设置!$B$13,D417,0)</f>
        <v>0</v>
      </c>
      <c r="J417" s="21">
        <f>IF(M417=1,ROUND(D417*参数设置!$B$11*H417/参数设置!$B$12,参数设置!$B$15),0)</f>
        <v>0</v>
      </c>
      <c r="K417" s="21">
        <f>I417+J417</f>
        <v>0</v>
      </c>
      <c r="L417" s="25">
        <f>EDATE(C417,参数设置!$B$13)</f>
        <v>47644</v>
      </c>
      <c r="M417">
        <f>--(D417&gt;0)</f>
        <v>0</v>
      </c>
    </row>
    <row r="418" spans="1:13" ht="15" customHeight="1">
      <c r="A418">
        <v>35</v>
      </c>
      <c r="B418">
        <v>35</v>
      </c>
      <c r="C418" s="25">
        <f>EDATE(参数设置!$B$4,A418-1)</f>
        <v>47279</v>
      </c>
      <c r="D418" s="21">
        <f>IF(AND(A418&lt;=参数设置!$B$6,OR(INDEX(月度资金流!$B$7:$B$42,A418)=策略字典!$A$1,INDEX(月度资金流!$B$7:$B$42,A418)=策略字典!$A$2)),参数设置!$B$5,0)</f>
        <v>0</v>
      </c>
      <c r="E418">
        <v>7</v>
      </c>
      <c r="F418" s="25">
        <f>IF(E418=1,C418,G417)</f>
        <v>47488</v>
      </c>
      <c r="G418" s="25">
        <f>IF(E418&lt;参数设置!$B$13,DATE(YEAR(EDATE(C418,E418+1)),MONTH(EDATE(C418,E418+1)),参数设置!$B$14),EDATE(C418,参数设置!$B$13))</f>
        <v>47519</v>
      </c>
      <c r="H418">
        <f>G418-F418</f>
        <v>31</v>
      </c>
      <c r="I418" s="21">
        <f>IF(E418=参数设置!$B$13,D418,0)</f>
        <v>0</v>
      </c>
      <c r="J418" s="21">
        <f>IF(M418=1,ROUND(D418*参数设置!$B$11*H418/参数设置!$B$12,参数设置!$B$15),0)</f>
        <v>0</v>
      </c>
      <c r="K418" s="21">
        <f>I418+J418</f>
        <v>0</v>
      </c>
      <c r="L418" s="25">
        <f>EDATE(C418,参数设置!$B$13)</f>
        <v>47644</v>
      </c>
      <c r="M418">
        <f>--(D418&gt;0)</f>
        <v>0</v>
      </c>
    </row>
    <row r="419" spans="1:13" ht="15" customHeight="1">
      <c r="A419">
        <v>35</v>
      </c>
      <c r="B419">
        <v>35</v>
      </c>
      <c r="C419" s="25">
        <f>EDATE(参数设置!$B$4,A419-1)</f>
        <v>47279</v>
      </c>
      <c r="D419" s="21">
        <f>IF(AND(A419&lt;=参数设置!$B$6,OR(INDEX(月度资金流!$B$7:$B$42,A419)=策略字典!$A$1,INDEX(月度资金流!$B$7:$B$42,A419)=策略字典!$A$2)),参数设置!$B$5,0)</f>
        <v>0</v>
      </c>
      <c r="E419">
        <v>8</v>
      </c>
      <c r="F419" s="25">
        <f>IF(E419=1,C419,G418)</f>
        <v>47519</v>
      </c>
      <c r="G419" s="25">
        <f>IF(E419&lt;参数设置!$B$13,DATE(YEAR(EDATE(C419,E419+1)),MONTH(EDATE(C419,E419+1)),参数设置!$B$14),EDATE(C419,参数设置!$B$13))</f>
        <v>47547</v>
      </c>
      <c r="H419">
        <f>G419-F419</f>
        <v>28</v>
      </c>
      <c r="I419" s="21">
        <f>IF(E419=参数设置!$B$13,D419,0)</f>
        <v>0</v>
      </c>
      <c r="J419" s="21">
        <f>IF(M419=1,ROUND(D419*参数设置!$B$11*H419/参数设置!$B$12,参数设置!$B$15),0)</f>
        <v>0</v>
      </c>
      <c r="K419" s="21">
        <f>I419+J419</f>
        <v>0</v>
      </c>
      <c r="L419" s="25">
        <f>EDATE(C419,参数设置!$B$13)</f>
        <v>47644</v>
      </c>
      <c r="M419">
        <f>--(D419&gt;0)</f>
        <v>0</v>
      </c>
    </row>
    <row r="420" spans="1:13" ht="15" customHeight="1">
      <c r="A420">
        <v>35</v>
      </c>
      <c r="B420">
        <v>35</v>
      </c>
      <c r="C420" s="25">
        <f>EDATE(参数设置!$B$4,A420-1)</f>
        <v>47279</v>
      </c>
      <c r="D420" s="21">
        <f>IF(AND(A420&lt;=参数设置!$B$6,OR(INDEX(月度资金流!$B$7:$B$42,A420)=策略字典!$A$1,INDEX(月度资金流!$B$7:$B$42,A420)=策略字典!$A$2)),参数设置!$B$5,0)</f>
        <v>0</v>
      </c>
      <c r="E420">
        <v>9</v>
      </c>
      <c r="F420" s="25">
        <f>IF(E420=1,C420,G419)</f>
        <v>47547</v>
      </c>
      <c r="G420" s="25">
        <f>IF(E420&lt;参数设置!$B$13,DATE(YEAR(EDATE(C420,E420+1)),MONTH(EDATE(C420,E420+1)),参数设置!$B$14),EDATE(C420,参数设置!$B$13))</f>
        <v>47578</v>
      </c>
      <c r="H420">
        <f>G420-F420</f>
        <v>31</v>
      </c>
      <c r="I420" s="21">
        <f>IF(E420=参数设置!$B$13,D420,0)</f>
        <v>0</v>
      </c>
      <c r="J420" s="21">
        <f>IF(M420=1,ROUND(D420*参数设置!$B$11*H420/参数设置!$B$12,参数设置!$B$15),0)</f>
        <v>0</v>
      </c>
      <c r="K420" s="21">
        <f>I420+J420</f>
        <v>0</v>
      </c>
      <c r="L420" s="25">
        <f>EDATE(C420,参数设置!$B$13)</f>
        <v>47644</v>
      </c>
      <c r="M420">
        <f>--(D420&gt;0)</f>
        <v>0</v>
      </c>
    </row>
    <row r="421" spans="1:13" ht="15" customHeight="1">
      <c r="A421">
        <v>35</v>
      </c>
      <c r="B421">
        <v>35</v>
      </c>
      <c r="C421" s="25">
        <f>EDATE(参数设置!$B$4,A421-1)</f>
        <v>47279</v>
      </c>
      <c r="D421" s="21">
        <f>IF(AND(A421&lt;=参数设置!$B$6,OR(INDEX(月度资金流!$B$7:$B$42,A421)=策略字典!$A$1,INDEX(月度资金流!$B$7:$B$42,A421)=策略字典!$A$2)),参数设置!$B$5,0)</f>
        <v>0</v>
      </c>
      <c r="E421">
        <v>10</v>
      </c>
      <c r="F421" s="25">
        <f>IF(E421=1,C421,G420)</f>
        <v>47578</v>
      </c>
      <c r="G421" s="25">
        <f>IF(E421&lt;参数设置!$B$13,DATE(YEAR(EDATE(C421,E421+1)),MONTH(EDATE(C421,E421+1)),参数设置!$B$14),EDATE(C421,参数设置!$B$13))</f>
        <v>47608</v>
      </c>
      <c r="H421">
        <f>G421-F421</f>
        <v>30</v>
      </c>
      <c r="I421" s="21">
        <f>IF(E421=参数设置!$B$13,D421,0)</f>
        <v>0</v>
      </c>
      <c r="J421" s="21">
        <f>IF(M421=1,ROUND(D421*参数设置!$B$11*H421/参数设置!$B$12,参数设置!$B$15),0)</f>
        <v>0</v>
      </c>
      <c r="K421" s="21">
        <f>I421+J421</f>
        <v>0</v>
      </c>
      <c r="L421" s="25">
        <f>EDATE(C421,参数设置!$B$13)</f>
        <v>47644</v>
      </c>
      <c r="M421">
        <f>--(D421&gt;0)</f>
        <v>0</v>
      </c>
    </row>
    <row r="422" spans="1:13" ht="15" customHeight="1">
      <c r="A422">
        <v>35</v>
      </c>
      <c r="B422">
        <v>35</v>
      </c>
      <c r="C422" s="25">
        <f>EDATE(参数设置!$B$4,A422-1)</f>
        <v>47279</v>
      </c>
      <c r="D422" s="21">
        <f>IF(AND(A422&lt;=参数设置!$B$6,OR(INDEX(月度资金流!$B$7:$B$42,A422)=策略字典!$A$1,INDEX(月度资金流!$B$7:$B$42,A422)=策略字典!$A$2)),参数设置!$B$5,0)</f>
        <v>0</v>
      </c>
      <c r="E422">
        <v>11</v>
      </c>
      <c r="F422" s="25">
        <f>IF(E422=1,C422,G421)</f>
        <v>47608</v>
      </c>
      <c r="G422" s="25">
        <f>IF(E422&lt;参数设置!$B$13,DATE(YEAR(EDATE(C422,E422+1)),MONTH(EDATE(C422,E422+1)),参数设置!$B$14),EDATE(C422,参数设置!$B$13))</f>
        <v>47639</v>
      </c>
      <c r="H422">
        <f>G422-F422</f>
        <v>31</v>
      </c>
      <c r="I422" s="21">
        <f>IF(E422=参数设置!$B$13,D422,0)</f>
        <v>0</v>
      </c>
      <c r="J422" s="21">
        <f>IF(M422=1,ROUND(D422*参数设置!$B$11*H422/参数设置!$B$12,参数设置!$B$15),0)</f>
        <v>0</v>
      </c>
      <c r="K422" s="21">
        <f>I422+J422</f>
        <v>0</v>
      </c>
      <c r="L422" s="25">
        <f>EDATE(C422,参数设置!$B$13)</f>
        <v>47644</v>
      </c>
      <c r="M422">
        <f>--(D422&gt;0)</f>
        <v>0</v>
      </c>
    </row>
    <row r="423" spans="1:13" ht="15" customHeight="1">
      <c r="A423">
        <v>35</v>
      </c>
      <c r="B423">
        <v>35</v>
      </c>
      <c r="C423" s="25">
        <f>EDATE(参数设置!$B$4,A423-1)</f>
        <v>47279</v>
      </c>
      <c r="D423" s="21">
        <f>IF(AND(A423&lt;=参数设置!$B$6,OR(INDEX(月度资金流!$B$7:$B$42,A423)=策略字典!$A$1,INDEX(月度资金流!$B$7:$B$42,A423)=策略字典!$A$2)),参数设置!$B$5,0)</f>
        <v>0</v>
      </c>
      <c r="E423">
        <v>12</v>
      </c>
      <c r="F423" s="25">
        <f>IF(E423=1,C423,G422)</f>
        <v>47639</v>
      </c>
      <c r="G423" s="25">
        <f>IF(E423&lt;参数设置!$B$13,DATE(YEAR(EDATE(C423,E423+1)),MONTH(EDATE(C423,E423+1)),参数设置!$B$14),EDATE(C423,参数设置!$B$13))</f>
        <v>47644</v>
      </c>
      <c r="H423">
        <f>G423-F423</f>
        <v>5</v>
      </c>
      <c r="I423" s="21">
        <f>IF(E423=参数设置!$B$13,D423,0)</f>
        <v>0</v>
      </c>
      <c r="J423" s="21">
        <f>IF(M423=1,ROUND(D423*参数设置!$B$11*H423/参数设置!$B$12,参数设置!$B$15),0)</f>
        <v>0</v>
      </c>
      <c r="K423" s="21">
        <f>I423+J423</f>
        <v>0</v>
      </c>
      <c r="L423" s="25">
        <f>EDATE(C423,参数设置!$B$13)</f>
        <v>47644</v>
      </c>
      <c r="M423">
        <f>--(D423&gt;0)</f>
        <v>0</v>
      </c>
    </row>
    <row r="424" spans="1:13" ht="15" customHeight="1">
      <c r="A424">
        <v>36</v>
      </c>
      <c r="B424">
        <v>36</v>
      </c>
      <c r="C424" s="25">
        <f>EDATE(参数设置!$B$4,A424-1)</f>
        <v>47309</v>
      </c>
      <c r="D424" s="21">
        <f>IF(AND(A424&lt;=参数设置!$B$6,OR(INDEX(月度资金流!$B$7:$B$42,A424)=策略字典!$A$1,INDEX(月度资金流!$B$7:$B$42,A424)=策略字典!$A$2)),参数设置!$B$5,0)</f>
        <v>0</v>
      </c>
      <c r="E424">
        <v>1</v>
      </c>
      <c r="F424" s="25">
        <f>IF(E424=1,C424,G423)</f>
        <v>47309</v>
      </c>
      <c r="G424" s="25">
        <f>IF(E424&lt;参数设置!$B$13,DATE(YEAR(EDATE(C424,E424+1)),MONTH(EDATE(C424,E424+1)),参数设置!$B$14),EDATE(C424,参数设置!$B$13))</f>
        <v>47366</v>
      </c>
      <c r="H424">
        <f>G424-F424</f>
        <v>57</v>
      </c>
      <c r="I424" s="21">
        <f>IF(E424=参数设置!$B$13,D424,0)</f>
        <v>0</v>
      </c>
      <c r="J424" s="21">
        <f>IF(M424=1,ROUND(D424*参数设置!$B$11*H424/参数设置!$B$12,参数设置!$B$15),0)</f>
        <v>0</v>
      </c>
      <c r="K424" s="21">
        <f>I424+J424</f>
        <v>0</v>
      </c>
      <c r="L424" s="25">
        <f>EDATE(C424,参数设置!$B$13)</f>
        <v>47674</v>
      </c>
      <c r="M424">
        <f>--(D424&gt;0)</f>
        <v>0</v>
      </c>
    </row>
    <row r="425" spans="1:13" ht="15" customHeight="1">
      <c r="A425">
        <v>36</v>
      </c>
      <c r="B425">
        <v>36</v>
      </c>
      <c r="C425" s="25">
        <f>EDATE(参数设置!$B$4,A425-1)</f>
        <v>47309</v>
      </c>
      <c r="D425" s="21">
        <f>IF(AND(A425&lt;=参数设置!$B$6,OR(INDEX(月度资金流!$B$7:$B$42,A425)=策略字典!$A$1,INDEX(月度资金流!$B$7:$B$42,A425)=策略字典!$A$2)),参数设置!$B$5,0)</f>
        <v>0</v>
      </c>
      <c r="E425">
        <v>2</v>
      </c>
      <c r="F425" s="25">
        <f>IF(E425=1,C425,G424)</f>
        <v>47366</v>
      </c>
      <c r="G425" s="25">
        <f>IF(E425&lt;参数设置!$B$13,DATE(YEAR(EDATE(C425,E425+1)),MONTH(EDATE(C425,E425+1)),参数设置!$B$14),EDATE(C425,参数设置!$B$13))</f>
        <v>47396</v>
      </c>
      <c r="H425">
        <f>G425-F425</f>
        <v>30</v>
      </c>
      <c r="I425" s="21">
        <f>IF(E425=参数设置!$B$13,D425,0)</f>
        <v>0</v>
      </c>
      <c r="J425" s="21">
        <f>IF(M425=1,ROUND(D425*参数设置!$B$11*H425/参数设置!$B$12,参数设置!$B$15),0)</f>
        <v>0</v>
      </c>
      <c r="K425" s="21">
        <f>I425+J425</f>
        <v>0</v>
      </c>
      <c r="L425" s="25">
        <f>EDATE(C425,参数设置!$B$13)</f>
        <v>47674</v>
      </c>
      <c r="M425">
        <f>--(D425&gt;0)</f>
        <v>0</v>
      </c>
    </row>
    <row r="426" spans="1:13" ht="15" customHeight="1">
      <c r="A426">
        <v>36</v>
      </c>
      <c r="B426">
        <v>36</v>
      </c>
      <c r="C426" s="25">
        <f>EDATE(参数设置!$B$4,A426-1)</f>
        <v>47309</v>
      </c>
      <c r="D426" s="21">
        <f>IF(AND(A426&lt;=参数设置!$B$6,OR(INDEX(月度资金流!$B$7:$B$42,A426)=策略字典!$A$1,INDEX(月度资金流!$B$7:$B$42,A426)=策略字典!$A$2)),参数设置!$B$5,0)</f>
        <v>0</v>
      </c>
      <c r="E426">
        <v>3</v>
      </c>
      <c r="F426" s="25">
        <f>IF(E426=1,C426,G425)</f>
        <v>47396</v>
      </c>
      <c r="G426" s="25">
        <f>IF(E426&lt;参数设置!$B$13,DATE(YEAR(EDATE(C426,E426+1)),MONTH(EDATE(C426,E426+1)),参数设置!$B$14),EDATE(C426,参数设置!$B$13))</f>
        <v>47427</v>
      </c>
      <c r="H426">
        <f>G426-F426</f>
        <v>31</v>
      </c>
      <c r="I426" s="21">
        <f>IF(E426=参数设置!$B$13,D426,0)</f>
        <v>0</v>
      </c>
      <c r="J426" s="21">
        <f>IF(M426=1,ROUND(D426*参数设置!$B$11*H426/参数设置!$B$12,参数设置!$B$15),0)</f>
        <v>0</v>
      </c>
      <c r="K426" s="21">
        <f>I426+J426</f>
        <v>0</v>
      </c>
      <c r="L426" s="25">
        <f>EDATE(C426,参数设置!$B$13)</f>
        <v>47674</v>
      </c>
      <c r="M426">
        <f>--(D426&gt;0)</f>
        <v>0</v>
      </c>
    </row>
    <row r="427" spans="1:13" ht="15" customHeight="1">
      <c r="A427">
        <v>36</v>
      </c>
      <c r="B427">
        <v>36</v>
      </c>
      <c r="C427" s="25">
        <f>EDATE(参数设置!$B$4,A427-1)</f>
        <v>47309</v>
      </c>
      <c r="D427" s="21">
        <f>IF(AND(A427&lt;=参数设置!$B$6,OR(INDEX(月度资金流!$B$7:$B$42,A427)=策略字典!$A$1,INDEX(月度资金流!$B$7:$B$42,A427)=策略字典!$A$2)),参数设置!$B$5,0)</f>
        <v>0</v>
      </c>
      <c r="E427">
        <v>4</v>
      </c>
      <c r="F427" s="25">
        <f>IF(E427=1,C427,G426)</f>
        <v>47427</v>
      </c>
      <c r="G427" s="25">
        <f>IF(E427&lt;参数设置!$B$13,DATE(YEAR(EDATE(C427,E427+1)),MONTH(EDATE(C427,E427+1)),参数设置!$B$14),EDATE(C427,参数设置!$B$13))</f>
        <v>47457</v>
      </c>
      <c r="H427">
        <f>G427-F427</f>
        <v>30</v>
      </c>
      <c r="I427" s="21">
        <f>IF(E427=参数设置!$B$13,D427,0)</f>
        <v>0</v>
      </c>
      <c r="J427" s="21">
        <f>IF(M427=1,ROUND(D427*参数设置!$B$11*H427/参数设置!$B$12,参数设置!$B$15),0)</f>
        <v>0</v>
      </c>
      <c r="K427" s="21">
        <f>I427+J427</f>
        <v>0</v>
      </c>
      <c r="L427" s="25">
        <f>EDATE(C427,参数设置!$B$13)</f>
        <v>47674</v>
      </c>
      <c r="M427">
        <f>--(D427&gt;0)</f>
        <v>0</v>
      </c>
    </row>
    <row r="428" spans="1:13" ht="15" customHeight="1">
      <c r="A428">
        <v>36</v>
      </c>
      <c r="B428">
        <v>36</v>
      </c>
      <c r="C428" s="25">
        <f>EDATE(参数设置!$B$4,A428-1)</f>
        <v>47309</v>
      </c>
      <c r="D428" s="21">
        <f>IF(AND(A428&lt;=参数设置!$B$6,OR(INDEX(月度资金流!$B$7:$B$42,A428)=策略字典!$A$1,INDEX(月度资金流!$B$7:$B$42,A428)=策略字典!$A$2)),参数设置!$B$5,0)</f>
        <v>0</v>
      </c>
      <c r="E428">
        <v>5</v>
      </c>
      <c r="F428" s="25">
        <f>IF(E428=1,C428,G427)</f>
        <v>47457</v>
      </c>
      <c r="G428" s="25">
        <f>IF(E428&lt;参数设置!$B$13,DATE(YEAR(EDATE(C428,E428+1)),MONTH(EDATE(C428,E428+1)),参数设置!$B$14),EDATE(C428,参数设置!$B$13))</f>
        <v>47488</v>
      </c>
      <c r="H428">
        <f>G428-F428</f>
        <v>31</v>
      </c>
      <c r="I428" s="21">
        <f>IF(E428=参数设置!$B$13,D428,0)</f>
        <v>0</v>
      </c>
      <c r="J428" s="21">
        <f>IF(M428=1,ROUND(D428*参数设置!$B$11*H428/参数设置!$B$12,参数设置!$B$15),0)</f>
        <v>0</v>
      </c>
      <c r="K428" s="21">
        <f>I428+J428</f>
        <v>0</v>
      </c>
      <c r="L428" s="25">
        <f>EDATE(C428,参数设置!$B$13)</f>
        <v>47674</v>
      </c>
      <c r="M428">
        <f>--(D428&gt;0)</f>
        <v>0</v>
      </c>
    </row>
    <row r="429" spans="1:13" ht="15" customHeight="1">
      <c r="A429">
        <v>36</v>
      </c>
      <c r="B429">
        <v>36</v>
      </c>
      <c r="C429" s="25">
        <f>EDATE(参数设置!$B$4,A429-1)</f>
        <v>47309</v>
      </c>
      <c r="D429" s="21">
        <f>IF(AND(A429&lt;=参数设置!$B$6,OR(INDEX(月度资金流!$B$7:$B$42,A429)=策略字典!$A$1,INDEX(月度资金流!$B$7:$B$42,A429)=策略字典!$A$2)),参数设置!$B$5,0)</f>
        <v>0</v>
      </c>
      <c r="E429">
        <v>6</v>
      </c>
      <c r="F429" s="25">
        <f>IF(E429=1,C429,G428)</f>
        <v>47488</v>
      </c>
      <c r="G429" s="25">
        <f>IF(E429&lt;参数设置!$B$13,DATE(YEAR(EDATE(C429,E429+1)),MONTH(EDATE(C429,E429+1)),参数设置!$B$14),EDATE(C429,参数设置!$B$13))</f>
        <v>47519</v>
      </c>
      <c r="H429">
        <f>G429-F429</f>
        <v>31</v>
      </c>
      <c r="I429" s="21">
        <f>IF(E429=参数设置!$B$13,D429,0)</f>
        <v>0</v>
      </c>
      <c r="J429" s="21">
        <f>IF(M429=1,ROUND(D429*参数设置!$B$11*H429/参数设置!$B$12,参数设置!$B$15),0)</f>
        <v>0</v>
      </c>
      <c r="K429" s="21">
        <f>I429+J429</f>
        <v>0</v>
      </c>
      <c r="L429" s="25">
        <f>EDATE(C429,参数设置!$B$13)</f>
        <v>47674</v>
      </c>
      <c r="M429">
        <f>--(D429&gt;0)</f>
        <v>0</v>
      </c>
    </row>
    <row r="430" spans="1:13" ht="15" customHeight="1">
      <c r="A430">
        <v>36</v>
      </c>
      <c r="B430">
        <v>36</v>
      </c>
      <c r="C430" s="25">
        <f>EDATE(参数设置!$B$4,A430-1)</f>
        <v>47309</v>
      </c>
      <c r="D430" s="21">
        <f>IF(AND(A430&lt;=参数设置!$B$6,OR(INDEX(月度资金流!$B$7:$B$42,A430)=策略字典!$A$1,INDEX(月度资金流!$B$7:$B$42,A430)=策略字典!$A$2)),参数设置!$B$5,0)</f>
        <v>0</v>
      </c>
      <c r="E430">
        <v>7</v>
      </c>
      <c r="F430" s="25">
        <f>IF(E430=1,C430,G429)</f>
        <v>47519</v>
      </c>
      <c r="G430" s="25">
        <f>IF(E430&lt;参数设置!$B$13,DATE(YEAR(EDATE(C430,E430+1)),MONTH(EDATE(C430,E430+1)),参数设置!$B$14),EDATE(C430,参数设置!$B$13))</f>
        <v>47547</v>
      </c>
      <c r="H430">
        <f>G430-F430</f>
        <v>28</v>
      </c>
      <c r="I430" s="21">
        <f>IF(E430=参数设置!$B$13,D430,0)</f>
        <v>0</v>
      </c>
      <c r="J430" s="21">
        <f>IF(M430=1,ROUND(D430*参数设置!$B$11*H430/参数设置!$B$12,参数设置!$B$15),0)</f>
        <v>0</v>
      </c>
      <c r="K430" s="21">
        <f>I430+J430</f>
        <v>0</v>
      </c>
      <c r="L430" s="25">
        <f>EDATE(C430,参数设置!$B$13)</f>
        <v>47674</v>
      </c>
      <c r="M430">
        <f>--(D430&gt;0)</f>
        <v>0</v>
      </c>
    </row>
    <row r="431" spans="1:13" ht="15" customHeight="1">
      <c r="A431">
        <v>36</v>
      </c>
      <c r="B431">
        <v>36</v>
      </c>
      <c r="C431" s="25">
        <f>EDATE(参数设置!$B$4,A431-1)</f>
        <v>47309</v>
      </c>
      <c r="D431" s="21">
        <f>IF(AND(A431&lt;=参数设置!$B$6,OR(INDEX(月度资金流!$B$7:$B$42,A431)=策略字典!$A$1,INDEX(月度资金流!$B$7:$B$42,A431)=策略字典!$A$2)),参数设置!$B$5,0)</f>
        <v>0</v>
      </c>
      <c r="E431">
        <v>8</v>
      </c>
      <c r="F431" s="25">
        <f>IF(E431=1,C431,G430)</f>
        <v>47547</v>
      </c>
      <c r="G431" s="25">
        <f>IF(E431&lt;参数设置!$B$13,DATE(YEAR(EDATE(C431,E431+1)),MONTH(EDATE(C431,E431+1)),参数设置!$B$14),EDATE(C431,参数设置!$B$13))</f>
        <v>47578</v>
      </c>
      <c r="H431">
        <f>G431-F431</f>
        <v>31</v>
      </c>
      <c r="I431" s="21">
        <f>IF(E431=参数设置!$B$13,D431,0)</f>
        <v>0</v>
      </c>
      <c r="J431" s="21">
        <f>IF(M431=1,ROUND(D431*参数设置!$B$11*H431/参数设置!$B$12,参数设置!$B$15),0)</f>
        <v>0</v>
      </c>
      <c r="K431" s="21">
        <f>I431+J431</f>
        <v>0</v>
      </c>
      <c r="L431" s="25">
        <f>EDATE(C431,参数设置!$B$13)</f>
        <v>47674</v>
      </c>
      <c r="M431">
        <f>--(D431&gt;0)</f>
        <v>0</v>
      </c>
    </row>
    <row r="432" spans="1:13" ht="15" customHeight="1">
      <c r="A432">
        <v>36</v>
      </c>
      <c r="B432">
        <v>36</v>
      </c>
      <c r="C432" s="25">
        <f>EDATE(参数设置!$B$4,A432-1)</f>
        <v>47309</v>
      </c>
      <c r="D432" s="21">
        <f>IF(AND(A432&lt;=参数设置!$B$6,OR(INDEX(月度资金流!$B$7:$B$42,A432)=策略字典!$A$1,INDEX(月度资金流!$B$7:$B$42,A432)=策略字典!$A$2)),参数设置!$B$5,0)</f>
        <v>0</v>
      </c>
      <c r="E432">
        <v>9</v>
      </c>
      <c r="F432" s="25">
        <f>IF(E432=1,C432,G431)</f>
        <v>47578</v>
      </c>
      <c r="G432" s="25">
        <f>IF(E432&lt;参数设置!$B$13,DATE(YEAR(EDATE(C432,E432+1)),MONTH(EDATE(C432,E432+1)),参数设置!$B$14),EDATE(C432,参数设置!$B$13))</f>
        <v>47608</v>
      </c>
      <c r="H432">
        <f>G432-F432</f>
        <v>30</v>
      </c>
      <c r="I432" s="21">
        <f>IF(E432=参数设置!$B$13,D432,0)</f>
        <v>0</v>
      </c>
      <c r="J432" s="21">
        <f>IF(M432=1,ROUND(D432*参数设置!$B$11*H432/参数设置!$B$12,参数设置!$B$15),0)</f>
        <v>0</v>
      </c>
      <c r="K432" s="21">
        <f>I432+J432</f>
        <v>0</v>
      </c>
      <c r="L432" s="25">
        <f>EDATE(C432,参数设置!$B$13)</f>
        <v>47674</v>
      </c>
      <c r="M432">
        <f>--(D432&gt;0)</f>
        <v>0</v>
      </c>
    </row>
    <row r="433" spans="1:13" ht="15" customHeight="1">
      <c r="A433">
        <v>36</v>
      </c>
      <c r="B433">
        <v>36</v>
      </c>
      <c r="C433" s="25">
        <f>EDATE(参数设置!$B$4,A433-1)</f>
        <v>47309</v>
      </c>
      <c r="D433" s="21">
        <f>IF(AND(A433&lt;=参数设置!$B$6,OR(INDEX(月度资金流!$B$7:$B$42,A433)=策略字典!$A$1,INDEX(月度资金流!$B$7:$B$42,A433)=策略字典!$A$2)),参数设置!$B$5,0)</f>
        <v>0</v>
      </c>
      <c r="E433">
        <v>10</v>
      </c>
      <c r="F433" s="25">
        <f>IF(E433=1,C433,G432)</f>
        <v>47608</v>
      </c>
      <c r="G433" s="25">
        <f>IF(E433&lt;参数设置!$B$13,DATE(YEAR(EDATE(C433,E433+1)),MONTH(EDATE(C433,E433+1)),参数设置!$B$14),EDATE(C433,参数设置!$B$13))</f>
        <v>47639</v>
      </c>
      <c r="H433">
        <f>G433-F433</f>
        <v>31</v>
      </c>
      <c r="I433" s="21">
        <f>IF(E433=参数设置!$B$13,D433,0)</f>
        <v>0</v>
      </c>
      <c r="J433" s="21">
        <f>IF(M433=1,ROUND(D433*参数设置!$B$11*H433/参数设置!$B$12,参数设置!$B$15),0)</f>
        <v>0</v>
      </c>
      <c r="K433" s="21">
        <f>I433+J433</f>
        <v>0</v>
      </c>
      <c r="L433" s="25">
        <f>EDATE(C433,参数设置!$B$13)</f>
        <v>47674</v>
      </c>
      <c r="M433">
        <f>--(D433&gt;0)</f>
        <v>0</v>
      </c>
    </row>
    <row r="434" spans="1:13" ht="15" customHeight="1">
      <c r="A434">
        <v>36</v>
      </c>
      <c r="B434">
        <v>36</v>
      </c>
      <c r="C434" s="25">
        <f>EDATE(参数设置!$B$4,A434-1)</f>
        <v>47309</v>
      </c>
      <c r="D434" s="21">
        <f>IF(AND(A434&lt;=参数设置!$B$6,OR(INDEX(月度资金流!$B$7:$B$42,A434)=策略字典!$A$1,INDEX(月度资金流!$B$7:$B$42,A434)=策略字典!$A$2)),参数设置!$B$5,0)</f>
        <v>0</v>
      </c>
      <c r="E434">
        <v>11</v>
      </c>
      <c r="F434" s="25">
        <f>IF(E434=1,C434,G433)</f>
        <v>47639</v>
      </c>
      <c r="G434" s="25">
        <f>IF(E434&lt;参数设置!$B$13,DATE(YEAR(EDATE(C434,E434+1)),MONTH(EDATE(C434,E434+1)),参数设置!$B$14),EDATE(C434,参数设置!$B$13))</f>
        <v>47669</v>
      </c>
      <c r="H434">
        <f>G434-F434</f>
        <v>30</v>
      </c>
      <c r="I434" s="21">
        <f>IF(E434=参数设置!$B$13,D434,0)</f>
        <v>0</v>
      </c>
      <c r="J434" s="21">
        <f>IF(M434=1,ROUND(D434*参数设置!$B$11*H434/参数设置!$B$12,参数设置!$B$15),0)</f>
        <v>0</v>
      </c>
      <c r="K434" s="21">
        <f>I434+J434</f>
        <v>0</v>
      </c>
      <c r="L434" s="25">
        <f>EDATE(C434,参数设置!$B$13)</f>
        <v>47674</v>
      </c>
      <c r="M434">
        <f>--(D434&gt;0)</f>
        <v>0</v>
      </c>
    </row>
    <row r="435" spans="1:13" ht="15" customHeight="1">
      <c r="A435">
        <v>36</v>
      </c>
      <c r="B435">
        <v>36</v>
      </c>
      <c r="C435" s="25">
        <f>EDATE(参数设置!$B$4,A435-1)</f>
        <v>47309</v>
      </c>
      <c r="D435" s="21">
        <f>IF(AND(A435&lt;=参数设置!$B$6,OR(INDEX(月度资金流!$B$7:$B$42,A435)=策略字典!$A$1,INDEX(月度资金流!$B$7:$B$42,A435)=策略字典!$A$2)),参数设置!$B$5,0)</f>
        <v>0</v>
      </c>
      <c r="E435">
        <v>12</v>
      </c>
      <c r="F435" s="25">
        <f>IF(E435=1,C435,G434)</f>
        <v>47669</v>
      </c>
      <c r="G435" s="25">
        <f>IF(E435&lt;参数设置!$B$13,DATE(YEAR(EDATE(C435,E435+1)),MONTH(EDATE(C435,E435+1)),参数设置!$B$14),EDATE(C435,参数设置!$B$13))</f>
        <v>47674</v>
      </c>
      <c r="H435">
        <f>G435-F435</f>
        <v>5</v>
      </c>
      <c r="I435" s="21">
        <f>IF(E435=参数设置!$B$13,D435,0)</f>
        <v>0</v>
      </c>
      <c r="J435" s="21">
        <f>IF(M435=1,ROUND(D435*参数设置!$B$11*H435/参数设置!$B$12,参数设置!$B$15),0)</f>
        <v>0</v>
      </c>
      <c r="K435" s="21">
        <f>I435+J435</f>
        <v>0</v>
      </c>
      <c r="L435" s="25">
        <f>EDATE(C435,参数设置!$B$13)</f>
        <v>47674</v>
      </c>
      <c r="M435">
        <f>--(D435&gt;0)</f>
        <v>0</v>
      </c>
    </row>
  </sheetData>
  <autoFilter ref="A3:M435" xr:uid="{00000000-0009-0000-0000-000004000000}"/>
  <mergeCells count="1">
    <mergeCell ref="A1:M1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54"/>
  <sheetViews>
    <sheetView showGridLines="0" zoomScaleNormal="100" workbookViewId="0">
      <pane ySplit="6" topLeftCell="A7" activePane="bottomLeft" state="frozen"/>
      <selection pane="bottomLeft"/>
    </sheetView>
  </sheetViews>
  <sheetFormatPr defaultColWidth="8.7109375" defaultRowHeight="15"/>
  <cols>
    <col min="1" max="1" width="11" customWidth="1"/>
    <col min="2" max="2" width="28" customWidth="1"/>
    <col min="3" max="36" width="18" customWidth="1"/>
  </cols>
  <sheetData>
    <row r="1" spans="1:36" ht="24.75" customHeight="1">
      <c r="A1" s="27" t="s">
        <v>111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</row>
    <row r="6" spans="1:36" ht="27.75" customHeight="1">
      <c r="A6" s="14" t="s">
        <v>50</v>
      </c>
      <c r="B6" s="14" t="s">
        <v>51</v>
      </c>
      <c r="C6" s="14" t="s">
        <v>71</v>
      </c>
      <c r="D6" s="14" t="s">
        <v>72</v>
      </c>
      <c r="E6" s="14" t="s">
        <v>73</v>
      </c>
      <c r="F6" s="14" t="s">
        <v>74</v>
      </c>
      <c r="G6" s="14" t="s">
        <v>41</v>
      </c>
      <c r="H6" s="14" t="s">
        <v>53</v>
      </c>
      <c r="I6" s="14" t="s">
        <v>75</v>
      </c>
      <c r="J6" s="14" t="s">
        <v>76</v>
      </c>
      <c r="K6" s="14" t="s">
        <v>77</v>
      </c>
      <c r="L6" s="14" t="s">
        <v>78</v>
      </c>
      <c r="M6" s="14" t="s">
        <v>79</v>
      </c>
      <c r="N6" s="14" t="s">
        <v>112</v>
      </c>
      <c r="O6" s="14" t="s">
        <v>59</v>
      </c>
      <c r="P6" s="14" t="s">
        <v>60</v>
      </c>
      <c r="Q6" s="14" t="s">
        <v>61</v>
      </c>
      <c r="R6" s="14" t="s">
        <v>62</v>
      </c>
      <c r="S6" s="14" t="s">
        <v>80</v>
      </c>
      <c r="T6" s="14" t="s">
        <v>81</v>
      </c>
      <c r="U6" s="14" t="s">
        <v>63</v>
      </c>
      <c r="V6" s="14" t="s">
        <v>82</v>
      </c>
      <c r="W6" s="14" t="s">
        <v>57</v>
      </c>
      <c r="X6" s="14" t="s">
        <v>83</v>
      </c>
      <c r="Y6" s="14" t="s">
        <v>84</v>
      </c>
      <c r="Z6" s="14" t="s">
        <v>85</v>
      </c>
      <c r="AA6" s="14" t="s">
        <v>64</v>
      </c>
      <c r="AB6" s="14" t="s">
        <v>86</v>
      </c>
      <c r="AC6" s="14" t="s">
        <v>65</v>
      </c>
      <c r="AD6" s="14" t="s">
        <v>87</v>
      </c>
      <c r="AE6" s="14" t="s">
        <v>88</v>
      </c>
      <c r="AF6" s="14" t="s">
        <v>89</v>
      </c>
      <c r="AG6" s="14" t="s">
        <v>90</v>
      </c>
      <c r="AH6" s="14" t="s">
        <v>91</v>
      </c>
      <c r="AI6" s="14" t="s">
        <v>69</v>
      </c>
      <c r="AJ6" s="14" t="s">
        <v>92</v>
      </c>
    </row>
    <row r="7" spans="1:36" ht="15" customHeight="1">
      <c r="A7" s="15">
        <f>EDATE(DATE(YEAR(参数设置!$B$4),MONTH(参数设置!$B$4),1),ROW()-7)</f>
        <v>46235</v>
      </c>
      <c r="B7" s="26" t="s">
        <v>93</v>
      </c>
      <c r="C7" s="7">
        <v>23400</v>
      </c>
      <c r="D7" s="9">
        <v>0.86</v>
      </c>
      <c r="E7" s="18">
        <f>IF(B7=策略字典!$A$1,C7/D7,0)</f>
        <v>27209.302325581397</v>
      </c>
      <c r="F7" s="12">
        <v>10</v>
      </c>
      <c r="G7" s="8">
        <v>500</v>
      </c>
      <c r="H7" s="23">
        <f>IF(E7=0,0,FLOOR((E7-J7)/F7,G7))</f>
        <v>2500</v>
      </c>
      <c r="I7" s="18">
        <f>H7*F7</f>
        <v>25000</v>
      </c>
      <c r="J7" s="12">
        <v>0</v>
      </c>
      <c r="K7" s="18">
        <f>MAX(0,E7-I7-J7)</f>
        <v>2209.3023255813969</v>
      </c>
      <c r="L7" s="23">
        <f>IF(ROW()=7,0,AD6)</f>
        <v>0</v>
      </c>
      <c r="M7" s="18">
        <f>0</f>
        <v>0</v>
      </c>
      <c r="N7" s="12">
        <v>0</v>
      </c>
      <c r="O7" s="21">
        <f>SUMIFS(实际贷款明细!$I$4:$I$435,实际贷款明细!$G$4:$G$435,"&gt;="&amp;A7,实际贷款明细!$G$4:$G$435,"&lt;"&amp;EDATE(A7,1))</f>
        <v>0</v>
      </c>
      <c r="P7" s="21">
        <f>SUMIFS(实际贷款明细!$J$4:$J$435,实际贷款明细!$G$4:$G$435,"&gt;="&amp;A7,实际贷款明细!$G$4:$G$435,"&lt;"&amp;EDATE(A7,1))</f>
        <v>0</v>
      </c>
      <c r="Q7" s="18">
        <f>(O7+P7)/D7</f>
        <v>0</v>
      </c>
      <c r="R7" s="18">
        <f>IF(B7=策略字典!$A$2,MIN(C7,O7)/D7,0)</f>
        <v>0</v>
      </c>
      <c r="S7" s="18">
        <f>IF(ROW()=7,0,AC6)</f>
        <v>0</v>
      </c>
      <c r="T7" s="18">
        <f>S7+L7*N7+K7</f>
        <v>2209.3023255813969</v>
      </c>
      <c r="U7" s="18">
        <f>MIN(T7,MAX(0,Q7-R7))</f>
        <v>0</v>
      </c>
      <c r="V7" s="18">
        <f>MAX(0,Q7-R7-U7)</f>
        <v>0</v>
      </c>
      <c r="W7" s="23">
        <f>IF(B7=策略字典!$A$3,MIN(L7+H7,CEILING(V7/(F7*(1-参数设置!$B$23)),G7)),0)</f>
        <v>0</v>
      </c>
      <c r="X7" s="18">
        <f>W7*F7</f>
        <v>0</v>
      </c>
      <c r="Y7" s="18">
        <f>X7*参数设置!$B$23</f>
        <v>0</v>
      </c>
      <c r="Z7" s="18">
        <f>X7-Y7</f>
        <v>0</v>
      </c>
      <c r="AA7" s="18">
        <f>MAX(0,V7-Z7)</f>
        <v>0</v>
      </c>
      <c r="AB7" s="18">
        <f>MAX(0,Z7-V7)</f>
        <v>0</v>
      </c>
      <c r="AC7" s="18">
        <f>T7-U7+AB7</f>
        <v>2209.3023255813969</v>
      </c>
      <c r="AD7" s="23">
        <f>MAX(0,L7+H7-W7)</f>
        <v>2500</v>
      </c>
      <c r="AE7" s="18">
        <f>AD7*F7</f>
        <v>25000</v>
      </c>
      <c r="AF7" s="21">
        <f>SUM($C$7:C7)-SUM($O$7:O7)</f>
        <v>23400</v>
      </c>
      <c r="AG7" s="18">
        <f>AF7/D7</f>
        <v>27209.302325581397</v>
      </c>
      <c r="AH7" s="18">
        <f>AE7+AC7</f>
        <v>27209.302325581397</v>
      </c>
      <c r="AI7" s="18">
        <f>AH7-AG7-SUM($AA$7:AA7)</f>
        <v>0</v>
      </c>
      <c r="AJ7" s="24">
        <f>R7+U7+MIN(Z7,V7)+AA7-Q7</f>
        <v>0</v>
      </c>
    </row>
    <row r="8" spans="1:36" ht="15" customHeight="1">
      <c r="A8" s="15">
        <f>EDATE(DATE(YEAR(参数设置!$B$4),MONTH(参数设置!$B$4),1),ROW()-7)</f>
        <v>46266</v>
      </c>
      <c r="B8" s="26" t="s">
        <v>93</v>
      </c>
      <c r="C8" s="7">
        <v>23400</v>
      </c>
      <c r="D8" s="9">
        <v>0.86</v>
      </c>
      <c r="E8" s="18">
        <f>IF(B8=策略字典!$A$1,C8/D8,0)</f>
        <v>27209.302325581397</v>
      </c>
      <c r="F8" s="12">
        <v>10</v>
      </c>
      <c r="G8" s="8">
        <v>500</v>
      </c>
      <c r="H8" s="23">
        <f>IF(E8=0,0,FLOOR((E8-J8)/F8,G8))</f>
        <v>2500</v>
      </c>
      <c r="I8" s="18">
        <f>H8*F8</f>
        <v>25000</v>
      </c>
      <c r="J8" s="12">
        <v>0</v>
      </c>
      <c r="K8" s="18">
        <f>MAX(0,E8-I8-J8)</f>
        <v>2209.3023255813969</v>
      </c>
      <c r="L8" s="23">
        <f>IF(ROW()=7,0,AD7)</f>
        <v>2500</v>
      </c>
      <c r="M8" s="18">
        <f>0</f>
        <v>0</v>
      </c>
      <c r="N8" s="12">
        <v>0.05</v>
      </c>
      <c r="O8" s="21">
        <f>SUMIFS(实际贷款明细!$I$4:$I$435,实际贷款明细!$G$4:$G$435,"&gt;="&amp;A8,实际贷款明细!$G$4:$G$435,"&lt;"&amp;EDATE(A8,1))</f>
        <v>0</v>
      </c>
      <c r="P8" s="21">
        <f>SUMIFS(实际贷款明细!$J$4:$J$435,实际贷款明细!$G$4:$G$435,"&gt;="&amp;A8,实际贷款明细!$G$4:$G$435,"&lt;"&amp;EDATE(A8,1))</f>
        <v>0</v>
      </c>
      <c r="Q8" s="18">
        <f>(O8+P8)/D8</f>
        <v>0</v>
      </c>
      <c r="R8" s="18">
        <f>IF(B8=策略字典!$A$2,MIN(C8,O8)/D8,0)</f>
        <v>0</v>
      </c>
      <c r="S8" s="18">
        <f>IF(ROW()=7,0,AC7)</f>
        <v>2209.3023255813969</v>
      </c>
      <c r="T8" s="18">
        <f>S8+L8*N8+K8</f>
        <v>4543.6046511627937</v>
      </c>
      <c r="U8" s="18">
        <f>MIN(T8,MAX(0,Q8-R8))</f>
        <v>0</v>
      </c>
      <c r="V8" s="18">
        <f>MAX(0,Q8-R8-U8)</f>
        <v>0</v>
      </c>
      <c r="W8" s="23">
        <f>IF(B8=策略字典!$A$3,MIN(L8+H8,CEILING(V8/(F8*(1-参数设置!$B$23)),G8)),0)</f>
        <v>0</v>
      </c>
      <c r="X8" s="18">
        <f>W8*F8</f>
        <v>0</v>
      </c>
      <c r="Y8" s="18">
        <f>X8*参数设置!$B$23</f>
        <v>0</v>
      </c>
      <c r="Z8" s="18">
        <f>X8-Y8</f>
        <v>0</v>
      </c>
      <c r="AA8" s="18">
        <f>MAX(0,V8-Z8)</f>
        <v>0</v>
      </c>
      <c r="AB8" s="18">
        <f>MAX(0,Z8-V8)</f>
        <v>0</v>
      </c>
      <c r="AC8" s="18">
        <f>T8-U8+AB8</f>
        <v>4543.6046511627937</v>
      </c>
      <c r="AD8" s="23">
        <f>MAX(0,L8+H8-W8)</f>
        <v>5000</v>
      </c>
      <c r="AE8" s="18">
        <f>AD8*F8</f>
        <v>50000</v>
      </c>
      <c r="AF8" s="21">
        <f>SUM($C$7:C8)-SUM($O$7:O8)</f>
        <v>46800</v>
      </c>
      <c r="AG8" s="18">
        <f>AF8/D8</f>
        <v>54418.604651162794</v>
      </c>
      <c r="AH8" s="18">
        <f>AE8+AC8</f>
        <v>54543.604651162794</v>
      </c>
      <c r="AI8" s="18">
        <f>AH8-AG8-SUM($AA$7:AA8)</f>
        <v>125</v>
      </c>
      <c r="AJ8" s="24">
        <f>R8+U8+MIN(Z8,V8)+AA8-Q8</f>
        <v>0</v>
      </c>
    </row>
    <row r="9" spans="1:36" ht="15" customHeight="1">
      <c r="A9" s="15">
        <f>EDATE(DATE(YEAR(参数设置!$B$4),MONTH(参数设置!$B$4),1),ROW()-7)</f>
        <v>46296</v>
      </c>
      <c r="B9" s="26" t="s">
        <v>93</v>
      </c>
      <c r="C9" s="7">
        <v>23400</v>
      </c>
      <c r="D9" s="9">
        <v>0.86</v>
      </c>
      <c r="E9" s="18">
        <f>IF(B9=策略字典!$A$1,C9/D9,0)</f>
        <v>27209.302325581397</v>
      </c>
      <c r="F9" s="12">
        <v>10</v>
      </c>
      <c r="G9" s="8">
        <v>500</v>
      </c>
      <c r="H9" s="23">
        <f>IF(E9=0,0,FLOOR((E9-J9)/F9,G9))</f>
        <v>2500</v>
      </c>
      <c r="I9" s="18">
        <f>H9*F9</f>
        <v>25000</v>
      </c>
      <c r="J9" s="12">
        <v>0</v>
      </c>
      <c r="K9" s="18">
        <f>MAX(0,E9-I9-J9)</f>
        <v>2209.3023255813969</v>
      </c>
      <c r="L9" s="23">
        <f>IF(ROW()=7,0,AD8)</f>
        <v>5000</v>
      </c>
      <c r="M9" s="18">
        <f>0</f>
        <v>0</v>
      </c>
      <c r="N9" s="12">
        <v>0.05</v>
      </c>
      <c r="O9" s="21">
        <f>SUMIFS(实际贷款明细!$I$4:$I$435,实际贷款明细!$G$4:$G$435,"&gt;="&amp;A9,实际贷款明细!$G$4:$G$435,"&lt;"&amp;EDATE(A9,1))</f>
        <v>0</v>
      </c>
      <c r="P9" s="21">
        <f>SUMIFS(实际贷款明细!$J$4:$J$435,实际贷款明细!$G$4:$G$435,"&gt;="&amp;A9,实际贷款明细!$G$4:$G$435,"&lt;"&amp;EDATE(A9,1))</f>
        <v>120.12</v>
      </c>
      <c r="Q9" s="18">
        <f>(O9+P9)/D9</f>
        <v>139.67441860465118</v>
      </c>
      <c r="R9" s="18">
        <f>IF(B9=策略字典!$A$2,MIN(C9,O9)/D9,0)</f>
        <v>0</v>
      </c>
      <c r="S9" s="18">
        <f>IF(ROW()=7,0,AC8)</f>
        <v>4543.6046511627937</v>
      </c>
      <c r="T9" s="18">
        <f>S9+L9*N9+K9</f>
        <v>7002.9069767441906</v>
      </c>
      <c r="U9" s="18">
        <f>MIN(T9,MAX(0,Q9-R9))</f>
        <v>139.67441860465118</v>
      </c>
      <c r="V9" s="18">
        <f>MAX(0,Q9-R9-U9)</f>
        <v>0</v>
      </c>
      <c r="W9" s="23">
        <f>IF(B9=策略字典!$A$3,MIN(L9+H9,CEILING(V9/(F9*(1-参数设置!$B$23)),G9)),0)</f>
        <v>0</v>
      </c>
      <c r="X9" s="18">
        <f>W9*F9</f>
        <v>0</v>
      </c>
      <c r="Y9" s="18">
        <f>X9*参数设置!$B$23</f>
        <v>0</v>
      </c>
      <c r="Z9" s="18">
        <f>X9-Y9</f>
        <v>0</v>
      </c>
      <c r="AA9" s="18">
        <f>MAX(0,V9-Z9)</f>
        <v>0</v>
      </c>
      <c r="AB9" s="18">
        <f>MAX(0,Z9-V9)</f>
        <v>0</v>
      </c>
      <c r="AC9" s="18">
        <f>T9-U9+AB9</f>
        <v>6863.2325581395398</v>
      </c>
      <c r="AD9" s="23">
        <f>MAX(0,L9+H9-W9)</f>
        <v>7500</v>
      </c>
      <c r="AE9" s="18">
        <f>AD9*F9</f>
        <v>75000</v>
      </c>
      <c r="AF9" s="21">
        <f>SUM($C$7:C9)-SUM($O$7:O9)</f>
        <v>70200</v>
      </c>
      <c r="AG9" s="18">
        <f>AF9/D9</f>
        <v>81627.906976744183</v>
      </c>
      <c r="AH9" s="18">
        <f>AE9+AC9</f>
        <v>81863.232558139542</v>
      </c>
      <c r="AI9" s="18">
        <f>AH9-AG9-SUM($AA$7:AA9)</f>
        <v>235.32558139535831</v>
      </c>
      <c r="AJ9" s="24">
        <f>R9+U9+MIN(Z9,V9)+AA9-Q9</f>
        <v>0</v>
      </c>
    </row>
    <row r="10" spans="1:36" ht="15" customHeight="1">
      <c r="A10" s="15">
        <f>EDATE(DATE(YEAR(参数设置!$B$4),MONTH(参数设置!$B$4),1),ROW()-7)</f>
        <v>46327</v>
      </c>
      <c r="B10" s="26" t="s">
        <v>93</v>
      </c>
      <c r="C10" s="7">
        <v>23400</v>
      </c>
      <c r="D10" s="9">
        <v>0.86</v>
      </c>
      <c r="E10" s="18">
        <f>IF(B10=策略字典!$A$1,C10/D10,0)</f>
        <v>27209.302325581397</v>
      </c>
      <c r="F10" s="12">
        <v>10</v>
      </c>
      <c r="G10" s="8">
        <v>500</v>
      </c>
      <c r="H10" s="23">
        <f>IF(E10=0,0,FLOOR((E10-J10)/F10,G10))</f>
        <v>2500</v>
      </c>
      <c r="I10" s="18">
        <f>H10*F10</f>
        <v>25000</v>
      </c>
      <c r="J10" s="12">
        <v>0</v>
      </c>
      <c r="K10" s="18">
        <f>MAX(0,E10-I10-J10)</f>
        <v>2209.3023255813969</v>
      </c>
      <c r="L10" s="23">
        <f>IF(ROW()=7,0,AD9)</f>
        <v>7500</v>
      </c>
      <c r="M10" s="18">
        <f>0</f>
        <v>0</v>
      </c>
      <c r="N10" s="12">
        <v>0.05</v>
      </c>
      <c r="O10" s="21">
        <f>SUMIFS(实际贷款明细!$I$4:$I$435,实际贷款明细!$G$4:$G$435,"&gt;="&amp;A10,实际贷款明细!$G$4:$G$435,"&lt;"&amp;EDATE(A10,1))</f>
        <v>0</v>
      </c>
      <c r="P10" s="21">
        <f>SUMIFS(实际贷款明细!$J$4:$J$435,实际贷款明细!$G$4:$G$435,"&gt;="&amp;A10,实际贷款明细!$G$4:$G$435,"&lt;"&amp;EDATE(A10,1))</f>
        <v>186.62</v>
      </c>
      <c r="Q10" s="18">
        <f>(O10+P10)/D10</f>
        <v>217</v>
      </c>
      <c r="R10" s="18">
        <f>IF(B10=策略字典!$A$2,MIN(C10,O10)/D10,0)</f>
        <v>0</v>
      </c>
      <c r="S10" s="18">
        <f>IF(ROW()=7,0,AC9)</f>
        <v>6863.2325581395398</v>
      </c>
      <c r="T10" s="18">
        <f>S10+L10*N10+K10</f>
        <v>9447.5348837209367</v>
      </c>
      <c r="U10" s="18">
        <f>MIN(T10,MAX(0,Q10-R10))</f>
        <v>217</v>
      </c>
      <c r="V10" s="18">
        <f>MAX(0,Q10-R10-U10)</f>
        <v>0</v>
      </c>
      <c r="W10" s="23">
        <f>IF(B10=策略字典!$A$3,MIN(L10+H10,CEILING(V10/(F10*(1-参数设置!$B$23)),G10)),0)</f>
        <v>0</v>
      </c>
      <c r="X10" s="18">
        <f>W10*F10</f>
        <v>0</v>
      </c>
      <c r="Y10" s="18">
        <f>X10*参数设置!$B$23</f>
        <v>0</v>
      </c>
      <c r="Z10" s="18">
        <f>X10-Y10</f>
        <v>0</v>
      </c>
      <c r="AA10" s="18">
        <f>MAX(0,V10-Z10)</f>
        <v>0</v>
      </c>
      <c r="AB10" s="18">
        <f>MAX(0,Z10-V10)</f>
        <v>0</v>
      </c>
      <c r="AC10" s="18">
        <f>T10-U10+AB10</f>
        <v>9230.5348837209367</v>
      </c>
      <c r="AD10" s="23">
        <f>MAX(0,L10+H10-W10)</f>
        <v>10000</v>
      </c>
      <c r="AE10" s="18">
        <f>AD10*F10</f>
        <v>100000</v>
      </c>
      <c r="AF10" s="21">
        <f>SUM($C$7:C10)-SUM($O$7:O10)</f>
        <v>93600</v>
      </c>
      <c r="AG10" s="18">
        <f>AF10/D10</f>
        <v>108837.20930232559</v>
      </c>
      <c r="AH10" s="18">
        <f>AE10+AC10</f>
        <v>109230.53488372093</v>
      </c>
      <c r="AI10" s="18">
        <f>AH10-AG10-SUM($AA$7:AA10)</f>
        <v>393.32558139534376</v>
      </c>
      <c r="AJ10" s="24">
        <f>R10+U10+MIN(Z10,V10)+AA10-Q10</f>
        <v>0</v>
      </c>
    </row>
    <row r="11" spans="1:36" ht="15" customHeight="1">
      <c r="A11" s="15">
        <f>EDATE(DATE(YEAR(参数设置!$B$4),MONTH(参数设置!$B$4),1),ROW()-7)</f>
        <v>46357</v>
      </c>
      <c r="B11" s="26" t="s">
        <v>93</v>
      </c>
      <c r="C11" s="7">
        <v>23400</v>
      </c>
      <c r="D11" s="9">
        <v>0.86</v>
      </c>
      <c r="E11" s="18">
        <f>IF(B11=策略字典!$A$1,C11/D11,0)</f>
        <v>27209.302325581397</v>
      </c>
      <c r="F11" s="12">
        <v>10</v>
      </c>
      <c r="G11" s="8">
        <v>500</v>
      </c>
      <c r="H11" s="23">
        <f>IF(E11=0,0,FLOOR((E11-J11)/F11,G11))</f>
        <v>2500</v>
      </c>
      <c r="I11" s="18">
        <f>H11*F11</f>
        <v>25000</v>
      </c>
      <c r="J11" s="12">
        <v>0</v>
      </c>
      <c r="K11" s="18">
        <f>MAX(0,E11-I11-J11)</f>
        <v>2209.3023255813969</v>
      </c>
      <c r="L11" s="23">
        <f>IF(ROW()=7,0,AD10)</f>
        <v>10000</v>
      </c>
      <c r="M11" s="18">
        <f>0</f>
        <v>0</v>
      </c>
      <c r="N11" s="12">
        <v>0.05</v>
      </c>
      <c r="O11" s="21">
        <f>SUMIFS(实际贷款明细!$I$4:$I$435,实际贷款明细!$G$4:$G$435,"&gt;="&amp;A11,实际贷款明细!$G$4:$G$435,"&lt;"&amp;EDATE(A11,1))</f>
        <v>0</v>
      </c>
      <c r="P11" s="21">
        <f>SUMIFS(实际贷款明细!$J$4:$J$435,实际贷款明细!$G$4:$G$435,"&gt;="&amp;A11,实际贷款明细!$G$4:$G$435,"&lt;"&amp;EDATE(A11,1))</f>
        <v>248.82</v>
      </c>
      <c r="Q11" s="18">
        <f>(O11+P11)/D11</f>
        <v>289.32558139534882</v>
      </c>
      <c r="R11" s="18">
        <f>IF(B11=策略字典!$A$2,MIN(C11,O11)/D11,0)</f>
        <v>0</v>
      </c>
      <c r="S11" s="18">
        <f>IF(ROW()=7,0,AC10)</f>
        <v>9230.5348837209367</v>
      </c>
      <c r="T11" s="18">
        <f>S11+L11*N11+K11</f>
        <v>11939.837209302334</v>
      </c>
      <c r="U11" s="18">
        <f>MIN(T11,MAX(0,Q11-R11))</f>
        <v>289.32558139534882</v>
      </c>
      <c r="V11" s="18">
        <f>MAX(0,Q11-R11-U11)</f>
        <v>0</v>
      </c>
      <c r="W11" s="23">
        <f>IF(B11=策略字典!$A$3,MIN(L11+H11,CEILING(V11/(F11*(1-参数设置!$B$23)),G11)),0)</f>
        <v>0</v>
      </c>
      <c r="X11" s="18">
        <f>W11*F11</f>
        <v>0</v>
      </c>
      <c r="Y11" s="18">
        <f>X11*参数设置!$B$23</f>
        <v>0</v>
      </c>
      <c r="Z11" s="18">
        <f>X11-Y11</f>
        <v>0</v>
      </c>
      <c r="AA11" s="18">
        <f>MAX(0,V11-Z11)</f>
        <v>0</v>
      </c>
      <c r="AB11" s="18">
        <f>MAX(0,Z11-V11)</f>
        <v>0</v>
      </c>
      <c r="AC11" s="18">
        <f>T11-U11+AB11</f>
        <v>11650.511627906984</v>
      </c>
      <c r="AD11" s="23">
        <f>MAX(0,L11+H11-W11)</f>
        <v>12500</v>
      </c>
      <c r="AE11" s="18">
        <f>AD11*F11</f>
        <v>125000</v>
      </c>
      <c r="AF11" s="21">
        <f>SUM($C$7:C11)-SUM($O$7:O11)</f>
        <v>117000</v>
      </c>
      <c r="AG11" s="18">
        <f>AF11/D11</f>
        <v>136046.51162790699</v>
      </c>
      <c r="AH11" s="18">
        <f>AE11+AC11</f>
        <v>136650.51162790699</v>
      </c>
      <c r="AI11" s="18">
        <f>AH11-AG11-SUM($AA$7:AA11)</f>
        <v>604</v>
      </c>
      <c r="AJ11" s="24">
        <f>R11+U11+MIN(Z11,V11)+AA11-Q11</f>
        <v>0</v>
      </c>
    </row>
    <row r="12" spans="1:36" ht="15" customHeight="1">
      <c r="A12" s="15">
        <f>EDATE(DATE(YEAR(参数设置!$B$4),MONTH(参数设置!$B$4),1),ROW()-7)</f>
        <v>46388</v>
      </c>
      <c r="B12" s="26" t="s">
        <v>93</v>
      </c>
      <c r="C12" s="7">
        <v>23400</v>
      </c>
      <c r="D12" s="9">
        <v>0.86</v>
      </c>
      <c r="E12" s="18">
        <f>IF(B12=策略字典!$A$1,C12/D12,0)</f>
        <v>27209.302325581397</v>
      </c>
      <c r="F12" s="12">
        <v>10</v>
      </c>
      <c r="G12" s="8">
        <v>500</v>
      </c>
      <c r="H12" s="23">
        <f>IF(E12=0,0,FLOOR((E12-J12)/F12,G12))</f>
        <v>2500</v>
      </c>
      <c r="I12" s="18">
        <f>H12*F12</f>
        <v>25000</v>
      </c>
      <c r="J12" s="12">
        <v>0</v>
      </c>
      <c r="K12" s="18">
        <f>MAX(0,E12-I12-J12)</f>
        <v>2209.3023255813969</v>
      </c>
      <c r="L12" s="23">
        <f>IF(ROW()=7,0,AD11)</f>
        <v>12500</v>
      </c>
      <c r="M12" s="18">
        <f>0</f>
        <v>0</v>
      </c>
      <c r="N12" s="12">
        <v>0.05</v>
      </c>
      <c r="O12" s="21">
        <f>SUMIFS(实际贷款明细!$I$4:$I$435,实际贷款明细!$G$4:$G$435,"&gt;="&amp;A12,实际贷款明细!$G$4:$G$435,"&lt;"&amp;EDATE(A12,1))</f>
        <v>0</v>
      </c>
      <c r="P12" s="21">
        <f>SUMIFS(实际贷款明细!$J$4:$J$435,实际贷款明细!$G$4:$G$435,"&gt;="&amp;A12,实际贷款明细!$G$4:$G$435,"&lt;"&amp;EDATE(A12,1))</f>
        <v>319.62</v>
      </c>
      <c r="Q12" s="18">
        <f>(O12+P12)/D12</f>
        <v>371.6511627906977</v>
      </c>
      <c r="R12" s="18">
        <f>IF(B12=策略字典!$A$2,MIN(C12,O12)/D12,0)</f>
        <v>0</v>
      </c>
      <c r="S12" s="18">
        <f>IF(ROW()=7,0,AC11)</f>
        <v>11650.511627906984</v>
      </c>
      <c r="T12" s="18">
        <f>S12+L12*N12+K12</f>
        <v>14484.813953488381</v>
      </c>
      <c r="U12" s="18">
        <f>MIN(T12,MAX(0,Q12-R12))</f>
        <v>371.6511627906977</v>
      </c>
      <c r="V12" s="18">
        <f>MAX(0,Q12-R12-U12)</f>
        <v>0</v>
      </c>
      <c r="W12" s="23">
        <f>IF(B12=策略字典!$A$3,MIN(L12+H12,CEILING(V12/(F12*(1-参数设置!$B$23)),G12)),0)</f>
        <v>0</v>
      </c>
      <c r="X12" s="18">
        <f>W12*F12</f>
        <v>0</v>
      </c>
      <c r="Y12" s="18">
        <f>X12*参数设置!$B$23</f>
        <v>0</v>
      </c>
      <c r="Z12" s="18">
        <f>X12-Y12</f>
        <v>0</v>
      </c>
      <c r="AA12" s="18">
        <f>MAX(0,V12-Z12)</f>
        <v>0</v>
      </c>
      <c r="AB12" s="18">
        <f>MAX(0,Z12-V12)</f>
        <v>0</v>
      </c>
      <c r="AC12" s="18">
        <f>T12-U12+AB12</f>
        <v>14113.162790697683</v>
      </c>
      <c r="AD12" s="23">
        <f>MAX(0,L12+H12-W12)</f>
        <v>15000</v>
      </c>
      <c r="AE12" s="18">
        <f>AD12*F12</f>
        <v>150000</v>
      </c>
      <c r="AF12" s="21">
        <f>SUM($C$7:C12)-SUM($O$7:O12)</f>
        <v>140400</v>
      </c>
      <c r="AG12" s="18">
        <f>AF12/D12</f>
        <v>163255.81395348837</v>
      </c>
      <c r="AH12" s="18">
        <f>AE12+AC12</f>
        <v>164113.16279069768</v>
      </c>
      <c r="AI12" s="18">
        <f>AH12-AG12-SUM($AA$7:AA12)</f>
        <v>857.34883720931248</v>
      </c>
      <c r="AJ12" s="24">
        <f>R12+U12+MIN(Z12,V12)+AA12-Q12</f>
        <v>0</v>
      </c>
    </row>
    <row r="13" spans="1:36" ht="15" customHeight="1">
      <c r="A13" s="15">
        <f>EDATE(DATE(YEAR(参数设置!$B$4),MONTH(参数设置!$B$4),1),ROW()-7)</f>
        <v>46419</v>
      </c>
      <c r="B13" s="26" t="s">
        <v>93</v>
      </c>
      <c r="C13" s="7">
        <v>23400</v>
      </c>
      <c r="D13" s="9">
        <v>0.86</v>
      </c>
      <c r="E13" s="18">
        <f>IF(B13=策略字典!$A$1,C13/D13,0)</f>
        <v>27209.302325581397</v>
      </c>
      <c r="F13" s="12">
        <v>10</v>
      </c>
      <c r="G13" s="8">
        <v>500</v>
      </c>
      <c r="H13" s="23">
        <f>IF(E13=0,0,FLOOR((E13-J13)/F13,G13))</f>
        <v>2500</v>
      </c>
      <c r="I13" s="18">
        <f>H13*F13</f>
        <v>25000</v>
      </c>
      <c r="J13" s="12">
        <v>0</v>
      </c>
      <c r="K13" s="18">
        <f>MAX(0,E13-I13-J13)</f>
        <v>2209.3023255813969</v>
      </c>
      <c r="L13" s="23">
        <f>IF(ROW()=7,0,AD12)</f>
        <v>15000</v>
      </c>
      <c r="M13" s="18">
        <f>0</f>
        <v>0</v>
      </c>
      <c r="N13" s="12">
        <v>0.05</v>
      </c>
      <c r="O13" s="21">
        <f>SUMIFS(实际贷款明细!$I$4:$I$435,实际贷款明细!$G$4:$G$435,"&gt;="&amp;A13,实际贷款明细!$G$4:$G$435,"&lt;"&amp;EDATE(A13,1))</f>
        <v>0</v>
      </c>
      <c r="P13" s="21">
        <f>SUMIFS(实际贷款明细!$J$4:$J$435,实际贷款明细!$G$4:$G$435,"&gt;="&amp;A13,实际贷款明细!$G$4:$G$435,"&lt;"&amp;EDATE(A13,1))</f>
        <v>388.27</v>
      </c>
      <c r="Q13" s="18">
        <f>(O13+P13)/D13</f>
        <v>451.47674418604652</v>
      </c>
      <c r="R13" s="18">
        <f>IF(B13=策略字典!$A$2,MIN(C13,O13)/D13,0)</f>
        <v>0</v>
      </c>
      <c r="S13" s="18">
        <f>IF(ROW()=7,0,AC12)</f>
        <v>14113.162790697683</v>
      </c>
      <c r="T13" s="18">
        <f>S13+L13*N13+K13</f>
        <v>17072.46511627908</v>
      </c>
      <c r="U13" s="18">
        <f>MIN(T13,MAX(0,Q13-R13))</f>
        <v>451.47674418604652</v>
      </c>
      <c r="V13" s="18">
        <f>MAX(0,Q13-R13-U13)</f>
        <v>0</v>
      </c>
      <c r="W13" s="23">
        <f>IF(B13=策略字典!$A$3,MIN(L13+H13,CEILING(V13/(F13*(1-参数设置!$B$23)),G13)),0)</f>
        <v>0</v>
      </c>
      <c r="X13" s="18">
        <f>W13*F13</f>
        <v>0</v>
      </c>
      <c r="Y13" s="18">
        <f>X13*参数设置!$B$23</f>
        <v>0</v>
      </c>
      <c r="Z13" s="18">
        <f>X13-Y13</f>
        <v>0</v>
      </c>
      <c r="AA13" s="18">
        <f>MAX(0,V13-Z13)</f>
        <v>0</v>
      </c>
      <c r="AB13" s="18">
        <f>MAX(0,Z13-V13)</f>
        <v>0</v>
      </c>
      <c r="AC13" s="18">
        <f>T13-U13+AB13</f>
        <v>16620.988372093034</v>
      </c>
      <c r="AD13" s="23">
        <f>MAX(0,L13+H13-W13)</f>
        <v>17500</v>
      </c>
      <c r="AE13" s="18">
        <f>AD13*F13</f>
        <v>175000</v>
      </c>
      <c r="AF13" s="21">
        <f>SUM($C$7:C13)-SUM($O$7:O13)</f>
        <v>163800</v>
      </c>
      <c r="AG13" s="18">
        <f>AF13/D13</f>
        <v>190465.11627906977</v>
      </c>
      <c r="AH13" s="18">
        <f>AE13+AC13</f>
        <v>191620.98837209304</v>
      </c>
      <c r="AI13" s="18">
        <f>AH13-AG13-SUM($AA$7:AA13)</f>
        <v>1155.8720930232666</v>
      </c>
      <c r="AJ13" s="24">
        <f>R13+U13+MIN(Z13,V13)+AA13-Q13</f>
        <v>0</v>
      </c>
    </row>
    <row r="14" spans="1:36" ht="15" customHeight="1">
      <c r="A14" s="15">
        <f>EDATE(DATE(YEAR(参数设置!$B$4),MONTH(参数设置!$B$4),1),ROW()-7)</f>
        <v>46447</v>
      </c>
      <c r="B14" s="26" t="s">
        <v>93</v>
      </c>
      <c r="C14" s="7">
        <v>23400</v>
      </c>
      <c r="D14" s="9">
        <v>0.86</v>
      </c>
      <c r="E14" s="18">
        <f>IF(B14=策略字典!$A$1,C14/D14,0)</f>
        <v>27209.302325581397</v>
      </c>
      <c r="F14" s="12">
        <v>10</v>
      </c>
      <c r="G14" s="8">
        <v>500</v>
      </c>
      <c r="H14" s="23">
        <f>IF(E14=0,0,FLOOR((E14-J14)/F14,G14))</f>
        <v>2500</v>
      </c>
      <c r="I14" s="18">
        <f>H14*F14</f>
        <v>25000</v>
      </c>
      <c r="J14" s="12">
        <v>0</v>
      </c>
      <c r="K14" s="18">
        <f>MAX(0,E14-I14-J14)</f>
        <v>2209.3023255813969</v>
      </c>
      <c r="L14" s="23">
        <f>IF(ROW()=7,0,AD13)</f>
        <v>17500</v>
      </c>
      <c r="M14" s="18">
        <f>0</f>
        <v>0</v>
      </c>
      <c r="N14" s="12">
        <v>0.05</v>
      </c>
      <c r="O14" s="21">
        <f>SUMIFS(实际贷款明细!$I$4:$I$435,实际贷款明细!$G$4:$G$435,"&gt;="&amp;A14,实际贷款明细!$G$4:$G$435,"&lt;"&amp;EDATE(A14,1))</f>
        <v>0</v>
      </c>
      <c r="P14" s="21">
        <f>SUMIFS(实际贷款明细!$J$4:$J$435,实际贷款明细!$G$4:$G$435,"&gt;="&amp;A14,实际贷款明细!$G$4:$G$435,"&lt;"&amp;EDATE(A14,1))</f>
        <v>416.13</v>
      </c>
      <c r="Q14" s="18">
        <f>(O14+P14)/D14</f>
        <v>483.87209302325584</v>
      </c>
      <c r="R14" s="18">
        <f>IF(B14=策略字典!$A$2,MIN(C14,O14)/D14,0)</f>
        <v>0</v>
      </c>
      <c r="S14" s="18">
        <f>IF(ROW()=7,0,AC13)</f>
        <v>16620.988372093034</v>
      </c>
      <c r="T14" s="18">
        <f>S14+L14*N14+K14</f>
        <v>19705.290697674431</v>
      </c>
      <c r="U14" s="18">
        <f>MIN(T14,MAX(0,Q14-R14))</f>
        <v>483.87209302325584</v>
      </c>
      <c r="V14" s="18">
        <f>MAX(0,Q14-R14-U14)</f>
        <v>0</v>
      </c>
      <c r="W14" s="23">
        <f>IF(B14=策略字典!$A$3,MIN(L14+H14,CEILING(V14/(F14*(1-参数设置!$B$23)),G14)),0)</f>
        <v>0</v>
      </c>
      <c r="X14" s="18">
        <f>W14*F14</f>
        <v>0</v>
      </c>
      <c r="Y14" s="18">
        <f>X14*参数设置!$B$23</f>
        <v>0</v>
      </c>
      <c r="Z14" s="18">
        <f>X14-Y14</f>
        <v>0</v>
      </c>
      <c r="AA14" s="18">
        <f>MAX(0,V14-Z14)</f>
        <v>0</v>
      </c>
      <c r="AB14" s="18">
        <f>MAX(0,Z14-V14)</f>
        <v>0</v>
      </c>
      <c r="AC14" s="18">
        <f>T14-U14+AB14</f>
        <v>19221.418604651175</v>
      </c>
      <c r="AD14" s="23">
        <f>MAX(0,L14+H14-W14)</f>
        <v>20000</v>
      </c>
      <c r="AE14" s="18">
        <f>AD14*F14</f>
        <v>200000</v>
      </c>
      <c r="AF14" s="21">
        <f>SUM($C$7:C14)-SUM($O$7:O14)</f>
        <v>187200</v>
      </c>
      <c r="AG14" s="18">
        <f>AF14/D14</f>
        <v>217674.41860465117</v>
      </c>
      <c r="AH14" s="18">
        <f>AE14+AC14</f>
        <v>219221.41860465117</v>
      </c>
      <c r="AI14" s="18">
        <f>AH14-AG14-SUM($AA$7:AA14)</f>
        <v>1547</v>
      </c>
      <c r="AJ14" s="24">
        <f>R14+U14+MIN(Z14,V14)+AA14-Q14</f>
        <v>0</v>
      </c>
    </row>
    <row r="15" spans="1:36" ht="15" customHeight="1">
      <c r="A15" s="15">
        <f>EDATE(DATE(YEAR(参数设置!$B$4),MONTH(参数设置!$B$4),1),ROW()-7)</f>
        <v>46478</v>
      </c>
      <c r="B15" s="26" t="s">
        <v>93</v>
      </c>
      <c r="C15" s="7">
        <v>23400</v>
      </c>
      <c r="D15" s="9">
        <v>0.86</v>
      </c>
      <c r="E15" s="18">
        <f>IF(B15=策略字典!$A$1,C15/D15,0)</f>
        <v>27209.302325581397</v>
      </c>
      <c r="F15" s="12">
        <v>10</v>
      </c>
      <c r="G15" s="8">
        <v>500</v>
      </c>
      <c r="H15" s="23">
        <f>IF(E15=0,0,FLOOR((E15-J15)/F15,G15))</f>
        <v>2500</v>
      </c>
      <c r="I15" s="18">
        <f>H15*F15</f>
        <v>25000</v>
      </c>
      <c r="J15" s="12">
        <v>0</v>
      </c>
      <c r="K15" s="18">
        <f>MAX(0,E15-I15-J15)</f>
        <v>2209.3023255813969</v>
      </c>
      <c r="L15" s="23">
        <f>IF(ROW()=7,0,AD14)</f>
        <v>20000</v>
      </c>
      <c r="M15" s="18">
        <f>0</f>
        <v>0</v>
      </c>
      <c r="N15" s="12">
        <v>0.05</v>
      </c>
      <c r="O15" s="21">
        <f>SUMIFS(实际贷款明细!$I$4:$I$435,实际贷款明细!$G$4:$G$435,"&gt;="&amp;A15,实际贷款明细!$G$4:$G$435,"&lt;"&amp;EDATE(A15,1))</f>
        <v>0</v>
      </c>
      <c r="P15" s="21">
        <f>SUMIFS(实际贷款明细!$J$4:$J$435,实际贷款明细!$G$4:$G$435,"&gt;="&amp;A15,实际贷款明细!$G$4:$G$435,"&lt;"&amp;EDATE(A15,1))</f>
        <v>514.83000000000004</v>
      </c>
      <c r="Q15" s="18">
        <f>(O15+P15)/D15</f>
        <v>598.63953488372101</v>
      </c>
      <c r="R15" s="18">
        <f>IF(B15=策略字典!$A$2,MIN(C15,O15)/D15,0)</f>
        <v>0</v>
      </c>
      <c r="S15" s="18">
        <f>IF(ROW()=7,0,AC14)</f>
        <v>19221.418604651175</v>
      </c>
      <c r="T15" s="18">
        <f>S15+L15*N15+K15</f>
        <v>22430.720930232572</v>
      </c>
      <c r="U15" s="18">
        <f>MIN(T15,MAX(0,Q15-R15))</f>
        <v>598.63953488372101</v>
      </c>
      <c r="V15" s="18">
        <f>MAX(0,Q15-R15-U15)</f>
        <v>0</v>
      </c>
      <c r="W15" s="23">
        <f>IF(B15=策略字典!$A$3,MIN(L15+H15,CEILING(V15/(F15*(1-参数设置!$B$23)),G15)),0)</f>
        <v>0</v>
      </c>
      <c r="X15" s="18">
        <f>W15*F15</f>
        <v>0</v>
      </c>
      <c r="Y15" s="18">
        <f>X15*参数设置!$B$23</f>
        <v>0</v>
      </c>
      <c r="Z15" s="18">
        <f>X15-Y15</f>
        <v>0</v>
      </c>
      <c r="AA15" s="18">
        <f>MAX(0,V15-Z15)</f>
        <v>0</v>
      </c>
      <c r="AB15" s="18">
        <f>MAX(0,Z15-V15)</f>
        <v>0</v>
      </c>
      <c r="AC15" s="18">
        <f>T15-U15+AB15</f>
        <v>21832.08139534885</v>
      </c>
      <c r="AD15" s="23">
        <f>MAX(0,L15+H15-W15)</f>
        <v>22500</v>
      </c>
      <c r="AE15" s="18">
        <f>AD15*F15</f>
        <v>225000</v>
      </c>
      <c r="AF15" s="21">
        <f>SUM($C$7:C15)-SUM($O$7:O15)</f>
        <v>210600</v>
      </c>
      <c r="AG15" s="18">
        <f>AF15/D15</f>
        <v>244883.72093023255</v>
      </c>
      <c r="AH15" s="18">
        <f>AE15+AC15</f>
        <v>246832.08139534885</v>
      </c>
      <c r="AI15" s="18">
        <f>AH15-AG15-SUM($AA$7:AA15)</f>
        <v>1948.3604651163041</v>
      </c>
      <c r="AJ15" s="24">
        <f>R15+U15+MIN(Z15,V15)+AA15-Q15</f>
        <v>0</v>
      </c>
    </row>
    <row r="16" spans="1:36" ht="15" customHeight="1">
      <c r="A16" s="15">
        <f>EDATE(DATE(YEAR(参数设置!$B$4),MONTH(参数设置!$B$4),1),ROW()-7)</f>
        <v>46508</v>
      </c>
      <c r="B16" s="26" t="s">
        <v>93</v>
      </c>
      <c r="C16" s="7">
        <v>23400</v>
      </c>
      <c r="D16" s="9">
        <v>0.86</v>
      </c>
      <c r="E16" s="18">
        <f>IF(B16=策略字典!$A$1,C16/D16,0)</f>
        <v>27209.302325581397</v>
      </c>
      <c r="F16" s="12">
        <v>10</v>
      </c>
      <c r="G16" s="8">
        <v>500</v>
      </c>
      <c r="H16" s="23">
        <f>IF(E16=0,0,FLOOR((E16-J16)/F16,G16))</f>
        <v>2500</v>
      </c>
      <c r="I16" s="18">
        <f>H16*F16</f>
        <v>25000</v>
      </c>
      <c r="J16" s="12">
        <v>0</v>
      </c>
      <c r="K16" s="18">
        <f>MAX(0,E16-I16-J16)</f>
        <v>2209.3023255813969</v>
      </c>
      <c r="L16" s="23">
        <f>IF(ROW()=7,0,AD15)</f>
        <v>22500</v>
      </c>
      <c r="M16" s="18">
        <f>0</f>
        <v>0</v>
      </c>
      <c r="N16" s="12">
        <v>0.05</v>
      </c>
      <c r="O16" s="21">
        <f>SUMIFS(实际贷款明细!$I$4:$I$435,实际贷款明细!$G$4:$G$435,"&gt;="&amp;A16,实际贷款明细!$G$4:$G$435,"&lt;"&amp;EDATE(A16,1))</f>
        <v>0</v>
      </c>
      <c r="P16" s="21">
        <f>SUMIFS(实际贷款明细!$J$4:$J$435,实际贷款明细!$G$4:$G$435,"&gt;="&amp;A16,实际贷款明细!$G$4:$G$435,"&lt;"&amp;EDATE(A16,1))</f>
        <v>570.57000000000005</v>
      </c>
      <c r="Q16" s="18">
        <f>(O16+P16)/D16</f>
        <v>663.45348837209315</v>
      </c>
      <c r="R16" s="18">
        <f>IF(B16=策略字典!$A$2,MIN(C16,O16)/D16,0)</f>
        <v>0</v>
      </c>
      <c r="S16" s="18">
        <f>IF(ROW()=7,0,AC15)</f>
        <v>21832.08139534885</v>
      </c>
      <c r="T16" s="18">
        <f>S16+L16*N16+K16</f>
        <v>25166.383720930247</v>
      </c>
      <c r="U16" s="18">
        <f>MIN(T16,MAX(0,Q16-R16))</f>
        <v>663.45348837209315</v>
      </c>
      <c r="V16" s="18">
        <f>MAX(0,Q16-R16-U16)</f>
        <v>0</v>
      </c>
      <c r="W16" s="23">
        <f>IF(B16=策略字典!$A$3,MIN(L16+H16,CEILING(V16/(F16*(1-参数设置!$B$23)),G16)),0)</f>
        <v>0</v>
      </c>
      <c r="X16" s="18">
        <f>W16*F16</f>
        <v>0</v>
      </c>
      <c r="Y16" s="18">
        <f>X16*参数设置!$B$23</f>
        <v>0</v>
      </c>
      <c r="Z16" s="18">
        <f>X16-Y16</f>
        <v>0</v>
      </c>
      <c r="AA16" s="18">
        <f>MAX(0,V16-Z16)</f>
        <v>0</v>
      </c>
      <c r="AB16" s="18">
        <f>MAX(0,Z16-V16)</f>
        <v>0</v>
      </c>
      <c r="AC16" s="18">
        <f>T16-U16+AB16</f>
        <v>24502.930232558156</v>
      </c>
      <c r="AD16" s="23">
        <f>MAX(0,L16+H16-W16)</f>
        <v>25000</v>
      </c>
      <c r="AE16" s="18">
        <f>AD16*F16</f>
        <v>250000</v>
      </c>
      <c r="AF16" s="21">
        <f>SUM($C$7:C16)-SUM($O$7:O16)</f>
        <v>234000</v>
      </c>
      <c r="AG16" s="18">
        <f>AF16/D16</f>
        <v>272093.02325581398</v>
      </c>
      <c r="AH16" s="18">
        <f>AE16+AC16</f>
        <v>274502.93023255817</v>
      </c>
      <c r="AI16" s="18">
        <f>AH16-AG16-SUM($AA$7:AA16)</f>
        <v>2409.9069767441833</v>
      </c>
      <c r="AJ16" s="24">
        <f>R16+U16+MIN(Z16,V16)+AA16-Q16</f>
        <v>0</v>
      </c>
    </row>
    <row r="17" spans="1:36" ht="15" customHeight="1">
      <c r="A17" s="15">
        <f>EDATE(DATE(YEAR(参数设置!$B$4),MONTH(参数设置!$B$4),1),ROW()-7)</f>
        <v>46539</v>
      </c>
      <c r="B17" s="26" t="s">
        <v>93</v>
      </c>
      <c r="C17" s="7">
        <v>23400</v>
      </c>
      <c r="D17" s="9">
        <v>0.86</v>
      </c>
      <c r="E17" s="18">
        <f>IF(B17=策略字典!$A$1,C17/D17,0)</f>
        <v>27209.302325581397</v>
      </c>
      <c r="F17" s="12">
        <v>10</v>
      </c>
      <c r="G17" s="8">
        <v>500</v>
      </c>
      <c r="H17" s="23">
        <f>IF(E17=0,0,FLOOR((E17-J17)/F17,G17))</f>
        <v>2500</v>
      </c>
      <c r="I17" s="18">
        <f>H17*F17</f>
        <v>25000</v>
      </c>
      <c r="J17" s="12">
        <v>0</v>
      </c>
      <c r="K17" s="18">
        <f>MAX(0,E17-I17-J17)</f>
        <v>2209.3023255813969</v>
      </c>
      <c r="L17" s="23">
        <f>IF(ROW()=7,0,AD16)</f>
        <v>25000</v>
      </c>
      <c r="M17" s="18">
        <f>0</f>
        <v>0</v>
      </c>
      <c r="N17" s="12">
        <v>0.05</v>
      </c>
      <c r="O17" s="21">
        <f>SUMIFS(实际贷款明细!$I$4:$I$435,实际贷款明细!$G$4:$G$435,"&gt;="&amp;A17,实际贷款明细!$G$4:$G$435,"&lt;"&amp;EDATE(A17,1))</f>
        <v>0</v>
      </c>
      <c r="P17" s="21">
        <f>SUMIFS(实际贷款明细!$J$4:$J$435,实际贷款明细!$G$4:$G$435,"&gt;="&amp;A17,实际贷款明细!$G$4:$G$435,"&lt;"&amp;EDATE(A17,1))</f>
        <v>652.12</v>
      </c>
      <c r="Q17" s="18">
        <f>(O17+P17)/D17</f>
        <v>758.27906976744191</v>
      </c>
      <c r="R17" s="18">
        <f>IF(B17=策略字典!$A$2,MIN(C17,O17)/D17,0)</f>
        <v>0</v>
      </c>
      <c r="S17" s="18">
        <f>IF(ROW()=7,0,AC16)</f>
        <v>24502.930232558156</v>
      </c>
      <c r="T17" s="18">
        <f>S17+L17*N17+K17</f>
        <v>27962.232558139553</v>
      </c>
      <c r="U17" s="18">
        <f>MIN(T17,MAX(0,Q17-R17))</f>
        <v>758.27906976744191</v>
      </c>
      <c r="V17" s="18">
        <f>MAX(0,Q17-R17-U17)</f>
        <v>0</v>
      </c>
      <c r="W17" s="23">
        <f>IF(B17=策略字典!$A$3,MIN(L17+H17,CEILING(V17/(F17*(1-参数设置!$B$23)),G17)),0)</f>
        <v>0</v>
      </c>
      <c r="X17" s="18">
        <f>W17*F17</f>
        <v>0</v>
      </c>
      <c r="Y17" s="18">
        <f>X17*参数设置!$B$23</f>
        <v>0</v>
      </c>
      <c r="Z17" s="18">
        <f>X17-Y17</f>
        <v>0</v>
      </c>
      <c r="AA17" s="18">
        <f>MAX(0,V17-Z17)</f>
        <v>0</v>
      </c>
      <c r="AB17" s="18">
        <f>MAX(0,Z17-V17)</f>
        <v>0</v>
      </c>
      <c r="AC17" s="18">
        <f>T17-U17+AB17</f>
        <v>27203.95348837211</v>
      </c>
      <c r="AD17" s="23">
        <f>MAX(0,L17+H17-W17)</f>
        <v>27500</v>
      </c>
      <c r="AE17" s="18">
        <f>AD17*F17</f>
        <v>275000</v>
      </c>
      <c r="AF17" s="21">
        <f>SUM($C$7:C17)-SUM($O$7:O17)</f>
        <v>257400</v>
      </c>
      <c r="AG17" s="18">
        <f>AF17/D17</f>
        <v>299302.32558139536</v>
      </c>
      <c r="AH17" s="18">
        <f>AE17+AC17</f>
        <v>302203.95348837209</v>
      </c>
      <c r="AI17" s="18">
        <f>AH17-AG17-SUM($AA$7:AA17)</f>
        <v>2901.6279069767334</v>
      </c>
      <c r="AJ17" s="24">
        <f>R17+U17+MIN(Z17,V17)+AA17-Q17</f>
        <v>0</v>
      </c>
    </row>
    <row r="18" spans="1:36" ht="15" customHeight="1">
      <c r="A18" s="15">
        <f>EDATE(DATE(YEAR(参数设置!$B$4),MONTH(参数设置!$B$4),1),ROW()-7)</f>
        <v>46569</v>
      </c>
      <c r="B18" s="26" t="s">
        <v>93</v>
      </c>
      <c r="C18" s="7">
        <v>23400</v>
      </c>
      <c r="D18" s="9">
        <v>0.86</v>
      </c>
      <c r="E18" s="18">
        <f>IF(B18=策略字典!$A$1,C18/D18,0)</f>
        <v>27209.302325581397</v>
      </c>
      <c r="F18" s="12">
        <v>10</v>
      </c>
      <c r="G18" s="8">
        <v>500</v>
      </c>
      <c r="H18" s="23">
        <f>IF(E18=0,0,FLOOR((E18-J18)/F18,G18))</f>
        <v>2500</v>
      </c>
      <c r="I18" s="18">
        <f>H18*F18</f>
        <v>25000</v>
      </c>
      <c r="J18" s="12">
        <v>0</v>
      </c>
      <c r="K18" s="18">
        <f>MAX(0,E18-I18-J18)</f>
        <v>2209.3023255813969</v>
      </c>
      <c r="L18" s="23">
        <f>IF(ROW()=7,0,AD17)</f>
        <v>27500</v>
      </c>
      <c r="M18" s="18">
        <f>0</f>
        <v>0</v>
      </c>
      <c r="N18" s="12">
        <v>0.05</v>
      </c>
      <c r="O18" s="21">
        <f>SUMIFS(实际贷款明细!$I$4:$I$435,实际贷款明细!$G$4:$G$435,"&gt;="&amp;A18,实际贷款明细!$G$4:$G$435,"&lt;"&amp;EDATE(A18,1))</f>
        <v>0</v>
      </c>
      <c r="P18" s="21">
        <f>SUMIFS(实际贷款明细!$J$4:$J$435,实际贷款明细!$G$4:$G$435,"&gt;="&amp;A18,实际贷款明细!$G$4:$G$435,"&lt;"&amp;EDATE(A18,1))</f>
        <v>699.2700000000001</v>
      </c>
      <c r="Q18" s="18">
        <f>(O18+P18)/D18</f>
        <v>813.10465116279079</v>
      </c>
      <c r="R18" s="18">
        <f>IF(B18=策略字典!$A$2,MIN(C18,O18)/D18,0)</f>
        <v>0</v>
      </c>
      <c r="S18" s="18">
        <f>IF(ROW()=7,0,AC17)</f>
        <v>27203.95348837211</v>
      </c>
      <c r="T18" s="18">
        <f>S18+L18*N18+K18</f>
        <v>30788.255813953507</v>
      </c>
      <c r="U18" s="18">
        <f>MIN(T18,MAX(0,Q18-R18))</f>
        <v>813.10465116279079</v>
      </c>
      <c r="V18" s="18">
        <f>MAX(0,Q18-R18-U18)</f>
        <v>0</v>
      </c>
      <c r="W18" s="23">
        <f>IF(B18=策略字典!$A$3,MIN(L18+H18,CEILING(V18/(F18*(1-参数设置!$B$23)),G18)),0)</f>
        <v>0</v>
      </c>
      <c r="X18" s="18">
        <f>W18*F18</f>
        <v>0</v>
      </c>
      <c r="Y18" s="18">
        <f>X18*参数设置!$B$23</f>
        <v>0</v>
      </c>
      <c r="Z18" s="18">
        <f>X18-Y18</f>
        <v>0</v>
      </c>
      <c r="AA18" s="18">
        <f>MAX(0,V18-Z18)</f>
        <v>0</v>
      </c>
      <c r="AB18" s="18">
        <f>MAX(0,Z18-V18)</f>
        <v>0</v>
      </c>
      <c r="AC18" s="18">
        <f>T18-U18+AB18</f>
        <v>29975.151162790717</v>
      </c>
      <c r="AD18" s="23">
        <f>MAX(0,L18+H18-W18)</f>
        <v>30000</v>
      </c>
      <c r="AE18" s="18">
        <f>AD18*F18</f>
        <v>300000</v>
      </c>
      <c r="AF18" s="21">
        <f>SUM($C$7:C18)-SUM($O$7:O18)</f>
        <v>280800</v>
      </c>
      <c r="AG18" s="18">
        <f>AF18/D18</f>
        <v>326511.62790697673</v>
      </c>
      <c r="AH18" s="18">
        <f>AE18+AC18</f>
        <v>329975.15116279072</v>
      </c>
      <c r="AI18" s="18">
        <f>AH18-AG18-SUM($AA$7:AA18)</f>
        <v>3463.5232558139833</v>
      </c>
      <c r="AJ18" s="24">
        <f>R18+U18+MIN(Z18,V18)+AA18-Q18</f>
        <v>0</v>
      </c>
    </row>
    <row r="19" spans="1:36" ht="15" customHeight="1">
      <c r="A19" s="15">
        <f>EDATE(DATE(YEAR(参数设置!$B$4),MONTH(参数设置!$B$4),1),ROW()-7)</f>
        <v>46600</v>
      </c>
      <c r="B19" s="26" t="s">
        <v>94</v>
      </c>
      <c r="C19" s="7">
        <v>23400</v>
      </c>
      <c r="D19" s="9">
        <v>0.86</v>
      </c>
      <c r="E19" s="18">
        <f>IF(B19=策略字典!$A$1,C19/D19,0)</f>
        <v>0</v>
      </c>
      <c r="F19" s="12">
        <v>10</v>
      </c>
      <c r="G19" s="8">
        <v>500</v>
      </c>
      <c r="H19" s="23">
        <f>IF(E19=0,0,FLOOR((E19-J19)/F19,G19))</f>
        <v>0</v>
      </c>
      <c r="I19" s="18">
        <f>H19*F19</f>
        <v>0</v>
      </c>
      <c r="J19" s="12">
        <v>0</v>
      </c>
      <c r="K19" s="18">
        <f>MAX(0,E19-I19-J19)</f>
        <v>0</v>
      </c>
      <c r="L19" s="23">
        <f>IF(ROW()=7,0,AD18)</f>
        <v>30000</v>
      </c>
      <c r="M19" s="18">
        <f>0</f>
        <v>0</v>
      </c>
      <c r="N19" s="12">
        <v>0.05</v>
      </c>
      <c r="O19" s="21">
        <f>SUMIFS(实际贷款明细!$I$4:$I$435,实际贷款明细!$G$4:$G$435,"&gt;="&amp;A19,实际贷款明细!$G$4:$G$435,"&lt;"&amp;EDATE(A19,1))</f>
        <v>23400</v>
      </c>
      <c r="P19" s="21">
        <f>SUMIFS(实际贷款明细!$J$4:$J$435,实际贷款明细!$G$4:$G$435,"&gt;="&amp;A19,实际贷款明细!$G$4:$G$435,"&lt;"&amp;EDATE(A19,1))</f>
        <v>795.85</v>
      </c>
      <c r="Q19" s="18">
        <f>(O19+P19)/D19</f>
        <v>28134.70930232558</v>
      </c>
      <c r="R19" s="18">
        <f>IF(B19=策略字典!$A$2,MIN(C19,O19)/D19,0)</f>
        <v>27209.302325581397</v>
      </c>
      <c r="S19" s="18">
        <f>IF(ROW()=7,0,AC18)</f>
        <v>29975.151162790717</v>
      </c>
      <c r="T19" s="18">
        <f>S19+L19*N19+K19</f>
        <v>31475.151162790717</v>
      </c>
      <c r="U19" s="18">
        <f>MIN(T19,MAX(0,Q19-R19))</f>
        <v>925.40697674418334</v>
      </c>
      <c r="V19" s="18">
        <f>MAX(0,Q19-R19-U19)</f>
        <v>0</v>
      </c>
      <c r="W19" s="23">
        <f>IF(B19=策略字典!$A$3,MIN(L19+H19,CEILING(V19/(F19*(1-参数设置!$B$23)),G19)),0)</f>
        <v>0</v>
      </c>
      <c r="X19" s="18">
        <f>W19*F19</f>
        <v>0</v>
      </c>
      <c r="Y19" s="18">
        <f>X19*参数设置!$B$23</f>
        <v>0</v>
      </c>
      <c r="Z19" s="18">
        <f>X19-Y19</f>
        <v>0</v>
      </c>
      <c r="AA19" s="18">
        <f>MAX(0,V19-Z19)</f>
        <v>0</v>
      </c>
      <c r="AB19" s="18">
        <f>MAX(0,Z19-V19)</f>
        <v>0</v>
      </c>
      <c r="AC19" s="18">
        <f>T19-U19+AB19</f>
        <v>30549.744186046533</v>
      </c>
      <c r="AD19" s="23">
        <f>MAX(0,L19+H19-W19)</f>
        <v>30000</v>
      </c>
      <c r="AE19" s="18">
        <f>AD19*F19</f>
        <v>300000</v>
      </c>
      <c r="AF19" s="21">
        <f>SUM($C$7:C19)-SUM($O$7:O19)</f>
        <v>280800</v>
      </c>
      <c r="AG19" s="18">
        <f>AF19/D19</f>
        <v>326511.62790697673</v>
      </c>
      <c r="AH19" s="18">
        <f>AE19+AC19</f>
        <v>330549.74418604653</v>
      </c>
      <c r="AI19" s="18">
        <f>AH19-AG19-SUM($AA$7:AA19)</f>
        <v>4038.1162790697999</v>
      </c>
      <c r="AJ19" s="24">
        <f>R19+U19+MIN(Z19,V19)+AA19-Q19</f>
        <v>0</v>
      </c>
    </row>
    <row r="20" spans="1:36" ht="15" customHeight="1">
      <c r="A20" s="15">
        <f>EDATE(DATE(YEAR(参数设置!$B$4),MONTH(参数设置!$B$4),1),ROW()-7)</f>
        <v>46631</v>
      </c>
      <c r="B20" s="26" t="s">
        <v>94</v>
      </c>
      <c r="C20" s="7">
        <v>23400</v>
      </c>
      <c r="D20" s="9">
        <v>0.86</v>
      </c>
      <c r="E20" s="18">
        <f>IF(B20=策略字典!$A$1,C20/D20,0)</f>
        <v>0</v>
      </c>
      <c r="F20" s="12">
        <v>10</v>
      </c>
      <c r="G20" s="8">
        <v>500</v>
      </c>
      <c r="H20" s="23">
        <f>IF(E20=0,0,FLOOR((E20-J20)/F20,G20))</f>
        <v>0</v>
      </c>
      <c r="I20" s="18">
        <f>H20*F20</f>
        <v>0</v>
      </c>
      <c r="J20" s="12">
        <v>0</v>
      </c>
      <c r="K20" s="18">
        <f>MAX(0,E20-I20-J20)</f>
        <v>0</v>
      </c>
      <c r="L20" s="23">
        <f>IF(ROW()=7,0,AD19)</f>
        <v>30000</v>
      </c>
      <c r="M20" s="18">
        <f>0</f>
        <v>0</v>
      </c>
      <c r="N20" s="12">
        <v>0.05</v>
      </c>
      <c r="O20" s="21">
        <f>SUMIFS(实际贷款明细!$I$4:$I$435,实际贷款明细!$G$4:$G$435,"&gt;="&amp;A20,实际贷款明细!$G$4:$G$435,"&lt;"&amp;EDATE(A20,1))</f>
        <v>23400</v>
      </c>
      <c r="P20" s="21">
        <f>SUMIFS(实际贷款明细!$J$4:$J$435,实际贷款明细!$G$4:$G$435,"&gt;="&amp;A20,实际贷款明细!$G$4:$G$435,"&lt;"&amp;EDATE(A20,1))</f>
        <v>798</v>
      </c>
      <c r="Q20" s="18">
        <f>(O20+P20)/D20</f>
        <v>28137.20930232558</v>
      </c>
      <c r="R20" s="18">
        <f>IF(B20=策略字典!$A$2,MIN(C20,O20)/D20,0)</f>
        <v>27209.302325581397</v>
      </c>
      <c r="S20" s="18">
        <f>IF(ROW()=7,0,AC19)</f>
        <v>30549.744186046533</v>
      </c>
      <c r="T20" s="18">
        <f>S20+L20*N20+K20</f>
        <v>32049.744186046533</v>
      </c>
      <c r="U20" s="18">
        <f>MIN(T20,MAX(0,Q20-R20))</f>
        <v>927.90697674418334</v>
      </c>
      <c r="V20" s="18">
        <f>MAX(0,Q20-R20-U20)</f>
        <v>0</v>
      </c>
      <c r="W20" s="23">
        <f>IF(B20=策略字典!$A$3,MIN(L20+H20,CEILING(V20/(F20*(1-参数设置!$B$23)),G20)),0)</f>
        <v>0</v>
      </c>
      <c r="X20" s="18">
        <f>W20*F20</f>
        <v>0</v>
      </c>
      <c r="Y20" s="18">
        <f>X20*参数设置!$B$23</f>
        <v>0</v>
      </c>
      <c r="Z20" s="18">
        <f>X20-Y20</f>
        <v>0</v>
      </c>
      <c r="AA20" s="18">
        <f>MAX(0,V20-Z20)</f>
        <v>0</v>
      </c>
      <c r="AB20" s="18">
        <f>MAX(0,Z20-V20)</f>
        <v>0</v>
      </c>
      <c r="AC20" s="18">
        <f>T20-U20+AB20</f>
        <v>31121.83720930235</v>
      </c>
      <c r="AD20" s="23">
        <f>MAX(0,L20+H20-W20)</f>
        <v>30000</v>
      </c>
      <c r="AE20" s="18">
        <f>AD20*F20</f>
        <v>300000</v>
      </c>
      <c r="AF20" s="21">
        <f>SUM($C$7:C20)-SUM($O$7:O20)</f>
        <v>280800</v>
      </c>
      <c r="AG20" s="18">
        <f>AF20/D20</f>
        <v>326511.62790697673</v>
      </c>
      <c r="AH20" s="18">
        <f>AE20+AC20</f>
        <v>331121.83720930235</v>
      </c>
      <c r="AI20" s="18">
        <f>AH20-AG20-SUM($AA$7:AA20)</f>
        <v>4610.2093023256166</v>
      </c>
      <c r="AJ20" s="24">
        <f>R20+U20+MIN(Z20,V20)+AA20-Q20</f>
        <v>0</v>
      </c>
    </row>
    <row r="21" spans="1:36" ht="15" customHeight="1">
      <c r="A21" s="15">
        <f>EDATE(DATE(YEAR(参数设置!$B$4),MONTH(参数设置!$B$4),1),ROW()-7)</f>
        <v>46661</v>
      </c>
      <c r="B21" s="26" t="s">
        <v>94</v>
      </c>
      <c r="C21" s="7">
        <v>23400</v>
      </c>
      <c r="D21" s="9">
        <v>0.86</v>
      </c>
      <c r="E21" s="18">
        <f>IF(B21=策略字典!$A$1,C21/D21,0)</f>
        <v>0</v>
      </c>
      <c r="F21" s="12">
        <v>10</v>
      </c>
      <c r="G21" s="8">
        <v>500</v>
      </c>
      <c r="H21" s="23">
        <f>IF(E21=0,0,FLOOR((E21-J21)/F21,G21))</f>
        <v>0</v>
      </c>
      <c r="I21" s="18">
        <f>H21*F21</f>
        <v>0</v>
      </c>
      <c r="J21" s="12">
        <v>0</v>
      </c>
      <c r="K21" s="18">
        <f>MAX(0,E21-I21-J21)</f>
        <v>0</v>
      </c>
      <c r="L21" s="23">
        <f>IF(ROW()=7,0,AD20)</f>
        <v>30000</v>
      </c>
      <c r="M21" s="18">
        <f>0</f>
        <v>0</v>
      </c>
      <c r="N21" s="12">
        <v>0.05</v>
      </c>
      <c r="O21" s="21">
        <f>SUMIFS(实际贷款明细!$I$4:$I$435,实际贷款明细!$G$4:$G$435,"&gt;="&amp;A21,实际贷款明细!$G$4:$G$435,"&lt;"&amp;EDATE(A21,1))</f>
        <v>23400</v>
      </c>
      <c r="P21" s="21">
        <f>SUMIFS(实际贷款明细!$J$4:$J$435,实际贷款明细!$G$4:$G$435,"&gt;="&amp;A21,实际贷款明细!$G$4:$G$435,"&lt;"&amp;EDATE(A21,1))</f>
        <v>774.35000000000014</v>
      </c>
      <c r="Q21" s="18">
        <f>(O21+P21)/D21</f>
        <v>28109.70930232558</v>
      </c>
      <c r="R21" s="18">
        <f>IF(B21=策略字典!$A$2,MIN(C21,O21)/D21,0)</f>
        <v>27209.302325581397</v>
      </c>
      <c r="S21" s="18">
        <f>IF(ROW()=7,0,AC20)</f>
        <v>31121.83720930235</v>
      </c>
      <c r="T21" s="18">
        <f>S21+L21*N21+K21</f>
        <v>32621.83720930235</v>
      </c>
      <c r="U21" s="18">
        <f>MIN(T21,MAX(0,Q21-R21))</f>
        <v>900.40697674418334</v>
      </c>
      <c r="V21" s="18">
        <f>MAX(0,Q21-R21-U21)</f>
        <v>0</v>
      </c>
      <c r="W21" s="23">
        <f>IF(B21=策略字典!$A$3,MIN(L21+H21,CEILING(V21/(F21*(1-参数设置!$B$23)),G21)),0)</f>
        <v>0</v>
      </c>
      <c r="X21" s="18">
        <f>W21*F21</f>
        <v>0</v>
      </c>
      <c r="Y21" s="18">
        <f>X21*参数设置!$B$23</f>
        <v>0</v>
      </c>
      <c r="Z21" s="18">
        <f>X21-Y21</f>
        <v>0</v>
      </c>
      <c r="AA21" s="18">
        <f>MAX(0,V21-Z21)</f>
        <v>0</v>
      </c>
      <c r="AB21" s="18">
        <f>MAX(0,Z21-V21)</f>
        <v>0</v>
      </c>
      <c r="AC21" s="18">
        <f>T21-U21+AB21</f>
        <v>31721.430232558167</v>
      </c>
      <c r="AD21" s="23">
        <f>MAX(0,L21+H21-W21)</f>
        <v>30000</v>
      </c>
      <c r="AE21" s="18">
        <f>AD21*F21</f>
        <v>300000</v>
      </c>
      <c r="AF21" s="21">
        <f>SUM($C$7:C21)-SUM($O$7:O21)</f>
        <v>280800</v>
      </c>
      <c r="AG21" s="18">
        <f>AF21/D21</f>
        <v>326511.62790697673</v>
      </c>
      <c r="AH21" s="18">
        <f>AE21+AC21</f>
        <v>331721.43023255817</v>
      </c>
      <c r="AI21" s="18">
        <f>AH21-AG21-SUM($AA$7:AA21)</f>
        <v>5209.8023255814333</v>
      </c>
      <c r="AJ21" s="24">
        <f>R21+U21+MIN(Z21,V21)+AA21-Q21</f>
        <v>0</v>
      </c>
    </row>
    <row r="22" spans="1:36" ht="15" customHeight="1">
      <c r="A22" s="15">
        <f>EDATE(DATE(YEAR(参数设置!$B$4),MONTH(参数设置!$B$4),1),ROW()-7)</f>
        <v>46692</v>
      </c>
      <c r="B22" s="26" t="s">
        <v>94</v>
      </c>
      <c r="C22" s="7">
        <v>23400</v>
      </c>
      <c r="D22" s="9">
        <v>0.86</v>
      </c>
      <c r="E22" s="18">
        <f>IF(B22=策略字典!$A$1,C22/D22,0)</f>
        <v>0</v>
      </c>
      <c r="F22" s="12">
        <v>10</v>
      </c>
      <c r="G22" s="8">
        <v>500</v>
      </c>
      <c r="H22" s="23">
        <f>IF(E22=0,0,FLOOR((E22-J22)/F22,G22))</f>
        <v>0</v>
      </c>
      <c r="I22" s="18">
        <f>H22*F22</f>
        <v>0</v>
      </c>
      <c r="J22" s="12">
        <v>0</v>
      </c>
      <c r="K22" s="18">
        <f>MAX(0,E22-I22-J22)</f>
        <v>0</v>
      </c>
      <c r="L22" s="23">
        <f>IF(ROW()=7,0,AD21)</f>
        <v>30000</v>
      </c>
      <c r="M22" s="18">
        <f>0</f>
        <v>0</v>
      </c>
      <c r="N22" s="12">
        <v>0.05</v>
      </c>
      <c r="O22" s="21">
        <f>SUMIFS(实际贷款明细!$I$4:$I$435,实际贷款明细!$G$4:$G$435,"&gt;="&amp;A22,实际贷款明细!$G$4:$G$435,"&lt;"&amp;EDATE(A22,1))</f>
        <v>23400</v>
      </c>
      <c r="P22" s="21">
        <f>SUMIFS(实际贷款明细!$J$4:$J$435,实际贷款明细!$G$4:$G$435,"&gt;="&amp;A22,实际贷款明细!$G$4:$G$435,"&lt;"&amp;EDATE(A22,1))</f>
        <v>795.85</v>
      </c>
      <c r="Q22" s="18">
        <f>(O22+P22)/D22</f>
        <v>28134.70930232558</v>
      </c>
      <c r="R22" s="18">
        <f>IF(B22=策略字典!$A$2,MIN(C22,O22)/D22,0)</f>
        <v>27209.302325581397</v>
      </c>
      <c r="S22" s="18">
        <f>IF(ROW()=7,0,AC21)</f>
        <v>31721.430232558167</v>
      </c>
      <c r="T22" s="18">
        <f>S22+L22*N22+K22</f>
        <v>33221.430232558167</v>
      </c>
      <c r="U22" s="18">
        <f>MIN(T22,MAX(0,Q22-R22))</f>
        <v>925.40697674418334</v>
      </c>
      <c r="V22" s="18">
        <f>MAX(0,Q22-R22-U22)</f>
        <v>0</v>
      </c>
      <c r="W22" s="23">
        <f>IF(B22=策略字典!$A$3,MIN(L22+H22,CEILING(V22/(F22*(1-参数设置!$B$23)),G22)),0)</f>
        <v>0</v>
      </c>
      <c r="X22" s="18">
        <f>W22*F22</f>
        <v>0</v>
      </c>
      <c r="Y22" s="18">
        <f>X22*参数设置!$B$23</f>
        <v>0</v>
      </c>
      <c r="Z22" s="18">
        <f>X22-Y22</f>
        <v>0</v>
      </c>
      <c r="AA22" s="18">
        <f>MAX(0,V22-Z22)</f>
        <v>0</v>
      </c>
      <c r="AB22" s="18">
        <f>MAX(0,Z22-V22)</f>
        <v>0</v>
      </c>
      <c r="AC22" s="18">
        <f>T22-U22+AB22</f>
        <v>32296.023255813983</v>
      </c>
      <c r="AD22" s="23">
        <f>MAX(0,L22+H22-W22)</f>
        <v>30000</v>
      </c>
      <c r="AE22" s="18">
        <f>AD22*F22</f>
        <v>300000</v>
      </c>
      <c r="AF22" s="21">
        <f>SUM($C$7:C22)-SUM($O$7:O22)</f>
        <v>280800</v>
      </c>
      <c r="AG22" s="18">
        <f>AF22/D22</f>
        <v>326511.62790697673</v>
      </c>
      <c r="AH22" s="18">
        <f>AE22+AC22</f>
        <v>332296.02325581398</v>
      </c>
      <c r="AI22" s="18">
        <f>AH22-AG22-SUM($AA$7:AA22)</f>
        <v>5784.3953488372499</v>
      </c>
      <c r="AJ22" s="24">
        <f>R22+U22+MIN(Z22,V22)+AA22-Q22</f>
        <v>0</v>
      </c>
    </row>
    <row r="23" spans="1:36" ht="15" customHeight="1">
      <c r="A23" s="15">
        <f>EDATE(DATE(YEAR(参数设置!$B$4),MONTH(参数设置!$B$4),1),ROW()-7)</f>
        <v>46722</v>
      </c>
      <c r="B23" s="26" t="s">
        <v>94</v>
      </c>
      <c r="C23" s="7">
        <v>23400</v>
      </c>
      <c r="D23" s="9">
        <v>0.86</v>
      </c>
      <c r="E23" s="18">
        <f>IF(B23=策略字典!$A$1,C23/D23,0)</f>
        <v>0</v>
      </c>
      <c r="F23" s="12">
        <v>10</v>
      </c>
      <c r="G23" s="8">
        <v>500</v>
      </c>
      <c r="H23" s="23">
        <f>IF(E23=0,0,FLOOR((E23-J23)/F23,G23))</f>
        <v>0</v>
      </c>
      <c r="I23" s="18">
        <f>H23*F23</f>
        <v>0</v>
      </c>
      <c r="J23" s="12">
        <v>0</v>
      </c>
      <c r="K23" s="18">
        <f>MAX(0,E23-I23-J23)</f>
        <v>0</v>
      </c>
      <c r="L23" s="23">
        <f>IF(ROW()=7,0,AD22)</f>
        <v>30000</v>
      </c>
      <c r="M23" s="18">
        <f>0</f>
        <v>0</v>
      </c>
      <c r="N23" s="12">
        <v>0.05</v>
      </c>
      <c r="O23" s="21">
        <f>SUMIFS(实际贷款明细!$I$4:$I$435,实际贷款明细!$G$4:$G$435,"&gt;="&amp;A23,实际贷款明细!$G$4:$G$435,"&lt;"&amp;EDATE(A23,1))</f>
        <v>23400</v>
      </c>
      <c r="P23" s="21">
        <f>SUMIFS(实际贷款明细!$J$4:$J$435,实际贷款明细!$G$4:$G$435,"&gt;="&amp;A23,实际贷款明细!$G$4:$G$435,"&lt;"&amp;EDATE(A23,1))</f>
        <v>774.35000000000014</v>
      </c>
      <c r="Q23" s="18">
        <f>(O23+P23)/D23</f>
        <v>28109.70930232558</v>
      </c>
      <c r="R23" s="18">
        <f>IF(B23=策略字典!$A$2,MIN(C23,O23)/D23,0)</f>
        <v>27209.302325581397</v>
      </c>
      <c r="S23" s="18">
        <f>IF(ROW()=7,0,AC22)</f>
        <v>32296.023255813983</v>
      </c>
      <c r="T23" s="18">
        <f>S23+L23*N23+K23</f>
        <v>33796.023255813983</v>
      </c>
      <c r="U23" s="18">
        <f>MIN(T23,MAX(0,Q23-R23))</f>
        <v>900.40697674418334</v>
      </c>
      <c r="V23" s="18">
        <f>MAX(0,Q23-R23-U23)</f>
        <v>0</v>
      </c>
      <c r="W23" s="23">
        <f>IF(B23=策略字典!$A$3,MIN(L23+H23,CEILING(V23/(F23*(1-参数设置!$B$23)),G23)),0)</f>
        <v>0</v>
      </c>
      <c r="X23" s="18">
        <f>W23*F23</f>
        <v>0</v>
      </c>
      <c r="Y23" s="18">
        <f>X23*参数设置!$B$23</f>
        <v>0</v>
      </c>
      <c r="Z23" s="18">
        <f>X23-Y23</f>
        <v>0</v>
      </c>
      <c r="AA23" s="18">
        <f>MAX(0,V23-Z23)</f>
        <v>0</v>
      </c>
      <c r="AB23" s="18">
        <f>MAX(0,Z23-V23)</f>
        <v>0</v>
      </c>
      <c r="AC23" s="18">
        <f>T23-U23+AB23</f>
        <v>32895.6162790698</v>
      </c>
      <c r="AD23" s="23">
        <f>MAX(0,L23+H23-W23)</f>
        <v>30000</v>
      </c>
      <c r="AE23" s="18">
        <f>AD23*F23</f>
        <v>300000</v>
      </c>
      <c r="AF23" s="21">
        <f>SUM($C$7:C23)-SUM($O$7:O23)</f>
        <v>280800</v>
      </c>
      <c r="AG23" s="18">
        <f>AF23/D23</f>
        <v>326511.62790697673</v>
      </c>
      <c r="AH23" s="18">
        <f>AE23+AC23</f>
        <v>332895.6162790698</v>
      </c>
      <c r="AI23" s="18">
        <f>AH23-AG23-SUM($AA$7:AA23)</f>
        <v>6383.9883720930666</v>
      </c>
      <c r="AJ23" s="24">
        <f>R23+U23+MIN(Z23,V23)+AA23-Q23</f>
        <v>0</v>
      </c>
    </row>
    <row r="24" spans="1:36" ht="15" customHeight="1">
      <c r="A24" s="15">
        <f>EDATE(DATE(YEAR(参数设置!$B$4),MONTH(参数设置!$B$4),1),ROW()-7)</f>
        <v>46753</v>
      </c>
      <c r="B24" s="26" t="s">
        <v>94</v>
      </c>
      <c r="C24" s="7">
        <v>23400</v>
      </c>
      <c r="D24" s="9">
        <v>0.86</v>
      </c>
      <c r="E24" s="18">
        <f>IF(B24=策略字典!$A$1,C24/D24,0)</f>
        <v>0</v>
      </c>
      <c r="F24" s="12">
        <v>10</v>
      </c>
      <c r="G24" s="8">
        <v>500</v>
      </c>
      <c r="H24" s="23">
        <f>IF(E24=0,0,FLOOR((E24-J24)/F24,G24))</f>
        <v>0</v>
      </c>
      <c r="I24" s="18">
        <f>H24*F24</f>
        <v>0</v>
      </c>
      <c r="J24" s="12">
        <v>0</v>
      </c>
      <c r="K24" s="18">
        <f>MAX(0,E24-I24-J24)</f>
        <v>0</v>
      </c>
      <c r="L24" s="23">
        <f>IF(ROW()=7,0,AD23)</f>
        <v>30000</v>
      </c>
      <c r="M24" s="18">
        <f>0</f>
        <v>0</v>
      </c>
      <c r="N24" s="12">
        <v>0.05</v>
      </c>
      <c r="O24" s="21">
        <f>SUMIFS(实际贷款明细!$I$4:$I$435,实际贷款明细!$G$4:$G$435,"&gt;="&amp;A24,实际贷款明细!$G$4:$G$435,"&lt;"&amp;EDATE(A24,1))</f>
        <v>23400</v>
      </c>
      <c r="P24" s="21">
        <f>SUMIFS(实际贷款明细!$J$4:$J$435,实际贷款明细!$G$4:$G$435,"&gt;="&amp;A24,实际贷款明细!$G$4:$G$435,"&lt;"&amp;EDATE(A24,1))</f>
        <v>795.85</v>
      </c>
      <c r="Q24" s="18">
        <f>(O24+P24)/D24</f>
        <v>28134.70930232558</v>
      </c>
      <c r="R24" s="18">
        <f>IF(B24=策略字典!$A$2,MIN(C24,O24)/D24,0)</f>
        <v>27209.302325581397</v>
      </c>
      <c r="S24" s="18">
        <f>IF(ROW()=7,0,AC23)</f>
        <v>32895.6162790698</v>
      </c>
      <c r="T24" s="18">
        <f>S24+L24*N24+K24</f>
        <v>34395.6162790698</v>
      </c>
      <c r="U24" s="18">
        <f>MIN(T24,MAX(0,Q24-R24))</f>
        <v>925.40697674418334</v>
      </c>
      <c r="V24" s="18">
        <f>MAX(0,Q24-R24-U24)</f>
        <v>0</v>
      </c>
      <c r="W24" s="23">
        <f>IF(B24=策略字典!$A$3,MIN(L24+H24,CEILING(V24/(F24*(1-参数设置!$B$23)),G24)),0)</f>
        <v>0</v>
      </c>
      <c r="X24" s="18">
        <f>W24*F24</f>
        <v>0</v>
      </c>
      <c r="Y24" s="18">
        <f>X24*参数设置!$B$23</f>
        <v>0</v>
      </c>
      <c r="Z24" s="18">
        <f>X24-Y24</f>
        <v>0</v>
      </c>
      <c r="AA24" s="18">
        <f>MAX(0,V24-Z24)</f>
        <v>0</v>
      </c>
      <c r="AB24" s="18">
        <f>MAX(0,Z24-V24)</f>
        <v>0</v>
      </c>
      <c r="AC24" s="18">
        <f>T24-U24+AB24</f>
        <v>33470.209302325617</v>
      </c>
      <c r="AD24" s="23">
        <f>MAX(0,L24+H24-W24)</f>
        <v>30000</v>
      </c>
      <c r="AE24" s="18">
        <f>AD24*F24</f>
        <v>300000</v>
      </c>
      <c r="AF24" s="21">
        <f>SUM($C$7:C24)-SUM($O$7:O24)</f>
        <v>280800</v>
      </c>
      <c r="AG24" s="18">
        <f>AF24/D24</f>
        <v>326511.62790697673</v>
      </c>
      <c r="AH24" s="18">
        <f>AE24+AC24</f>
        <v>333470.20930232562</v>
      </c>
      <c r="AI24" s="18">
        <f>AH24-AG24-SUM($AA$7:AA24)</f>
        <v>6958.5813953488832</v>
      </c>
      <c r="AJ24" s="24">
        <f>R24+U24+MIN(Z24,V24)+AA24-Q24</f>
        <v>0</v>
      </c>
    </row>
    <row r="25" spans="1:36" ht="15" customHeight="1">
      <c r="A25" s="15">
        <f>EDATE(DATE(YEAR(参数设置!$B$4),MONTH(参数设置!$B$4),1),ROW()-7)</f>
        <v>46784</v>
      </c>
      <c r="B25" s="26" t="s">
        <v>94</v>
      </c>
      <c r="C25" s="7">
        <v>23400</v>
      </c>
      <c r="D25" s="9">
        <v>0.86</v>
      </c>
      <c r="E25" s="18">
        <f>IF(B25=策略字典!$A$1,C25/D25,0)</f>
        <v>0</v>
      </c>
      <c r="F25" s="12">
        <v>10</v>
      </c>
      <c r="G25" s="8">
        <v>500</v>
      </c>
      <c r="H25" s="23">
        <f>IF(E25=0,0,FLOOR((E25-J25)/F25,G25))</f>
        <v>0</v>
      </c>
      <c r="I25" s="18">
        <f>H25*F25</f>
        <v>0</v>
      </c>
      <c r="J25" s="12">
        <v>0</v>
      </c>
      <c r="K25" s="18">
        <f>MAX(0,E25-I25-J25)</f>
        <v>0</v>
      </c>
      <c r="L25" s="23">
        <f>IF(ROW()=7,0,AD24)</f>
        <v>30000</v>
      </c>
      <c r="M25" s="18">
        <f>0</f>
        <v>0</v>
      </c>
      <c r="N25" s="12">
        <v>0.05</v>
      </c>
      <c r="O25" s="21">
        <f>SUMIFS(实际贷款明细!$I$4:$I$435,实际贷款明细!$G$4:$G$435,"&gt;="&amp;A25,实际贷款明细!$G$4:$G$435,"&lt;"&amp;EDATE(A25,1))</f>
        <v>23400</v>
      </c>
      <c r="P25" s="21">
        <f>SUMIFS(实际贷款明细!$J$4:$J$435,实际贷款明细!$G$4:$G$435,"&gt;="&amp;A25,实际贷款明细!$G$4:$G$435,"&lt;"&amp;EDATE(A25,1))</f>
        <v>798</v>
      </c>
      <c r="Q25" s="18">
        <f>(O25+P25)/D25</f>
        <v>28137.20930232558</v>
      </c>
      <c r="R25" s="18">
        <f>IF(B25=策略字典!$A$2,MIN(C25,O25)/D25,0)</f>
        <v>27209.302325581397</v>
      </c>
      <c r="S25" s="18">
        <f>IF(ROW()=7,0,AC24)</f>
        <v>33470.209302325617</v>
      </c>
      <c r="T25" s="18">
        <f>S25+L25*N25+K25</f>
        <v>34970.209302325617</v>
      </c>
      <c r="U25" s="18">
        <f>MIN(T25,MAX(0,Q25-R25))</f>
        <v>927.90697674418334</v>
      </c>
      <c r="V25" s="18">
        <f>MAX(0,Q25-R25-U25)</f>
        <v>0</v>
      </c>
      <c r="W25" s="23">
        <f>IF(B25=策略字典!$A$3,MIN(L25+H25,CEILING(V25/(F25*(1-参数设置!$B$23)),G25)),0)</f>
        <v>0</v>
      </c>
      <c r="X25" s="18">
        <f>W25*F25</f>
        <v>0</v>
      </c>
      <c r="Y25" s="18">
        <f>X25*参数设置!$B$23</f>
        <v>0</v>
      </c>
      <c r="Z25" s="18">
        <f>X25-Y25</f>
        <v>0</v>
      </c>
      <c r="AA25" s="18">
        <f>MAX(0,V25-Z25)</f>
        <v>0</v>
      </c>
      <c r="AB25" s="18">
        <f>MAX(0,Z25-V25)</f>
        <v>0</v>
      </c>
      <c r="AC25" s="18">
        <f>T25-U25+AB25</f>
        <v>34042.302325581433</v>
      </c>
      <c r="AD25" s="23">
        <f>MAX(0,L25+H25-W25)</f>
        <v>30000</v>
      </c>
      <c r="AE25" s="18">
        <f>AD25*F25</f>
        <v>300000</v>
      </c>
      <c r="AF25" s="21">
        <f>SUM($C$7:C25)-SUM($O$7:O25)</f>
        <v>280800</v>
      </c>
      <c r="AG25" s="18">
        <f>AF25/D25</f>
        <v>326511.62790697673</v>
      </c>
      <c r="AH25" s="18">
        <f>AE25+AC25</f>
        <v>334042.30232558143</v>
      </c>
      <c r="AI25" s="18">
        <f>AH25-AG25-SUM($AA$7:AA25)</f>
        <v>7530.6744186046999</v>
      </c>
      <c r="AJ25" s="24">
        <f>R25+U25+MIN(Z25,V25)+AA25-Q25</f>
        <v>0</v>
      </c>
    </row>
    <row r="26" spans="1:36" ht="15" customHeight="1">
      <c r="A26" s="15">
        <f>EDATE(DATE(YEAR(参数设置!$B$4),MONTH(参数设置!$B$4),1),ROW()-7)</f>
        <v>46813</v>
      </c>
      <c r="B26" s="26" t="s">
        <v>94</v>
      </c>
      <c r="C26" s="7">
        <v>23400</v>
      </c>
      <c r="D26" s="9">
        <v>0.86</v>
      </c>
      <c r="E26" s="18">
        <f>IF(B26=策略字典!$A$1,C26/D26,0)</f>
        <v>0</v>
      </c>
      <c r="F26" s="12">
        <v>10</v>
      </c>
      <c r="G26" s="8">
        <v>500</v>
      </c>
      <c r="H26" s="23">
        <f>IF(E26=0,0,FLOOR((E26-J26)/F26,G26))</f>
        <v>0</v>
      </c>
      <c r="I26" s="18">
        <f>H26*F26</f>
        <v>0</v>
      </c>
      <c r="J26" s="12">
        <v>0</v>
      </c>
      <c r="K26" s="18">
        <f>MAX(0,E26-I26-J26)</f>
        <v>0</v>
      </c>
      <c r="L26" s="23">
        <f>IF(ROW()=7,0,AD25)</f>
        <v>30000</v>
      </c>
      <c r="M26" s="18">
        <f>0</f>
        <v>0</v>
      </c>
      <c r="N26" s="12">
        <v>0.05</v>
      </c>
      <c r="O26" s="21">
        <f>SUMIFS(实际贷款明细!$I$4:$I$435,实际贷款明细!$G$4:$G$435,"&gt;="&amp;A26,实际贷款明细!$G$4:$G$435,"&lt;"&amp;EDATE(A26,1))</f>
        <v>23400</v>
      </c>
      <c r="P26" s="21">
        <f>SUMIFS(实际贷款明细!$J$4:$J$435,实际贷款明细!$G$4:$G$435,"&gt;="&amp;A26,实际贷款明细!$G$4:$G$435,"&lt;"&amp;EDATE(A26,1))</f>
        <v>750.81</v>
      </c>
      <c r="Q26" s="18">
        <f>(O26+P26)/D26</f>
        <v>28082.337209302328</v>
      </c>
      <c r="R26" s="18">
        <f>IF(B26=策略字典!$A$2,MIN(C26,O26)/D26,0)</f>
        <v>27209.302325581397</v>
      </c>
      <c r="S26" s="18">
        <f>IF(ROW()=7,0,AC25)</f>
        <v>34042.302325581433</v>
      </c>
      <c r="T26" s="18">
        <f>S26+L26*N26+K26</f>
        <v>35542.302325581433</v>
      </c>
      <c r="U26" s="18">
        <f>MIN(T26,MAX(0,Q26-R26))</f>
        <v>873.03488372093125</v>
      </c>
      <c r="V26" s="18">
        <f>MAX(0,Q26-R26-U26)</f>
        <v>0</v>
      </c>
      <c r="W26" s="23">
        <f>IF(B26=策略字典!$A$3,MIN(L26+H26,CEILING(V26/(F26*(1-参数设置!$B$23)),G26)),0)</f>
        <v>0</v>
      </c>
      <c r="X26" s="18">
        <f>W26*F26</f>
        <v>0</v>
      </c>
      <c r="Y26" s="18">
        <f>X26*参数设置!$B$23</f>
        <v>0</v>
      </c>
      <c r="Z26" s="18">
        <f>X26-Y26</f>
        <v>0</v>
      </c>
      <c r="AA26" s="18">
        <f>MAX(0,V26-Z26)</f>
        <v>0</v>
      </c>
      <c r="AB26" s="18">
        <f>MAX(0,Z26-V26)</f>
        <v>0</v>
      </c>
      <c r="AC26" s="18">
        <f>T26-U26+AB26</f>
        <v>34669.267441860502</v>
      </c>
      <c r="AD26" s="23">
        <f>MAX(0,L26+H26-W26)</f>
        <v>30000</v>
      </c>
      <c r="AE26" s="18">
        <f>AD26*F26</f>
        <v>300000</v>
      </c>
      <c r="AF26" s="21">
        <f>SUM($C$7:C26)-SUM($O$7:O26)</f>
        <v>280800</v>
      </c>
      <c r="AG26" s="18">
        <f>AF26/D26</f>
        <v>326511.62790697673</v>
      </c>
      <c r="AH26" s="18">
        <f>AE26+AC26</f>
        <v>334669.26744186052</v>
      </c>
      <c r="AI26" s="18">
        <f>AH26-AG26-SUM($AA$7:AA26)</f>
        <v>8157.6395348837832</v>
      </c>
      <c r="AJ26" s="24">
        <f>R26+U26+MIN(Z26,V26)+AA26-Q26</f>
        <v>0</v>
      </c>
    </row>
    <row r="27" spans="1:36" ht="15" customHeight="1">
      <c r="A27" s="15">
        <f>EDATE(DATE(YEAR(参数设置!$B$4),MONTH(参数设置!$B$4),1),ROW()-7)</f>
        <v>46844</v>
      </c>
      <c r="B27" s="26" t="s">
        <v>94</v>
      </c>
      <c r="C27" s="7">
        <v>23400</v>
      </c>
      <c r="D27" s="9">
        <v>0.86</v>
      </c>
      <c r="E27" s="18">
        <f>IF(B27=策略字典!$A$1,C27/D27,0)</f>
        <v>0</v>
      </c>
      <c r="F27" s="12">
        <v>10</v>
      </c>
      <c r="G27" s="8">
        <v>500</v>
      </c>
      <c r="H27" s="23">
        <f>IF(E27=0,0,FLOOR((E27-J27)/F27,G27))</f>
        <v>0</v>
      </c>
      <c r="I27" s="18">
        <f>H27*F27</f>
        <v>0</v>
      </c>
      <c r="J27" s="12">
        <v>0</v>
      </c>
      <c r="K27" s="18">
        <f>MAX(0,E27-I27-J27)</f>
        <v>0</v>
      </c>
      <c r="L27" s="23">
        <f>IF(ROW()=7,0,AD26)</f>
        <v>30000</v>
      </c>
      <c r="M27" s="18">
        <f>0</f>
        <v>0</v>
      </c>
      <c r="N27" s="12">
        <v>0.05</v>
      </c>
      <c r="O27" s="21">
        <f>SUMIFS(实际贷款明细!$I$4:$I$435,实际贷款明细!$G$4:$G$435,"&gt;="&amp;A27,实际贷款明细!$G$4:$G$435,"&lt;"&amp;EDATE(A27,1))</f>
        <v>23400</v>
      </c>
      <c r="P27" s="21">
        <f>SUMIFS(实际贷款明细!$J$4:$J$435,实际贷款明细!$G$4:$G$435,"&gt;="&amp;A27,实际贷款明细!$G$4:$G$435,"&lt;"&amp;EDATE(A27,1))</f>
        <v>793.71</v>
      </c>
      <c r="Q27" s="18">
        <f>(O27+P27)/D27</f>
        <v>28132.220930232557</v>
      </c>
      <c r="R27" s="18">
        <f>IF(B27=策略字典!$A$2,MIN(C27,O27)/D27,0)</f>
        <v>27209.302325581397</v>
      </c>
      <c r="S27" s="18">
        <f>IF(ROW()=7,0,AC26)</f>
        <v>34669.267441860502</v>
      </c>
      <c r="T27" s="18">
        <f>S27+L27*N27+K27</f>
        <v>36169.267441860502</v>
      </c>
      <c r="U27" s="18">
        <f>MIN(T27,MAX(0,Q27-R27))</f>
        <v>922.91860465116042</v>
      </c>
      <c r="V27" s="18">
        <f>MAX(0,Q27-R27-U27)</f>
        <v>0</v>
      </c>
      <c r="W27" s="23">
        <f>IF(B27=策略字典!$A$3,MIN(L27+H27,CEILING(V27/(F27*(1-参数设置!$B$23)),G27)),0)</f>
        <v>0</v>
      </c>
      <c r="X27" s="18">
        <f>W27*F27</f>
        <v>0</v>
      </c>
      <c r="Y27" s="18">
        <f>X27*参数设置!$B$23</f>
        <v>0</v>
      </c>
      <c r="Z27" s="18">
        <f>X27-Y27</f>
        <v>0</v>
      </c>
      <c r="AA27" s="18">
        <f>MAX(0,V27-Z27)</f>
        <v>0</v>
      </c>
      <c r="AB27" s="18">
        <f>MAX(0,Z27-V27)</f>
        <v>0</v>
      </c>
      <c r="AC27" s="18">
        <f>T27-U27+AB27</f>
        <v>35246.348837209342</v>
      </c>
      <c r="AD27" s="23">
        <f>MAX(0,L27+H27-W27)</f>
        <v>30000</v>
      </c>
      <c r="AE27" s="18">
        <f>AD27*F27</f>
        <v>300000</v>
      </c>
      <c r="AF27" s="21">
        <f>SUM($C$7:C27)-SUM($O$7:O27)</f>
        <v>280800</v>
      </c>
      <c r="AG27" s="18">
        <f>AF27/D27</f>
        <v>326511.62790697673</v>
      </c>
      <c r="AH27" s="18">
        <f>AE27+AC27</f>
        <v>335246.34883720934</v>
      </c>
      <c r="AI27" s="18">
        <f>AH27-AG27-SUM($AA$7:AA27)</f>
        <v>8734.7209302326082</v>
      </c>
      <c r="AJ27" s="24">
        <f>R27+U27+MIN(Z27,V27)+AA27-Q27</f>
        <v>0</v>
      </c>
    </row>
    <row r="28" spans="1:36" ht="15" customHeight="1">
      <c r="A28" s="15">
        <f>EDATE(DATE(YEAR(参数设置!$B$4),MONTH(参数设置!$B$4),1),ROW()-7)</f>
        <v>46874</v>
      </c>
      <c r="B28" s="26" t="s">
        <v>94</v>
      </c>
      <c r="C28" s="7">
        <v>23400</v>
      </c>
      <c r="D28" s="9">
        <v>0.86</v>
      </c>
      <c r="E28" s="18">
        <f>IF(B28=策略字典!$A$1,C28/D28,0)</f>
        <v>0</v>
      </c>
      <c r="F28" s="12">
        <v>10</v>
      </c>
      <c r="G28" s="8">
        <v>500</v>
      </c>
      <c r="H28" s="23">
        <f>IF(E28=0,0,FLOOR((E28-J28)/F28,G28))</f>
        <v>0</v>
      </c>
      <c r="I28" s="18">
        <f>H28*F28</f>
        <v>0</v>
      </c>
      <c r="J28" s="12">
        <v>0</v>
      </c>
      <c r="K28" s="18">
        <f>MAX(0,E28-I28-J28)</f>
        <v>0</v>
      </c>
      <c r="L28" s="23">
        <f>IF(ROW()=7,0,AD27)</f>
        <v>30000</v>
      </c>
      <c r="M28" s="18">
        <f>0</f>
        <v>0</v>
      </c>
      <c r="N28" s="12">
        <v>0.05</v>
      </c>
      <c r="O28" s="21">
        <f>SUMIFS(实际贷款明细!$I$4:$I$435,实际贷款明细!$G$4:$G$435,"&gt;="&amp;A28,实际贷款明细!$G$4:$G$435,"&lt;"&amp;EDATE(A28,1))</f>
        <v>23400</v>
      </c>
      <c r="P28" s="21">
        <f>SUMIFS(实际贷款明细!$J$4:$J$435,实际贷款明细!$G$4:$G$435,"&gt;="&amp;A28,实际贷款明细!$G$4:$G$435,"&lt;"&amp;EDATE(A28,1))</f>
        <v>774.35000000000014</v>
      </c>
      <c r="Q28" s="18">
        <f>(O28+P28)/D28</f>
        <v>28109.70930232558</v>
      </c>
      <c r="R28" s="18">
        <f>IF(B28=策略字典!$A$2,MIN(C28,O28)/D28,0)</f>
        <v>27209.302325581397</v>
      </c>
      <c r="S28" s="18">
        <f>IF(ROW()=7,0,AC27)</f>
        <v>35246.348837209342</v>
      </c>
      <c r="T28" s="18">
        <f>S28+L28*N28+K28</f>
        <v>36746.348837209342</v>
      </c>
      <c r="U28" s="18">
        <f>MIN(T28,MAX(0,Q28-R28))</f>
        <v>900.40697674418334</v>
      </c>
      <c r="V28" s="18">
        <f>MAX(0,Q28-R28-U28)</f>
        <v>0</v>
      </c>
      <c r="W28" s="23">
        <f>IF(B28=策略字典!$A$3,MIN(L28+H28,CEILING(V28/(F28*(1-参数设置!$B$23)),G28)),0)</f>
        <v>0</v>
      </c>
      <c r="X28" s="18">
        <f>W28*F28</f>
        <v>0</v>
      </c>
      <c r="Y28" s="18">
        <f>X28*参数设置!$B$23</f>
        <v>0</v>
      </c>
      <c r="Z28" s="18">
        <f>X28-Y28</f>
        <v>0</v>
      </c>
      <c r="AA28" s="18">
        <f>MAX(0,V28-Z28)</f>
        <v>0</v>
      </c>
      <c r="AB28" s="18">
        <f>MAX(0,Z28-V28)</f>
        <v>0</v>
      </c>
      <c r="AC28" s="18">
        <f>T28-U28+AB28</f>
        <v>35845.941860465158</v>
      </c>
      <c r="AD28" s="23">
        <f>MAX(0,L28+H28-W28)</f>
        <v>30000</v>
      </c>
      <c r="AE28" s="18">
        <f>AD28*F28</f>
        <v>300000</v>
      </c>
      <c r="AF28" s="21">
        <f>SUM($C$7:C28)-SUM($O$7:O28)</f>
        <v>280800</v>
      </c>
      <c r="AG28" s="18">
        <f>AF28/D28</f>
        <v>326511.62790697673</v>
      </c>
      <c r="AH28" s="18">
        <f>AE28+AC28</f>
        <v>335845.94186046516</v>
      </c>
      <c r="AI28" s="18">
        <f>AH28-AG28-SUM($AA$7:AA28)</f>
        <v>9334.3139534884249</v>
      </c>
      <c r="AJ28" s="24">
        <f>R28+U28+MIN(Z28,V28)+AA28-Q28</f>
        <v>0</v>
      </c>
    </row>
    <row r="29" spans="1:36" ht="15" customHeight="1">
      <c r="A29" s="15">
        <f>EDATE(DATE(YEAR(参数设置!$B$4),MONTH(参数设置!$B$4),1),ROW()-7)</f>
        <v>46905</v>
      </c>
      <c r="B29" s="26" t="s">
        <v>94</v>
      </c>
      <c r="C29" s="7">
        <v>23400</v>
      </c>
      <c r="D29" s="9">
        <v>0.86</v>
      </c>
      <c r="E29" s="18">
        <f>IF(B29=策略字典!$A$1,C29/D29,0)</f>
        <v>0</v>
      </c>
      <c r="F29" s="12">
        <v>10</v>
      </c>
      <c r="G29" s="8">
        <v>500</v>
      </c>
      <c r="H29" s="23">
        <f>IF(E29=0,0,FLOOR((E29-J29)/F29,G29))</f>
        <v>0</v>
      </c>
      <c r="I29" s="18">
        <f>H29*F29</f>
        <v>0</v>
      </c>
      <c r="J29" s="12">
        <v>0</v>
      </c>
      <c r="K29" s="18">
        <f>MAX(0,E29-I29-J29)</f>
        <v>0</v>
      </c>
      <c r="L29" s="23">
        <f>IF(ROW()=7,0,AD28)</f>
        <v>30000</v>
      </c>
      <c r="M29" s="18">
        <f>0</f>
        <v>0</v>
      </c>
      <c r="N29" s="12">
        <v>0.05</v>
      </c>
      <c r="O29" s="21">
        <f>SUMIFS(实际贷款明细!$I$4:$I$435,实际贷款明细!$G$4:$G$435,"&gt;="&amp;A29,实际贷款明细!$G$4:$G$435,"&lt;"&amp;EDATE(A29,1))</f>
        <v>23400</v>
      </c>
      <c r="P29" s="21">
        <f>SUMIFS(实际贷款明细!$J$4:$J$435,实际贷款明细!$G$4:$G$435,"&gt;="&amp;A29,实际贷款明细!$G$4:$G$435,"&lt;"&amp;EDATE(A29,1))</f>
        <v>795.85</v>
      </c>
      <c r="Q29" s="18">
        <f>(O29+P29)/D29</f>
        <v>28134.70930232558</v>
      </c>
      <c r="R29" s="18">
        <f>IF(B29=策略字典!$A$2,MIN(C29,O29)/D29,0)</f>
        <v>27209.302325581397</v>
      </c>
      <c r="S29" s="18">
        <f>IF(ROW()=7,0,AC28)</f>
        <v>35845.941860465158</v>
      </c>
      <c r="T29" s="18">
        <f>S29+L29*N29+K29</f>
        <v>37345.941860465158</v>
      </c>
      <c r="U29" s="18">
        <f>MIN(T29,MAX(0,Q29-R29))</f>
        <v>925.40697674418334</v>
      </c>
      <c r="V29" s="18">
        <f>MAX(0,Q29-R29-U29)</f>
        <v>0</v>
      </c>
      <c r="W29" s="23">
        <f>IF(B29=策略字典!$A$3,MIN(L29+H29,CEILING(V29/(F29*(1-参数设置!$B$23)),G29)),0)</f>
        <v>0</v>
      </c>
      <c r="X29" s="18">
        <f>W29*F29</f>
        <v>0</v>
      </c>
      <c r="Y29" s="18">
        <f>X29*参数设置!$B$23</f>
        <v>0</v>
      </c>
      <c r="Z29" s="18">
        <f>X29-Y29</f>
        <v>0</v>
      </c>
      <c r="AA29" s="18">
        <f>MAX(0,V29-Z29)</f>
        <v>0</v>
      </c>
      <c r="AB29" s="18">
        <f>MAX(0,Z29-V29)</f>
        <v>0</v>
      </c>
      <c r="AC29" s="18">
        <f>T29-U29+AB29</f>
        <v>36420.534883720975</v>
      </c>
      <c r="AD29" s="23">
        <f>MAX(0,L29+H29-W29)</f>
        <v>30000</v>
      </c>
      <c r="AE29" s="18">
        <f>AD29*F29</f>
        <v>300000</v>
      </c>
      <c r="AF29" s="21">
        <f>SUM($C$7:C29)-SUM($O$7:O29)</f>
        <v>280800</v>
      </c>
      <c r="AG29" s="18">
        <f>AF29/D29</f>
        <v>326511.62790697673</v>
      </c>
      <c r="AH29" s="18">
        <f>AE29+AC29</f>
        <v>336420.53488372097</v>
      </c>
      <c r="AI29" s="18">
        <f>AH29-AG29-SUM($AA$7:AA29)</f>
        <v>9908.9069767442415</v>
      </c>
      <c r="AJ29" s="24">
        <f>R29+U29+MIN(Z29,V29)+AA29-Q29</f>
        <v>0</v>
      </c>
    </row>
    <row r="30" spans="1:36" ht="15" customHeight="1">
      <c r="A30" s="15">
        <f>EDATE(DATE(YEAR(参数设置!$B$4),MONTH(参数设置!$B$4),1),ROW()-7)</f>
        <v>46935</v>
      </c>
      <c r="B30" s="26" t="s">
        <v>94</v>
      </c>
      <c r="C30" s="7">
        <v>23400</v>
      </c>
      <c r="D30" s="9">
        <v>0.86</v>
      </c>
      <c r="E30" s="18">
        <f>IF(B30=策略字典!$A$1,C30/D30,0)</f>
        <v>0</v>
      </c>
      <c r="F30" s="12">
        <v>10</v>
      </c>
      <c r="G30" s="8">
        <v>500</v>
      </c>
      <c r="H30" s="23">
        <f>IF(E30=0,0,FLOOR((E30-J30)/F30,G30))</f>
        <v>0</v>
      </c>
      <c r="I30" s="18">
        <f>H30*F30</f>
        <v>0</v>
      </c>
      <c r="J30" s="12">
        <v>0</v>
      </c>
      <c r="K30" s="18">
        <f>MAX(0,E30-I30-J30)</f>
        <v>0</v>
      </c>
      <c r="L30" s="23">
        <f>IF(ROW()=7,0,AD29)</f>
        <v>30000</v>
      </c>
      <c r="M30" s="18">
        <f>0</f>
        <v>0</v>
      </c>
      <c r="N30" s="12">
        <v>0.05</v>
      </c>
      <c r="O30" s="21">
        <f>SUMIFS(实际贷款明细!$I$4:$I$435,实际贷款明细!$G$4:$G$435,"&gt;="&amp;A30,实际贷款明细!$G$4:$G$435,"&lt;"&amp;EDATE(A30,1))</f>
        <v>23400</v>
      </c>
      <c r="P30" s="21">
        <f>SUMIFS(实际贷款明细!$J$4:$J$435,实际贷款明细!$G$4:$G$435,"&gt;="&amp;A30,实际贷款明细!$G$4:$G$435,"&lt;"&amp;EDATE(A30,1))</f>
        <v>774.35000000000014</v>
      </c>
      <c r="Q30" s="18">
        <f>(O30+P30)/D30</f>
        <v>28109.70930232558</v>
      </c>
      <c r="R30" s="18">
        <f>IF(B30=策略字典!$A$2,MIN(C30,O30)/D30,0)</f>
        <v>27209.302325581397</v>
      </c>
      <c r="S30" s="18">
        <f>IF(ROW()=7,0,AC29)</f>
        <v>36420.534883720975</v>
      </c>
      <c r="T30" s="18">
        <f>S30+L30*N30+K30</f>
        <v>37920.534883720975</v>
      </c>
      <c r="U30" s="18">
        <f>MIN(T30,MAX(0,Q30-R30))</f>
        <v>900.40697674418334</v>
      </c>
      <c r="V30" s="18">
        <f>MAX(0,Q30-R30-U30)</f>
        <v>0</v>
      </c>
      <c r="W30" s="23">
        <f>IF(B30=策略字典!$A$3,MIN(L30+H30,CEILING(V30/(F30*(1-参数设置!$B$23)),G30)),0)</f>
        <v>0</v>
      </c>
      <c r="X30" s="18">
        <f>W30*F30</f>
        <v>0</v>
      </c>
      <c r="Y30" s="18">
        <f>X30*参数设置!$B$23</f>
        <v>0</v>
      </c>
      <c r="Z30" s="18">
        <f>X30-Y30</f>
        <v>0</v>
      </c>
      <c r="AA30" s="18">
        <f>MAX(0,V30-Z30)</f>
        <v>0</v>
      </c>
      <c r="AB30" s="18">
        <f>MAX(0,Z30-V30)</f>
        <v>0</v>
      </c>
      <c r="AC30" s="18">
        <f>T30-U30+AB30</f>
        <v>37020.127906976792</v>
      </c>
      <c r="AD30" s="23">
        <f>MAX(0,L30+H30-W30)</f>
        <v>30000</v>
      </c>
      <c r="AE30" s="18">
        <f>AD30*F30</f>
        <v>300000</v>
      </c>
      <c r="AF30" s="21">
        <f>SUM($C$7:C30)-SUM($O$7:O30)</f>
        <v>280800</v>
      </c>
      <c r="AG30" s="18">
        <f>AF30/D30</f>
        <v>326511.62790697673</v>
      </c>
      <c r="AH30" s="18">
        <f>AE30+AC30</f>
        <v>337020.12790697679</v>
      </c>
      <c r="AI30" s="18">
        <f>AH30-AG30-SUM($AA$7:AA30)</f>
        <v>10508.500000000058</v>
      </c>
      <c r="AJ30" s="24">
        <f>R30+U30+MIN(Z30,V30)+AA30-Q30</f>
        <v>0</v>
      </c>
    </row>
    <row r="31" spans="1:36" ht="15" customHeight="1">
      <c r="A31" s="15">
        <f>EDATE(DATE(YEAR(参数设置!$B$4),MONTH(参数设置!$B$4),1),ROW()-7)</f>
        <v>46966</v>
      </c>
      <c r="B31" s="26" t="s">
        <v>95</v>
      </c>
      <c r="C31" s="7">
        <v>0</v>
      </c>
      <c r="D31" s="9">
        <v>0.86</v>
      </c>
      <c r="E31" s="18">
        <f>IF(B31=策略字典!$A$1,C31/D31,0)</f>
        <v>0</v>
      </c>
      <c r="F31" s="12">
        <v>10</v>
      </c>
      <c r="G31" s="8">
        <v>500</v>
      </c>
      <c r="H31" s="23">
        <f>IF(E31=0,0,FLOOR((E31-J31)/F31,G31))</f>
        <v>0</v>
      </c>
      <c r="I31" s="18">
        <f>H31*F31</f>
        <v>0</v>
      </c>
      <c r="J31" s="12">
        <v>0</v>
      </c>
      <c r="K31" s="18">
        <f>MAX(0,E31-I31-J31)</f>
        <v>0</v>
      </c>
      <c r="L31" s="23">
        <f>IF(ROW()=7,0,AD30)</f>
        <v>30000</v>
      </c>
      <c r="M31" s="18">
        <f>0</f>
        <v>0</v>
      </c>
      <c r="N31" s="12">
        <v>0.05</v>
      </c>
      <c r="O31" s="21">
        <f>SUMIFS(实际贷款明细!$I$4:$I$435,实际贷款明细!$G$4:$G$435,"&gt;="&amp;A31,实际贷款明细!$G$4:$G$435,"&lt;"&amp;EDATE(A31,1))</f>
        <v>23400</v>
      </c>
      <c r="P31" s="21">
        <f>SUMIFS(实际贷款明细!$J$4:$J$435,实际贷款明细!$G$4:$G$435,"&gt;="&amp;A31,实际贷款明细!$G$4:$G$435,"&lt;"&amp;EDATE(A31,1))</f>
        <v>795.85</v>
      </c>
      <c r="Q31" s="18">
        <f>(O31+P31)/D31</f>
        <v>28134.70930232558</v>
      </c>
      <c r="R31" s="18">
        <f>IF(B31=策略字典!$A$2,MIN(C31,O31)/D31,0)</f>
        <v>0</v>
      </c>
      <c r="S31" s="18">
        <f>IF(ROW()=7,0,AC30)</f>
        <v>37020.127906976792</v>
      </c>
      <c r="T31" s="18">
        <f>S31+L31*N31+K31</f>
        <v>38520.127906976792</v>
      </c>
      <c r="U31" s="18">
        <f>MIN(T31,MAX(0,Q31-R31))</f>
        <v>28134.70930232558</v>
      </c>
      <c r="V31" s="18">
        <f>MAX(0,Q31-R31-U31)</f>
        <v>0</v>
      </c>
      <c r="W31" s="23">
        <f>IF(B31=策略字典!$A$3,MIN(L31+H31,CEILING(V31/(F31*(1-参数设置!$B$23)),G31)),0)</f>
        <v>0</v>
      </c>
      <c r="X31" s="18">
        <f>W31*F31</f>
        <v>0</v>
      </c>
      <c r="Y31" s="18">
        <f>X31*参数设置!$B$23</f>
        <v>0</v>
      </c>
      <c r="Z31" s="18">
        <f>X31-Y31</f>
        <v>0</v>
      </c>
      <c r="AA31" s="18">
        <f>MAX(0,V31-Z31)</f>
        <v>0</v>
      </c>
      <c r="AB31" s="18">
        <f>MAX(0,Z31-V31)</f>
        <v>0</v>
      </c>
      <c r="AC31" s="18">
        <f>T31-U31+AB31</f>
        <v>10385.418604651211</v>
      </c>
      <c r="AD31" s="23">
        <f>MAX(0,L31+H31-W31)</f>
        <v>30000</v>
      </c>
      <c r="AE31" s="18">
        <f>AD31*F31</f>
        <v>300000</v>
      </c>
      <c r="AF31" s="21">
        <f>SUM($C$7:C31)-SUM($O$7:O31)</f>
        <v>257400</v>
      </c>
      <c r="AG31" s="18">
        <f>AF31/D31</f>
        <v>299302.32558139536</v>
      </c>
      <c r="AH31" s="18">
        <f>AE31+AC31</f>
        <v>310385.41860465123</v>
      </c>
      <c r="AI31" s="18">
        <f>AH31-AG31-SUM($AA$7:AA31)</f>
        <v>11083.093023255875</v>
      </c>
      <c r="AJ31" s="24">
        <f>R31+U31+MIN(Z31,V31)+AA31-Q31</f>
        <v>0</v>
      </c>
    </row>
    <row r="32" spans="1:36" ht="15" customHeight="1">
      <c r="A32" s="15">
        <f>EDATE(DATE(YEAR(参数设置!$B$4),MONTH(参数设置!$B$4),1),ROW()-7)</f>
        <v>46997</v>
      </c>
      <c r="B32" s="26" t="s">
        <v>95</v>
      </c>
      <c r="C32" s="7">
        <v>0</v>
      </c>
      <c r="D32" s="9">
        <v>0.86</v>
      </c>
      <c r="E32" s="18">
        <f>IF(B32=策略字典!$A$1,C32/D32,0)</f>
        <v>0</v>
      </c>
      <c r="F32" s="12">
        <v>10</v>
      </c>
      <c r="G32" s="8">
        <v>500</v>
      </c>
      <c r="H32" s="23">
        <f>IF(E32=0,0,FLOOR((E32-J32)/F32,G32))</f>
        <v>0</v>
      </c>
      <c r="I32" s="18">
        <f>H32*F32</f>
        <v>0</v>
      </c>
      <c r="J32" s="12">
        <v>0</v>
      </c>
      <c r="K32" s="18">
        <f>MAX(0,E32-I32-J32)</f>
        <v>0</v>
      </c>
      <c r="L32" s="23">
        <f>IF(ROW()=7,0,AD31)</f>
        <v>30000</v>
      </c>
      <c r="M32" s="18">
        <f>0</f>
        <v>0</v>
      </c>
      <c r="N32" s="12">
        <v>0.05</v>
      </c>
      <c r="O32" s="21">
        <f>SUMIFS(实际贷款明细!$I$4:$I$435,实际贷款明细!$G$4:$G$435,"&gt;="&amp;A32,实际贷款明细!$G$4:$G$435,"&lt;"&amp;EDATE(A32,1))</f>
        <v>23400</v>
      </c>
      <c r="P32" s="21">
        <f>SUMIFS(实际贷款明细!$J$4:$J$435,实际贷款明细!$G$4:$G$435,"&gt;="&amp;A32,实际贷款明细!$G$4:$G$435,"&lt;"&amp;EDATE(A32,1))</f>
        <v>798</v>
      </c>
      <c r="Q32" s="18">
        <f>(O32+P32)/D32</f>
        <v>28137.20930232558</v>
      </c>
      <c r="R32" s="18">
        <f>IF(B32=策略字典!$A$2,MIN(C32,O32)/D32,0)</f>
        <v>0</v>
      </c>
      <c r="S32" s="18">
        <f>IF(ROW()=7,0,AC31)</f>
        <v>10385.418604651211</v>
      </c>
      <c r="T32" s="18">
        <f>S32+L32*N32+K32</f>
        <v>11885.418604651211</v>
      </c>
      <c r="U32" s="18">
        <f>MIN(T32,MAX(0,Q32-R32))</f>
        <v>11885.418604651211</v>
      </c>
      <c r="V32" s="18">
        <f>MAX(0,Q32-R32-U32)</f>
        <v>16251.790697674369</v>
      </c>
      <c r="W32" s="23">
        <f>IF(B32=策略字典!$A$3,MIN(L32+H32,CEILING(V32/(F32*(1-参数设置!$B$23)),G32)),0)</f>
        <v>2000</v>
      </c>
      <c r="X32" s="18">
        <f>W32*F32</f>
        <v>20000</v>
      </c>
      <c r="Y32" s="18">
        <f>X32*参数设置!$B$23</f>
        <v>0</v>
      </c>
      <c r="Z32" s="18">
        <f>X32-Y32</f>
        <v>20000</v>
      </c>
      <c r="AA32" s="18">
        <f>MAX(0,V32-Z32)</f>
        <v>0</v>
      </c>
      <c r="AB32" s="18">
        <f>MAX(0,Z32-V32)</f>
        <v>3748.2093023256311</v>
      </c>
      <c r="AC32" s="18">
        <f>T32-U32+AB32</f>
        <v>3748.2093023256311</v>
      </c>
      <c r="AD32" s="23">
        <f>MAX(0,L32+H32-W32)</f>
        <v>28000</v>
      </c>
      <c r="AE32" s="18">
        <f>AD32*F32</f>
        <v>280000</v>
      </c>
      <c r="AF32" s="21">
        <f>SUM($C$7:C32)-SUM($O$7:O32)</f>
        <v>234000</v>
      </c>
      <c r="AG32" s="18">
        <f>AF32/D32</f>
        <v>272093.02325581398</v>
      </c>
      <c r="AH32" s="18">
        <f>AE32+AC32</f>
        <v>283748.20930232562</v>
      </c>
      <c r="AI32" s="18">
        <f>AH32-AG32-SUM($AA$7:AA32)</f>
        <v>11655.186046511633</v>
      </c>
      <c r="AJ32" s="24">
        <f>R32+U32+MIN(Z32,V32)+AA32-Q32</f>
        <v>0</v>
      </c>
    </row>
    <row r="33" spans="1:36" ht="15" customHeight="1">
      <c r="A33" s="15">
        <f>EDATE(DATE(YEAR(参数设置!$B$4),MONTH(参数设置!$B$4),1),ROW()-7)</f>
        <v>47027</v>
      </c>
      <c r="B33" s="26" t="s">
        <v>95</v>
      </c>
      <c r="C33" s="7">
        <v>0</v>
      </c>
      <c r="D33" s="9">
        <v>0.86</v>
      </c>
      <c r="E33" s="18">
        <f>IF(B33=策略字典!$A$1,C33/D33,0)</f>
        <v>0</v>
      </c>
      <c r="F33" s="12">
        <v>10</v>
      </c>
      <c r="G33" s="8">
        <v>500</v>
      </c>
      <c r="H33" s="23">
        <f>IF(E33=0,0,FLOOR((E33-J33)/F33,G33))</f>
        <v>0</v>
      </c>
      <c r="I33" s="18">
        <f>H33*F33</f>
        <v>0</v>
      </c>
      <c r="J33" s="12">
        <v>0</v>
      </c>
      <c r="K33" s="18">
        <f>MAX(0,E33-I33-J33)</f>
        <v>0</v>
      </c>
      <c r="L33" s="23">
        <f>IF(ROW()=7,0,AD32)</f>
        <v>28000</v>
      </c>
      <c r="M33" s="18">
        <f>0</f>
        <v>0</v>
      </c>
      <c r="N33" s="12">
        <v>0.05</v>
      </c>
      <c r="O33" s="21">
        <f>SUMIFS(实际贷款明细!$I$4:$I$435,实际贷款明细!$G$4:$G$435,"&gt;="&amp;A33,实际贷款明细!$G$4:$G$435,"&lt;"&amp;EDATE(A33,1))</f>
        <v>23400</v>
      </c>
      <c r="P33" s="21">
        <f>SUMIFS(实际贷款明细!$J$4:$J$435,实际贷款明细!$G$4:$G$435,"&gt;="&amp;A33,实际贷款明细!$G$4:$G$435,"&lt;"&amp;EDATE(A33,1))</f>
        <v>654.23000000000013</v>
      </c>
      <c r="Q33" s="18">
        <f>(O33+P33)/D33</f>
        <v>27970.034883720931</v>
      </c>
      <c r="R33" s="18">
        <f>IF(B33=策略字典!$A$2,MIN(C33,O33)/D33,0)</f>
        <v>0</v>
      </c>
      <c r="S33" s="18">
        <f>IF(ROW()=7,0,AC32)</f>
        <v>3748.2093023256311</v>
      </c>
      <c r="T33" s="18">
        <f>S33+L33*N33+K33</f>
        <v>5148.2093023256311</v>
      </c>
      <c r="U33" s="18">
        <f>MIN(T33,MAX(0,Q33-R33))</f>
        <v>5148.2093023256311</v>
      </c>
      <c r="V33" s="18">
        <f>MAX(0,Q33-R33-U33)</f>
        <v>22821.8255813953</v>
      </c>
      <c r="W33" s="23">
        <f>IF(B33=策略字典!$A$3,MIN(L33+H33,CEILING(V33/(F33*(1-参数设置!$B$23)),G33)),0)</f>
        <v>2500</v>
      </c>
      <c r="X33" s="18">
        <f>W33*F33</f>
        <v>25000</v>
      </c>
      <c r="Y33" s="18">
        <f>X33*参数设置!$B$23</f>
        <v>0</v>
      </c>
      <c r="Z33" s="18">
        <f>X33-Y33</f>
        <v>25000</v>
      </c>
      <c r="AA33" s="18">
        <f>MAX(0,V33-Z33)</f>
        <v>0</v>
      </c>
      <c r="AB33" s="18">
        <f>MAX(0,Z33-V33)</f>
        <v>2178.1744186046999</v>
      </c>
      <c r="AC33" s="18">
        <f>T33-U33+AB33</f>
        <v>2178.1744186046999</v>
      </c>
      <c r="AD33" s="23">
        <f>MAX(0,L33+H33-W33)</f>
        <v>25500</v>
      </c>
      <c r="AE33" s="18">
        <f>AD33*F33</f>
        <v>255000</v>
      </c>
      <c r="AF33" s="21">
        <f>SUM($C$7:C33)-SUM($O$7:O33)</f>
        <v>210600</v>
      </c>
      <c r="AG33" s="18">
        <f>AF33/D33</f>
        <v>244883.72093023255</v>
      </c>
      <c r="AH33" s="18">
        <f>AE33+AC33</f>
        <v>257178.1744186047</v>
      </c>
      <c r="AI33" s="18">
        <f>AH33-AG33-SUM($AA$7:AA33)</f>
        <v>12294.45348837215</v>
      </c>
      <c r="AJ33" s="24">
        <f>R33+U33+MIN(Z33,V33)+AA33-Q33</f>
        <v>0</v>
      </c>
    </row>
    <row r="34" spans="1:36" ht="15" customHeight="1">
      <c r="A34" s="15">
        <f>EDATE(DATE(YEAR(参数设置!$B$4),MONTH(参数设置!$B$4),1),ROW()-7)</f>
        <v>47058</v>
      </c>
      <c r="B34" s="26" t="s">
        <v>95</v>
      </c>
      <c r="C34" s="7">
        <v>0</v>
      </c>
      <c r="D34" s="9">
        <v>0.86</v>
      </c>
      <c r="E34" s="18">
        <f>IF(B34=策略字典!$A$1,C34/D34,0)</f>
        <v>0</v>
      </c>
      <c r="F34" s="12">
        <v>10</v>
      </c>
      <c r="G34" s="8">
        <v>500</v>
      </c>
      <c r="H34" s="23">
        <f>IF(E34=0,0,FLOOR((E34-J34)/F34,G34))</f>
        <v>0</v>
      </c>
      <c r="I34" s="18">
        <f>H34*F34</f>
        <v>0</v>
      </c>
      <c r="J34" s="12">
        <v>0</v>
      </c>
      <c r="K34" s="18">
        <f>MAX(0,E34-I34-J34)</f>
        <v>0</v>
      </c>
      <c r="L34" s="23">
        <f>IF(ROW()=7,0,AD33)</f>
        <v>25500</v>
      </c>
      <c r="M34" s="18">
        <f>0</f>
        <v>0</v>
      </c>
      <c r="N34" s="12">
        <v>0.05</v>
      </c>
      <c r="O34" s="21">
        <f>SUMIFS(实际贷款明细!$I$4:$I$435,实际贷款明细!$G$4:$G$435,"&gt;="&amp;A34,实际贷款明细!$G$4:$G$435,"&lt;"&amp;EDATE(A34,1))</f>
        <v>23400</v>
      </c>
      <c r="P34" s="21">
        <f>SUMIFS(实际贷款明细!$J$4:$J$435,实际贷款明细!$G$4:$G$435,"&gt;="&amp;A34,实际贷款明细!$G$4:$G$435,"&lt;"&amp;EDATE(A34,1))</f>
        <v>609.23</v>
      </c>
      <c r="Q34" s="18">
        <f>(O34+P34)/D34</f>
        <v>27917.70930232558</v>
      </c>
      <c r="R34" s="18">
        <f>IF(B34=策略字典!$A$2,MIN(C34,O34)/D34,0)</f>
        <v>0</v>
      </c>
      <c r="S34" s="18">
        <f>IF(ROW()=7,0,AC33)</f>
        <v>2178.1744186046999</v>
      </c>
      <c r="T34" s="18">
        <f>S34+L34*N34+K34</f>
        <v>3453.1744186046999</v>
      </c>
      <c r="U34" s="18">
        <f>MIN(T34,MAX(0,Q34-R34))</f>
        <v>3453.1744186046999</v>
      </c>
      <c r="V34" s="18">
        <f>MAX(0,Q34-R34-U34)</f>
        <v>24464.53488372088</v>
      </c>
      <c r="W34" s="23">
        <f>IF(B34=策略字典!$A$3,MIN(L34+H34,CEILING(V34/(F34*(1-参数设置!$B$23)),G34)),0)</f>
        <v>2500</v>
      </c>
      <c r="X34" s="18">
        <f>W34*F34</f>
        <v>25000</v>
      </c>
      <c r="Y34" s="18">
        <f>X34*参数设置!$B$23</f>
        <v>0</v>
      </c>
      <c r="Z34" s="18">
        <f>X34-Y34</f>
        <v>25000</v>
      </c>
      <c r="AA34" s="18">
        <f>MAX(0,V34-Z34)</f>
        <v>0</v>
      </c>
      <c r="AB34" s="18">
        <f>MAX(0,Z34-V34)</f>
        <v>535.46511627911968</v>
      </c>
      <c r="AC34" s="18">
        <f>T34-U34+AB34</f>
        <v>535.46511627911968</v>
      </c>
      <c r="AD34" s="23">
        <f>MAX(0,L34+H34-W34)</f>
        <v>23000</v>
      </c>
      <c r="AE34" s="18">
        <f>AD34*F34</f>
        <v>230000</v>
      </c>
      <c r="AF34" s="21">
        <f>SUM($C$7:C34)-SUM($O$7:O34)</f>
        <v>187200</v>
      </c>
      <c r="AG34" s="18">
        <f>AF34/D34</f>
        <v>217674.41860465117</v>
      </c>
      <c r="AH34" s="18">
        <f>AE34+AC34</f>
        <v>230535.46511627911</v>
      </c>
      <c r="AI34" s="18">
        <f>AH34-AG34-SUM($AA$7:AA34)</f>
        <v>12861.046511627937</v>
      </c>
      <c r="AJ34" s="24">
        <f>R34+U34+MIN(Z34,V34)+AA34-Q34</f>
        <v>0</v>
      </c>
    </row>
    <row r="35" spans="1:36" ht="15" customHeight="1">
      <c r="A35" s="15">
        <f>EDATE(DATE(YEAR(参数设置!$B$4),MONTH(参数设置!$B$4),1),ROW()-7)</f>
        <v>47088</v>
      </c>
      <c r="B35" s="26" t="s">
        <v>95</v>
      </c>
      <c r="C35" s="7">
        <v>0</v>
      </c>
      <c r="D35" s="9">
        <v>0.86</v>
      </c>
      <c r="E35" s="18">
        <f>IF(B35=策略字典!$A$1,C35/D35,0)</f>
        <v>0</v>
      </c>
      <c r="F35" s="12">
        <v>10</v>
      </c>
      <c r="G35" s="8">
        <v>500</v>
      </c>
      <c r="H35" s="23">
        <f>IF(E35=0,0,FLOOR((E35-J35)/F35,G35))</f>
        <v>0</v>
      </c>
      <c r="I35" s="18">
        <f>H35*F35</f>
        <v>0</v>
      </c>
      <c r="J35" s="12">
        <v>0</v>
      </c>
      <c r="K35" s="18">
        <f>MAX(0,E35-I35-J35)</f>
        <v>0</v>
      </c>
      <c r="L35" s="23">
        <f>IF(ROW()=7,0,AD34)</f>
        <v>23000</v>
      </c>
      <c r="M35" s="18">
        <f>0</f>
        <v>0</v>
      </c>
      <c r="N35" s="12">
        <v>0.05</v>
      </c>
      <c r="O35" s="21">
        <f>SUMIFS(实际贷款明细!$I$4:$I$435,实际贷款明细!$G$4:$G$435,"&gt;="&amp;A35,实际贷款明细!$G$4:$G$435,"&lt;"&amp;EDATE(A35,1))</f>
        <v>23400</v>
      </c>
      <c r="P35" s="21">
        <f>SUMIFS(实际贷款明细!$J$4:$J$435,实际贷款明细!$G$4:$G$435,"&gt;="&amp;A35,实际贷款明细!$G$4:$G$435,"&lt;"&amp;EDATE(A35,1))</f>
        <v>525.53000000000009</v>
      </c>
      <c r="Q35" s="18">
        <f>(O35+P35)/D35</f>
        <v>27820.383720930233</v>
      </c>
      <c r="R35" s="18">
        <f>IF(B35=策略字典!$A$2,MIN(C35,O35)/D35,0)</f>
        <v>0</v>
      </c>
      <c r="S35" s="18">
        <f>IF(ROW()=7,0,AC34)</f>
        <v>535.46511627911968</v>
      </c>
      <c r="T35" s="18">
        <f>S35+L35*N35+K35</f>
        <v>1685.4651162791197</v>
      </c>
      <c r="U35" s="18">
        <f>MIN(T35,MAX(0,Q35-R35))</f>
        <v>1685.4651162791197</v>
      </c>
      <c r="V35" s="18">
        <f>MAX(0,Q35-R35-U35)</f>
        <v>26134.918604651113</v>
      </c>
      <c r="W35" s="23">
        <f>IF(B35=策略字典!$A$3,MIN(L35+H35,CEILING(V35/(F35*(1-参数设置!$B$23)),G35)),0)</f>
        <v>3000</v>
      </c>
      <c r="X35" s="18">
        <f>W35*F35</f>
        <v>30000</v>
      </c>
      <c r="Y35" s="18">
        <f>X35*参数设置!$B$23</f>
        <v>0</v>
      </c>
      <c r="Z35" s="18">
        <f>X35-Y35</f>
        <v>30000</v>
      </c>
      <c r="AA35" s="18">
        <f>MAX(0,V35-Z35)</f>
        <v>0</v>
      </c>
      <c r="AB35" s="18">
        <f>MAX(0,Z35-V35)</f>
        <v>3865.0813953488869</v>
      </c>
      <c r="AC35" s="18">
        <f>T35-U35+AB35</f>
        <v>3865.0813953488869</v>
      </c>
      <c r="AD35" s="23">
        <f>MAX(0,L35+H35-W35)</f>
        <v>20000</v>
      </c>
      <c r="AE35" s="18">
        <f>AD35*F35</f>
        <v>200000</v>
      </c>
      <c r="AF35" s="21">
        <f>SUM($C$7:C35)-SUM($O$7:O35)</f>
        <v>163800</v>
      </c>
      <c r="AG35" s="18">
        <f>AF35/D35</f>
        <v>190465.11627906977</v>
      </c>
      <c r="AH35" s="18">
        <f>AE35+AC35</f>
        <v>203865.08139534888</v>
      </c>
      <c r="AI35" s="18">
        <f>AH35-AG35-SUM($AA$7:AA35)</f>
        <v>13399.965116279112</v>
      </c>
      <c r="AJ35" s="24">
        <f>R35+U35+MIN(Z35,V35)+AA35-Q35</f>
        <v>0</v>
      </c>
    </row>
    <row r="36" spans="1:36" ht="15" customHeight="1">
      <c r="A36" s="15">
        <f>EDATE(DATE(YEAR(参数设置!$B$4),MONTH(参数设置!$B$4),1),ROW()-7)</f>
        <v>47119</v>
      </c>
      <c r="B36" s="26" t="s">
        <v>95</v>
      </c>
      <c r="C36" s="7">
        <v>0</v>
      </c>
      <c r="D36" s="9">
        <v>0.86</v>
      </c>
      <c r="E36" s="18">
        <f>IF(B36=策略字典!$A$1,C36/D36,0)</f>
        <v>0</v>
      </c>
      <c r="F36" s="12">
        <v>10</v>
      </c>
      <c r="G36" s="8">
        <v>500</v>
      </c>
      <c r="H36" s="23">
        <f>IF(E36=0,0,FLOOR((E36-J36)/F36,G36))</f>
        <v>0</v>
      </c>
      <c r="I36" s="18">
        <f>H36*F36</f>
        <v>0</v>
      </c>
      <c r="J36" s="12">
        <v>0</v>
      </c>
      <c r="K36" s="18">
        <f>MAX(0,E36-I36-J36)</f>
        <v>0</v>
      </c>
      <c r="L36" s="23">
        <f>IF(ROW()=7,0,AD35)</f>
        <v>20000</v>
      </c>
      <c r="M36" s="18">
        <f>0</f>
        <v>0</v>
      </c>
      <c r="N36" s="12">
        <v>0.05</v>
      </c>
      <c r="O36" s="21">
        <f>SUMIFS(实际贷款明细!$I$4:$I$435,实际贷款明细!$G$4:$G$435,"&gt;="&amp;A36,实际贷款明细!$G$4:$G$435,"&lt;"&amp;EDATE(A36,1))</f>
        <v>23400</v>
      </c>
      <c r="P36" s="21">
        <f>SUMIFS(实际贷款明细!$J$4:$J$435,实际贷款明细!$G$4:$G$435,"&gt;="&amp;A36,实际贷款明细!$G$4:$G$435,"&lt;"&amp;EDATE(A36,1))</f>
        <v>476.23</v>
      </c>
      <c r="Q36" s="18">
        <f>(O36+P36)/D36</f>
        <v>27763.058139534885</v>
      </c>
      <c r="R36" s="18">
        <f>IF(B36=策略字典!$A$2,MIN(C36,O36)/D36,0)</f>
        <v>0</v>
      </c>
      <c r="S36" s="18">
        <f>IF(ROW()=7,0,AC35)</f>
        <v>3865.0813953488869</v>
      </c>
      <c r="T36" s="18">
        <f>S36+L36*N36+K36</f>
        <v>4865.0813953488869</v>
      </c>
      <c r="U36" s="18">
        <f>MIN(T36,MAX(0,Q36-R36))</f>
        <v>4865.0813953488869</v>
      </c>
      <c r="V36" s="18">
        <f>MAX(0,Q36-R36-U36)</f>
        <v>22897.976744185999</v>
      </c>
      <c r="W36" s="23">
        <f>IF(B36=策略字典!$A$3,MIN(L36+H36,CEILING(V36/(F36*(1-参数设置!$B$23)),G36)),0)</f>
        <v>2500</v>
      </c>
      <c r="X36" s="18">
        <f>W36*F36</f>
        <v>25000</v>
      </c>
      <c r="Y36" s="18">
        <f>X36*参数设置!$B$23</f>
        <v>0</v>
      </c>
      <c r="Z36" s="18">
        <f>X36-Y36</f>
        <v>25000</v>
      </c>
      <c r="AA36" s="18">
        <f>MAX(0,V36-Z36)</f>
        <v>0</v>
      </c>
      <c r="AB36" s="18">
        <f>MAX(0,Z36-V36)</f>
        <v>2102.0232558140015</v>
      </c>
      <c r="AC36" s="18">
        <f>T36-U36+AB36</f>
        <v>2102.0232558140015</v>
      </c>
      <c r="AD36" s="23">
        <f>MAX(0,L36+H36-W36)</f>
        <v>17500</v>
      </c>
      <c r="AE36" s="18">
        <f>AD36*F36</f>
        <v>175000</v>
      </c>
      <c r="AF36" s="21">
        <f>SUM($C$7:C36)-SUM($O$7:O36)</f>
        <v>140400</v>
      </c>
      <c r="AG36" s="18">
        <f>AF36/D36</f>
        <v>163255.81395348837</v>
      </c>
      <c r="AH36" s="18">
        <f>AE36+AC36</f>
        <v>177102.02325581401</v>
      </c>
      <c r="AI36" s="18">
        <f>AH36-AG36-SUM($AA$7:AA36)</f>
        <v>13846.209302325646</v>
      </c>
      <c r="AJ36" s="24">
        <f>R36+U36+MIN(Z36,V36)+AA36-Q36</f>
        <v>0</v>
      </c>
    </row>
    <row r="37" spans="1:36" ht="15" customHeight="1">
      <c r="A37" s="15">
        <f>EDATE(DATE(YEAR(参数设置!$B$4),MONTH(参数设置!$B$4),1),ROW()-7)</f>
        <v>47150</v>
      </c>
      <c r="B37" s="26" t="s">
        <v>95</v>
      </c>
      <c r="C37" s="7">
        <v>0</v>
      </c>
      <c r="D37" s="9">
        <v>0.86</v>
      </c>
      <c r="E37" s="18">
        <f>IF(B37=策略字典!$A$1,C37/D37,0)</f>
        <v>0</v>
      </c>
      <c r="F37" s="12">
        <v>10</v>
      </c>
      <c r="G37" s="8">
        <v>500</v>
      </c>
      <c r="H37" s="23">
        <f>IF(E37=0,0,FLOOR((E37-J37)/F37,G37))</f>
        <v>0</v>
      </c>
      <c r="I37" s="18">
        <f>H37*F37</f>
        <v>0</v>
      </c>
      <c r="J37" s="12">
        <v>0</v>
      </c>
      <c r="K37" s="18">
        <f>MAX(0,E37-I37-J37)</f>
        <v>0</v>
      </c>
      <c r="L37" s="23">
        <f>IF(ROW()=7,0,AD36)</f>
        <v>17500</v>
      </c>
      <c r="M37" s="18">
        <f>0</f>
        <v>0</v>
      </c>
      <c r="N37" s="12">
        <v>0.05</v>
      </c>
      <c r="O37" s="21">
        <f>SUMIFS(实际贷款明细!$I$4:$I$435,实际贷款明细!$G$4:$G$435,"&gt;="&amp;A37,实际贷款明细!$G$4:$G$435,"&lt;"&amp;EDATE(A37,1))</f>
        <v>23400</v>
      </c>
      <c r="P37" s="21">
        <f>SUMIFS(实际贷款明细!$J$4:$J$435,实际贷款明细!$G$4:$G$435,"&gt;="&amp;A37,实际贷款明细!$G$4:$G$435,"&lt;"&amp;EDATE(A37,1))</f>
        <v>409.73</v>
      </c>
      <c r="Q37" s="18">
        <f>(O37+P37)/D37</f>
        <v>27685.732558139534</v>
      </c>
      <c r="R37" s="18">
        <f>IF(B37=策略字典!$A$2,MIN(C37,O37)/D37,0)</f>
        <v>0</v>
      </c>
      <c r="S37" s="18">
        <f>IF(ROW()=7,0,AC36)</f>
        <v>2102.0232558140015</v>
      </c>
      <c r="T37" s="18">
        <f>S37+L37*N37+K37</f>
        <v>2977.0232558140015</v>
      </c>
      <c r="U37" s="18">
        <f>MIN(T37,MAX(0,Q37-R37))</f>
        <v>2977.0232558140015</v>
      </c>
      <c r="V37" s="18">
        <f>MAX(0,Q37-R37-U37)</f>
        <v>24708.709302325533</v>
      </c>
      <c r="W37" s="23">
        <f>IF(B37=策略字典!$A$3,MIN(L37+H37,CEILING(V37/(F37*(1-参数设置!$B$23)),G37)),0)</f>
        <v>2500</v>
      </c>
      <c r="X37" s="18">
        <f>W37*F37</f>
        <v>25000</v>
      </c>
      <c r="Y37" s="18">
        <f>X37*参数设置!$B$23</f>
        <v>0</v>
      </c>
      <c r="Z37" s="18">
        <f>X37-Y37</f>
        <v>25000</v>
      </c>
      <c r="AA37" s="18">
        <f>MAX(0,V37-Z37)</f>
        <v>0</v>
      </c>
      <c r="AB37" s="18">
        <f>MAX(0,Z37-V37)</f>
        <v>291.29069767446708</v>
      </c>
      <c r="AC37" s="18">
        <f>T37-U37+AB37</f>
        <v>291.29069767446708</v>
      </c>
      <c r="AD37" s="23">
        <f>MAX(0,L37+H37-W37)</f>
        <v>15000</v>
      </c>
      <c r="AE37" s="18">
        <f>AD37*F37</f>
        <v>150000</v>
      </c>
      <c r="AF37" s="21">
        <f>SUM($C$7:C37)-SUM($O$7:O37)</f>
        <v>117000</v>
      </c>
      <c r="AG37" s="18">
        <f>AF37/D37</f>
        <v>136046.51162790699</v>
      </c>
      <c r="AH37" s="18">
        <f>AE37+AC37</f>
        <v>150291.29069767447</v>
      </c>
      <c r="AI37" s="18">
        <f>AH37-AG37-SUM($AA$7:AA37)</f>
        <v>14244.779069767479</v>
      </c>
      <c r="AJ37" s="24">
        <f>R37+U37+MIN(Z37,V37)+AA37-Q37</f>
        <v>0</v>
      </c>
    </row>
    <row r="38" spans="1:36" ht="15" customHeight="1">
      <c r="A38" s="15">
        <f>EDATE(DATE(YEAR(参数设置!$B$4),MONTH(参数设置!$B$4),1),ROW()-7)</f>
        <v>47178</v>
      </c>
      <c r="B38" s="26" t="s">
        <v>95</v>
      </c>
      <c r="C38" s="7">
        <v>0</v>
      </c>
      <c r="D38" s="9">
        <v>0.86</v>
      </c>
      <c r="E38" s="18">
        <f>IF(B38=策略字典!$A$1,C38/D38,0)</f>
        <v>0</v>
      </c>
      <c r="F38" s="12">
        <v>10</v>
      </c>
      <c r="G38" s="8">
        <v>500</v>
      </c>
      <c r="H38" s="23">
        <f>IF(E38=0,0,FLOOR((E38-J38)/F38,G38))</f>
        <v>0</v>
      </c>
      <c r="I38" s="18">
        <f>H38*F38</f>
        <v>0</v>
      </c>
      <c r="J38" s="12">
        <v>0</v>
      </c>
      <c r="K38" s="18">
        <f>MAX(0,E38-I38-J38)</f>
        <v>0</v>
      </c>
      <c r="L38" s="23">
        <f>IF(ROW()=7,0,AD37)</f>
        <v>15000</v>
      </c>
      <c r="M38" s="18">
        <f>0</f>
        <v>0</v>
      </c>
      <c r="N38" s="12">
        <v>0.05</v>
      </c>
      <c r="O38" s="21">
        <f>SUMIFS(实际贷款明细!$I$4:$I$435,实际贷款明细!$G$4:$G$435,"&gt;="&amp;A38,实际贷款明细!$G$4:$G$435,"&lt;"&amp;EDATE(A38,1))</f>
        <v>23400</v>
      </c>
      <c r="P38" s="21">
        <f>SUMIFS(实际贷款明细!$J$4:$J$435,实际贷款明细!$G$4:$G$435,"&gt;="&amp;A38,实际贷款明细!$G$4:$G$435,"&lt;"&amp;EDATE(A38,1))</f>
        <v>311.03000000000003</v>
      </c>
      <c r="Q38" s="18">
        <f>(O38+P38)/D38</f>
        <v>27570.965116279069</v>
      </c>
      <c r="R38" s="18">
        <f>IF(B38=策略字典!$A$2,MIN(C38,O38)/D38,0)</f>
        <v>0</v>
      </c>
      <c r="S38" s="18">
        <f>IF(ROW()=7,0,AC37)</f>
        <v>291.29069767446708</v>
      </c>
      <c r="T38" s="18">
        <f>S38+L38*N38+K38</f>
        <v>1041.2906976744671</v>
      </c>
      <c r="U38" s="18">
        <f>MIN(T38,MAX(0,Q38-R38))</f>
        <v>1041.2906976744671</v>
      </c>
      <c r="V38" s="18">
        <f>MAX(0,Q38-R38-U38)</f>
        <v>26529.674418604602</v>
      </c>
      <c r="W38" s="23">
        <f>IF(B38=策略字典!$A$3,MIN(L38+H38,CEILING(V38/(F38*(1-参数设置!$B$23)),G38)),0)</f>
        <v>3000</v>
      </c>
      <c r="X38" s="18">
        <f>W38*F38</f>
        <v>30000</v>
      </c>
      <c r="Y38" s="18">
        <f>X38*参数设置!$B$23</f>
        <v>0</v>
      </c>
      <c r="Z38" s="18">
        <f>X38-Y38</f>
        <v>30000</v>
      </c>
      <c r="AA38" s="18">
        <f>MAX(0,V38-Z38)</f>
        <v>0</v>
      </c>
      <c r="AB38" s="18">
        <f>MAX(0,Z38-V38)</f>
        <v>3470.3255813953983</v>
      </c>
      <c r="AC38" s="18">
        <f>T38-U38+AB38</f>
        <v>3470.3255813953983</v>
      </c>
      <c r="AD38" s="23">
        <f>MAX(0,L38+H38-W38)</f>
        <v>12000</v>
      </c>
      <c r="AE38" s="18">
        <f>AD38*F38</f>
        <v>120000</v>
      </c>
      <c r="AF38" s="21">
        <f>SUM($C$7:C38)-SUM($O$7:O38)</f>
        <v>93600</v>
      </c>
      <c r="AG38" s="18">
        <f>AF38/D38</f>
        <v>108837.20930232559</v>
      </c>
      <c r="AH38" s="18">
        <f>AE38+AC38</f>
        <v>123470.3255813954</v>
      </c>
      <c r="AI38" s="18">
        <f>AH38-AG38-SUM($AA$7:AA38)</f>
        <v>14633.116279069814</v>
      </c>
      <c r="AJ38" s="24">
        <f>R38+U38+MIN(Z38,V38)+AA38-Q38</f>
        <v>0</v>
      </c>
    </row>
    <row r="39" spans="1:36" ht="15" customHeight="1">
      <c r="A39" s="15">
        <f>EDATE(DATE(YEAR(参数设置!$B$4),MONTH(参数设置!$B$4),1),ROW()-7)</f>
        <v>47209</v>
      </c>
      <c r="B39" s="26" t="s">
        <v>95</v>
      </c>
      <c r="C39" s="7">
        <v>0</v>
      </c>
      <c r="D39" s="9">
        <v>0.86</v>
      </c>
      <c r="E39" s="18">
        <f>IF(B39=策略字典!$A$1,C39/D39,0)</f>
        <v>0</v>
      </c>
      <c r="F39" s="12">
        <v>10</v>
      </c>
      <c r="G39" s="8">
        <v>500</v>
      </c>
      <c r="H39" s="23">
        <f>IF(E39=0,0,FLOOR((E39-J39)/F39,G39))</f>
        <v>0</v>
      </c>
      <c r="I39" s="18">
        <f>H39*F39</f>
        <v>0</v>
      </c>
      <c r="J39" s="12">
        <v>0</v>
      </c>
      <c r="K39" s="18">
        <f>MAX(0,E39-I39-J39)</f>
        <v>0</v>
      </c>
      <c r="L39" s="23">
        <f>IF(ROW()=7,0,AD38)</f>
        <v>12000</v>
      </c>
      <c r="M39" s="18">
        <f>0</f>
        <v>0</v>
      </c>
      <c r="N39" s="12">
        <v>0.05</v>
      </c>
      <c r="O39" s="21">
        <f>SUMIFS(实际贷款明细!$I$4:$I$435,实际贷款明细!$G$4:$G$435,"&gt;="&amp;A39,实际贷款明细!$G$4:$G$435,"&lt;"&amp;EDATE(A39,1))</f>
        <v>23400</v>
      </c>
      <c r="P39" s="21">
        <f>SUMIFS(实际贷款明细!$J$4:$J$435,实际贷款明细!$G$4:$G$435,"&gt;="&amp;A39,实际贷款明细!$G$4:$G$435,"&lt;"&amp;EDATE(A39,1))</f>
        <v>276.73</v>
      </c>
      <c r="Q39" s="18">
        <f>(O39+P39)/D39</f>
        <v>27531.081395348836</v>
      </c>
      <c r="R39" s="18">
        <f>IF(B39=策略字典!$A$2,MIN(C39,O39)/D39,0)</f>
        <v>0</v>
      </c>
      <c r="S39" s="18">
        <f>IF(ROW()=7,0,AC38)</f>
        <v>3470.3255813953983</v>
      </c>
      <c r="T39" s="18">
        <f>S39+L39*N39+K39</f>
        <v>4070.3255813953983</v>
      </c>
      <c r="U39" s="18">
        <f>MIN(T39,MAX(0,Q39-R39))</f>
        <v>4070.3255813953983</v>
      </c>
      <c r="V39" s="18">
        <f>MAX(0,Q39-R39-U39)</f>
        <v>23460.755813953438</v>
      </c>
      <c r="W39" s="23">
        <f>IF(B39=策略字典!$A$3,MIN(L39+H39,CEILING(V39/(F39*(1-参数设置!$B$23)),G39)),0)</f>
        <v>2500</v>
      </c>
      <c r="X39" s="18">
        <f>W39*F39</f>
        <v>25000</v>
      </c>
      <c r="Y39" s="18">
        <f>X39*参数设置!$B$23</f>
        <v>0</v>
      </c>
      <c r="Z39" s="18">
        <f>X39-Y39</f>
        <v>25000</v>
      </c>
      <c r="AA39" s="18">
        <f>MAX(0,V39-Z39)</f>
        <v>0</v>
      </c>
      <c r="AB39" s="18">
        <f>MAX(0,Z39-V39)</f>
        <v>1539.2441860465624</v>
      </c>
      <c r="AC39" s="18">
        <f>T39-U39+AB39</f>
        <v>1539.2441860465624</v>
      </c>
      <c r="AD39" s="23">
        <f>MAX(0,L39+H39-W39)</f>
        <v>9500</v>
      </c>
      <c r="AE39" s="18">
        <f>AD39*F39</f>
        <v>95000</v>
      </c>
      <c r="AF39" s="21">
        <f>SUM($C$7:C39)-SUM($O$7:O39)</f>
        <v>70200</v>
      </c>
      <c r="AG39" s="18">
        <f>AF39/D39</f>
        <v>81627.906976744183</v>
      </c>
      <c r="AH39" s="18">
        <f>AE39+AC39</f>
        <v>96539.244186046562</v>
      </c>
      <c r="AI39" s="18">
        <f>AH39-AG39-SUM($AA$7:AA39)</f>
        <v>14911.337209302379</v>
      </c>
      <c r="AJ39" s="24">
        <f>R39+U39+MIN(Z39,V39)+AA39-Q39</f>
        <v>0</v>
      </c>
    </row>
    <row r="40" spans="1:36" ht="15" customHeight="1">
      <c r="A40" s="15">
        <f>EDATE(DATE(YEAR(参数设置!$B$4),MONTH(参数设置!$B$4),1),ROW()-7)</f>
        <v>47239</v>
      </c>
      <c r="B40" s="26" t="s">
        <v>95</v>
      </c>
      <c r="C40" s="7">
        <v>0</v>
      </c>
      <c r="D40" s="9">
        <v>0.86</v>
      </c>
      <c r="E40" s="18">
        <f>IF(B40=策略字典!$A$1,C40/D40,0)</f>
        <v>0</v>
      </c>
      <c r="F40" s="12">
        <v>10</v>
      </c>
      <c r="G40" s="8">
        <v>500</v>
      </c>
      <c r="H40" s="23">
        <f>IF(E40=0,0,FLOOR((E40-J40)/F40,G40))</f>
        <v>0</v>
      </c>
      <c r="I40" s="18">
        <f>H40*F40</f>
        <v>0</v>
      </c>
      <c r="J40" s="12">
        <v>0</v>
      </c>
      <c r="K40" s="18">
        <f>MAX(0,E40-I40-J40)</f>
        <v>0</v>
      </c>
      <c r="L40" s="23">
        <f>IF(ROW()=7,0,AD39)</f>
        <v>9500</v>
      </c>
      <c r="M40" s="18">
        <f>0</f>
        <v>0</v>
      </c>
      <c r="N40" s="12">
        <v>0.05</v>
      </c>
      <c r="O40" s="21">
        <f>SUMIFS(实际贷款明细!$I$4:$I$435,实际贷款明细!$G$4:$G$435,"&gt;="&amp;A40,实际贷款明细!$G$4:$G$435,"&lt;"&amp;EDATE(A40,1))</f>
        <v>23400</v>
      </c>
      <c r="P40" s="21">
        <f>SUMIFS(实际贷款明细!$J$4:$J$435,实际贷款明细!$G$4:$G$435,"&gt;="&amp;A40,实际贷款明细!$G$4:$G$435,"&lt;"&amp;EDATE(A40,1))</f>
        <v>203.78</v>
      </c>
      <c r="Q40" s="18">
        <f>(O40+P40)/D40</f>
        <v>27446.255813953489</v>
      </c>
      <c r="R40" s="18">
        <f>IF(B40=策略字典!$A$2,MIN(C40,O40)/D40,0)</f>
        <v>0</v>
      </c>
      <c r="S40" s="18">
        <f>IF(ROW()=7,0,AC39)</f>
        <v>1539.2441860465624</v>
      </c>
      <c r="T40" s="18">
        <f>S40+L40*N40+K40</f>
        <v>2014.2441860465624</v>
      </c>
      <c r="U40" s="18">
        <f>MIN(T40,MAX(0,Q40-R40))</f>
        <v>2014.2441860465624</v>
      </c>
      <c r="V40" s="18">
        <f>MAX(0,Q40-R40-U40)</f>
        <v>25432.011627906926</v>
      </c>
      <c r="W40" s="23">
        <f>IF(B40=策略字典!$A$3,MIN(L40+H40,CEILING(V40/(F40*(1-参数设置!$B$23)),G40)),0)</f>
        <v>3000</v>
      </c>
      <c r="X40" s="18">
        <f>W40*F40</f>
        <v>30000</v>
      </c>
      <c r="Y40" s="18">
        <f>X40*参数设置!$B$23</f>
        <v>0</v>
      </c>
      <c r="Z40" s="18">
        <f>X40-Y40</f>
        <v>30000</v>
      </c>
      <c r="AA40" s="18">
        <f>MAX(0,V40-Z40)</f>
        <v>0</v>
      </c>
      <c r="AB40" s="18">
        <f>MAX(0,Z40-V40)</f>
        <v>4567.9883720930738</v>
      </c>
      <c r="AC40" s="18">
        <f>T40-U40+AB40</f>
        <v>4567.9883720930738</v>
      </c>
      <c r="AD40" s="23">
        <f>MAX(0,L40+H40-W40)</f>
        <v>6500</v>
      </c>
      <c r="AE40" s="18">
        <f>AD40*F40</f>
        <v>65000</v>
      </c>
      <c r="AF40" s="21">
        <f>SUM($C$7:C40)-SUM($O$7:O40)</f>
        <v>46800</v>
      </c>
      <c r="AG40" s="18">
        <f>AF40/D40</f>
        <v>54418.604651162794</v>
      </c>
      <c r="AH40" s="18">
        <f>AE40+AC40</f>
        <v>69567.988372093067</v>
      </c>
      <c r="AI40" s="18">
        <f>AH40-AG40-SUM($AA$7:AA40)</f>
        <v>15149.383720930273</v>
      </c>
      <c r="AJ40" s="24">
        <f>R40+U40+MIN(Z40,V40)+AA40-Q40</f>
        <v>0</v>
      </c>
    </row>
    <row r="41" spans="1:36" ht="15" customHeight="1">
      <c r="A41" s="15">
        <f>EDATE(DATE(YEAR(参数设置!$B$4),MONTH(参数设置!$B$4),1),ROW()-7)</f>
        <v>47270</v>
      </c>
      <c r="B41" s="26" t="s">
        <v>95</v>
      </c>
      <c r="C41" s="7">
        <v>0</v>
      </c>
      <c r="D41" s="9">
        <v>0.86</v>
      </c>
      <c r="E41" s="18">
        <f>IF(B41=策略字典!$A$1,C41/D41,0)</f>
        <v>0</v>
      </c>
      <c r="F41" s="12">
        <v>10</v>
      </c>
      <c r="G41" s="8">
        <v>500</v>
      </c>
      <c r="H41" s="23">
        <f>IF(E41=0,0,FLOOR((E41-J41)/F41,G41))</f>
        <v>0</v>
      </c>
      <c r="I41" s="18">
        <f>H41*F41</f>
        <v>0</v>
      </c>
      <c r="J41" s="12">
        <v>0</v>
      </c>
      <c r="K41" s="18">
        <f>MAX(0,E41-I41-J41)</f>
        <v>0</v>
      </c>
      <c r="L41" s="23">
        <f>IF(ROW()=7,0,AD40)</f>
        <v>6500</v>
      </c>
      <c r="M41" s="18">
        <f>0</f>
        <v>0</v>
      </c>
      <c r="N41" s="12">
        <v>0.05</v>
      </c>
      <c r="O41" s="21">
        <f>SUMIFS(实际贷款明细!$I$4:$I$435,实际贷款明细!$G$4:$G$435,"&gt;="&amp;A41,实际贷款明细!$G$4:$G$435,"&lt;"&amp;EDATE(A41,1))</f>
        <v>23400</v>
      </c>
      <c r="P41" s="21">
        <f>SUMIFS(实际贷款明细!$J$4:$J$435,实际贷款明细!$G$4:$G$435,"&gt;="&amp;A41,实际贷款明细!$G$4:$G$435,"&lt;"&amp;EDATE(A41,1))</f>
        <v>143.73000000000002</v>
      </c>
      <c r="Q41" s="18">
        <f>(O41+P41)/D41</f>
        <v>27376.430232558141</v>
      </c>
      <c r="R41" s="18">
        <f>IF(B41=策略字典!$A$2,MIN(C41,O41)/D41,0)</f>
        <v>0</v>
      </c>
      <c r="S41" s="18">
        <f>IF(ROW()=7,0,AC40)</f>
        <v>4567.9883720930738</v>
      </c>
      <c r="T41" s="18">
        <f>S41+L41*N41+K41</f>
        <v>4892.9883720930738</v>
      </c>
      <c r="U41" s="18">
        <f>MIN(T41,MAX(0,Q41-R41))</f>
        <v>4892.9883720930738</v>
      </c>
      <c r="V41" s="18">
        <f>MAX(0,Q41-R41-U41)</f>
        <v>22483.441860465067</v>
      </c>
      <c r="W41" s="23">
        <f>IF(B41=策略字典!$A$3,MIN(L41+H41,CEILING(V41/(F41*(1-参数设置!$B$23)),G41)),0)</f>
        <v>2500</v>
      </c>
      <c r="X41" s="18">
        <f>W41*F41</f>
        <v>25000</v>
      </c>
      <c r="Y41" s="18">
        <f>X41*参数设置!$B$23</f>
        <v>0</v>
      </c>
      <c r="Z41" s="18">
        <f>X41-Y41</f>
        <v>25000</v>
      </c>
      <c r="AA41" s="18">
        <f>MAX(0,V41-Z41)</f>
        <v>0</v>
      </c>
      <c r="AB41" s="18">
        <f>MAX(0,Z41-V41)</f>
        <v>2516.5581395349327</v>
      </c>
      <c r="AC41" s="18">
        <f>T41-U41+AB41</f>
        <v>2516.5581395349327</v>
      </c>
      <c r="AD41" s="23">
        <f>MAX(0,L41+H41-W41)</f>
        <v>4000</v>
      </c>
      <c r="AE41" s="18">
        <f>AD41*F41</f>
        <v>40000</v>
      </c>
      <c r="AF41" s="21">
        <f>SUM($C$7:C41)-SUM($O$7:O41)</f>
        <v>23400</v>
      </c>
      <c r="AG41" s="18">
        <f>AF41/D41</f>
        <v>27209.302325581397</v>
      </c>
      <c r="AH41" s="18">
        <f>AE41+AC41</f>
        <v>42516.558139534929</v>
      </c>
      <c r="AI41" s="18">
        <f>AH41-AG41-SUM($AA$7:AA41)</f>
        <v>15307.255813953532</v>
      </c>
      <c r="AJ41" s="24">
        <f>R41+U41+MIN(Z41,V41)+AA41-Q41</f>
        <v>0</v>
      </c>
    </row>
    <row r="42" spans="1:36" ht="15" customHeight="1">
      <c r="A42" s="15">
        <f>EDATE(DATE(YEAR(参数设置!$B$4),MONTH(参数设置!$B$4),1),ROW()-7)</f>
        <v>47300</v>
      </c>
      <c r="B42" s="26" t="s">
        <v>95</v>
      </c>
      <c r="C42" s="7">
        <v>0</v>
      </c>
      <c r="D42" s="9">
        <v>0.86</v>
      </c>
      <c r="E42" s="18">
        <f>IF(B42=策略字典!$A$1,C42/D42,0)</f>
        <v>0</v>
      </c>
      <c r="F42" s="12">
        <v>10</v>
      </c>
      <c r="G42" s="8">
        <v>500</v>
      </c>
      <c r="H42" s="23">
        <f>IF(E42=0,0,FLOOR((E42-J42)/F42,G42))</f>
        <v>0</v>
      </c>
      <c r="I42" s="18">
        <f>H42*F42</f>
        <v>0</v>
      </c>
      <c r="J42" s="12">
        <v>0</v>
      </c>
      <c r="K42" s="18">
        <f>MAX(0,E42-I42-J42)</f>
        <v>0</v>
      </c>
      <c r="L42" s="23">
        <f>IF(ROW()=7,0,AD41)</f>
        <v>4000</v>
      </c>
      <c r="M42" s="18">
        <f>0</f>
        <v>0</v>
      </c>
      <c r="N42" s="12">
        <v>0.05</v>
      </c>
      <c r="O42" s="21">
        <f>SUMIFS(实际贷款明细!$I$4:$I$435,实际贷款明细!$G$4:$G$435,"&gt;="&amp;A42,实际贷款明细!$G$4:$G$435,"&lt;"&amp;EDATE(A42,1))</f>
        <v>23400</v>
      </c>
      <c r="P42" s="21">
        <f>SUMIFS(实际贷款明细!$J$4:$J$435,实际贷款明细!$G$4:$G$435,"&gt;="&amp;A42,实际贷款明细!$G$4:$G$435,"&lt;"&amp;EDATE(A42,1))</f>
        <v>75.08</v>
      </c>
      <c r="Q42" s="18">
        <f>(O42+P42)/D42</f>
        <v>27296.604651162794</v>
      </c>
      <c r="R42" s="18">
        <f>IF(B42=策略字典!$A$2,MIN(C42,O42)/D42,0)</f>
        <v>0</v>
      </c>
      <c r="S42" s="18">
        <f>IF(ROW()=7,0,AC41)</f>
        <v>2516.5581395349327</v>
      </c>
      <c r="T42" s="18">
        <f>S42+L42*N42+K42</f>
        <v>2716.5581395349327</v>
      </c>
      <c r="U42" s="18">
        <f>MIN(T42,MAX(0,Q42-R42))</f>
        <v>2716.5581395349327</v>
      </c>
      <c r="V42" s="18">
        <f>MAX(0,Q42-R42-U42)</f>
        <v>24580.046511627861</v>
      </c>
      <c r="W42" s="23">
        <f>IF(B42=策略字典!$A$3,MIN(L42+H42,CEILING(V42/(F42*(1-参数设置!$B$23)),G42)),0)</f>
        <v>2500</v>
      </c>
      <c r="X42" s="18">
        <f>W42*F42</f>
        <v>25000</v>
      </c>
      <c r="Y42" s="18">
        <f>X42*参数设置!$B$23</f>
        <v>0</v>
      </c>
      <c r="Z42" s="18">
        <f>X42-Y42</f>
        <v>25000</v>
      </c>
      <c r="AA42" s="18">
        <f>MAX(0,V42-Z42)</f>
        <v>0</v>
      </c>
      <c r="AB42" s="18">
        <f>MAX(0,Z42-V42)</f>
        <v>419.95348837213896</v>
      </c>
      <c r="AC42" s="18">
        <f>T42-U42+AB42</f>
        <v>419.95348837213896</v>
      </c>
      <c r="AD42" s="23">
        <f>MAX(0,L42+H42-W42)</f>
        <v>1500</v>
      </c>
      <c r="AE42" s="18">
        <f>AD42*F42</f>
        <v>15000</v>
      </c>
      <c r="AF42" s="21">
        <f>SUM($C$7:C42)-SUM($O$7:O42)</f>
        <v>0</v>
      </c>
      <c r="AG42" s="18">
        <f>AF42/D42</f>
        <v>0</v>
      </c>
      <c r="AH42" s="18">
        <f>AE42+AC42</f>
        <v>15419.953488372139</v>
      </c>
      <c r="AI42" s="18">
        <f>AH42-AG42-SUM($AA$7:AA42)</f>
        <v>15419.953488372139</v>
      </c>
      <c r="AJ42" s="24">
        <f>R42+U42+MIN(Z42,V42)+AA42-Q42</f>
        <v>0</v>
      </c>
    </row>
    <row r="43" spans="1:36" ht="15" customHeight="1">
      <c r="A43" s="15">
        <f>EDATE(DATE(YEAR(参数设置!$B$4),MONTH(参数设置!$B$4),1),ROW()-7)</f>
        <v>47331</v>
      </c>
      <c r="B43" s="26" t="s">
        <v>96</v>
      </c>
      <c r="C43" s="7">
        <v>0</v>
      </c>
      <c r="D43" s="9">
        <v>0.86</v>
      </c>
      <c r="E43" s="18">
        <f>IF(B43=策略字典!$A$1,C43/D43,0)</f>
        <v>0</v>
      </c>
      <c r="F43" s="12">
        <v>10</v>
      </c>
      <c r="G43" s="8">
        <v>500</v>
      </c>
      <c r="H43" s="23">
        <f>IF(E43=0,0,FLOOR((E43-J43)/F43,G43))</f>
        <v>0</v>
      </c>
      <c r="I43" s="18">
        <f>H43*F43</f>
        <v>0</v>
      </c>
      <c r="J43" s="12">
        <v>0</v>
      </c>
      <c r="K43" s="18">
        <f>MAX(0,E43-I43-J43)</f>
        <v>0</v>
      </c>
      <c r="L43" s="23">
        <f>IF(ROW()=7,0,AD42)</f>
        <v>1500</v>
      </c>
      <c r="M43" s="18">
        <f>0</f>
        <v>0</v>
      </c>
      <c r="N43" s="12">
        <v>0.05</v>
      </c>
      <c r="O43" s="21">
        <f>SUMIFS(实际贷款明细!$I$4:$I$435,实际贷款明细!$G$4:$G$435,"&gt;="&amp;A43,实际贷款明细!$G$4:$G$435,"&lt;"&amp;EDATE(A43,1))</f>
        <v>0</v>
      </c>
      <c r="P43" s="21">
        <f>SUMIFS(实际贷款明细!$J$4:$J$435,实际贷款明细!$G$4:$G$435,"&gt;="&amp;A43,实际贷款明细!$G$4:$G$435,"&lt;"&amp;EDATE(A43,1))</f>
        <v>0</v>
      </c>
      <c r="Q43" s="18">
        <f>(O43+P43)/D43</f>
        <v>0</v>
      </c>
      <c r="R43" s="18">
        <f>IF(B43=策略字典!$A$2,MIN(C43,O43)/D43,0)</f>
        <v>0</v>
      </c>
      <c r="S43" s="18">
        <f>IF(ROW()=7,0,AC42)</f>
        <v>419.95348837213896</v>
      </c>
      <c r="T43" s="18">
        <f>S43+L43*N43+K43</f>
        <v>494.95348837213896</v>
      </c>
      <c r="U43" s="18">
        <f>MIN(T43,MAX(0,Q43-R43))</f>
        <v>0</v>
      </c>
      <c r="V43" s="18">
        <f>MAX(0,Q43-R43-U43)</f>
        <v>0</v>
      </c>
      <c r="W43" s="23">
        <f>IF(B43=策略字典!$A$3,MIN(L43+H43,CEILING(V43/(F43*(1-参数设置!$B$23)),G43)),0)</f>
        <v>0</v>
      </c>
      <c r="X43" s="18">
        <f>W43*F43</f>
        <v>0</v>
      </c>
      <c r="Y43" s="18">
        <f>X43*参数设置!$B$23</f>
        <v>0</v>
      </c>
      <c r="Z43" s="18">
        <f>X43-Y43</f>
        <v>0</v>
      </c>
      <c r="AA43" s="18">
        <f>MAX(0,V43-Z43)</f>
        <v>0</v>
      </c>
      <c r="AB43" s="18">
        <f>MAX(0,Z43-V43)</f>
        <v>0</v>
      </c>
      <c r="AC43" s="18">
        <f>T43-U43+AB43</f>
        <v>494.95348837213896</v>
      </c>
      <c r="AD43" s="23">
        <f>MAX(0,L43+H43-W43)</f>
        <v>1500</v>
      </c>
      <c r="AE43" s="18">
        <f>AD43*F43</f>
        <v>15000</v>
      </c>
      <c r="AF43" s="21">
        <f>SUM($C$7:C43)-SUM($O$7:O43)</f>
        <v>0</v>
      </c>
      <c r="AG43" s="18">
        <f>AF43/D43</f>
        <v>0</v>
      </c>
      <c r="AH43" s="18">
        <f>AE43+AC43</f>
        <v>15494.953488372139</v>
      </c>
      <c r="AI43" s="18">
        <f>AH43-AG43-SUM($AA$7:AA43)</f>
        <v>15494.953488372139</v>
      </c>
      <c r="AJ43" s="24">
        <f>R43+U43+MIN(Z43,V43)+AA43-Q43</f>
        <v>0</v>
      </c>
    </row>
    <row r="44" spans="1:36" ht="15" customHeight="1">
      <c r="A44" s="15">
        <f>EDATE(DATE(YEAR(参数设置!$B$4),MONTH(参数设置!$B$4),1),ROW()-7)</f>
        <v>47362</v>
      </c>
      <c r="B44" s="26" t="s">
        <v>96</v>
      </c>
      <c r="C44" s="7">
        <v>0</v>
      </c>
      <c r="D44" s="9">
        <v>0.86</v>
      </c>
      <c r="E44" s="18">
        <f>IF(B44=策略字典!$A$1,C44/D44,0)</f>
        <v>0</v>
      </c>
      <c r="F44" s="12">
        <v>10</v>
      </c>
      <c r="G44" s="8">
        <v>500</v>
      </c>
      <c r="H44" s="23">
        <f>IF(E44=0,0,FLOOR((E44-J44)/F44,G44))</f>
        <v>0</v>
      </c>
      <c r="I44" s="18">
        <f>H44*F44</f>
        <v>0</v>
      </c>
      <c r="J44" s="12">
        <v>0</v>
      </c>
      <c r="K44" s="18">
        <f>MAX(0,E44-I44-J44)</f>
        <v>0</v>
      </c>
      <c r="L44" s="23">
        <f>IF(ROW()=7,0,AD43)</f>
        <v>1500</v>
      </c>
      <c r="M44" s="18">
        <f>0</f>
        <v>0</v>
      </c>
      <c r="N44" s="12">
        <v>0.05</v>
      </c>
      <c r="O44" s="21">
        <f>SUMIFS(实际贷款明细!$I$4:$I$435,实际贷款明细!$G$4:$G$435,"&gt;="&amp;A44,实际贷款明细!$G$4:$G$435,"&lt;"&amp;EDATE(A44,1))</f>
        <v>0</v>
      </c>
      <c r="P44" s="21">
        <f>SUMIFS(实际贷款明细!$J$4:$J$435,实际贷款明细!$G$4:$G$435,"&gt;="&amp;A44,实际贷款明细!$G$4:$G$435,"&lt;"&amp;EDATE(A44,1))</f>
        <v>0</v>
      </c>
      <c r="Q44" s="18">
        <f>(O44+P44)/D44</f>
        <v>0</v>
      </c>
      <c r="R44" s="18">
        <f>IF(B44=策略字典!$A$2,MIN(C44,O44)/D44,0)</f>
        <v>0</v>
      </c>
      <c r="S44" s="18">
        <f>IF(ROW()=7,0,AC43)</f>
        <v>494.95348837213896</v>
      </c>
      <c r="T44" s="18">
        <f>S44+L44*N44+K44</f>
        <v>569.95348837213896</v>
      </c>
      <c r="U44" s="18">
        <f>MIN(T44,MAX(0,Q44-R44))</f>
        <v>0</v>
      </c>
      <c r="V44" s="18">
        <f>MAX(0,Q44-R44-U44)</f>
        <v>0</v>
      </c>
      <c r="W44" s="23">
        <f>IF(B44=策略字典!$A$3,MIN(L44+H44,CEILING(V44/(F44*(1-参数设置!$B$23)),G44)),0)</f>
        <v>0</v>
      </c>
      <c r="X44" s="18">
        <f>W44*F44</f>
        <v>0</v>
      </c>
      <c r="Y44" s="18">
        <f>X44*参数设置!$B$23</f>
        <v>0</v>
      </c>
      <c r="Z44" s="18">
        <f>X44-Y44</f>
        <v>0</v>
      </c>
      <c r="AA44" s="18">
        <f>MAX(0,V44-Z44)</f>
        <v>0</v>
      </c>
      <c r="AB44" s="18">
        <f>MAX(0,Z44-V44)</f>
        <v>0</v>
      </c>
      <c r="AC44" s="18">
        <f>T44-U44+AB44</f>
        <v>569.95348837213896</v>
      </c>
      <c r="AD44" s="23">
        <f>MAX(0,L44+H44-W44)</f>
        <v>1500</v>
      </c>
      <c r="AE44" s="18">
        <f>AD44*F44</f>
        <v>15000</v>
      </c>
      <c r="AF44" s="21">
        <f>SUM($C$7:C44)-SUM($O$7:O44)</f>
        <v>0</v>
      </c>
      <c r="AG44" s="18">
        <f>AF44/D44</f>
        <v>0</v>
      </c>
      <c r="AH44" s="18">
        <f>AE44+AC44</f>
        <v>15569.953488372139</v>
      </c>
      <c r="AI44" s="18">
        <f>AH44-AG44-SUM($AA$7:AA44)</f>
        <v>15569.953488372139</v>
      </c>
      <c r="AJ44" s="24">
        <f>R44+U44+MIN(Z44,V44)+AA44-Q44</f>
        <v>0</v>
      </c>
    </row>
    <row r="45" spans="1:36" ht="15" customHeight="1">
      <c r="A45" s="15">
        <f>EDATE(DATE(YEAR(参数设置!$B$4),MONTH(参数设置!$B$4),1),ROW()-7)</f>
        <v>47392</v>
      </c>
      <c r="B45" s="26" t="s">
        <v>96</v>
      </c>
      <c r="C45" s="7">
        <v>0</v>
      </c>
      <c r="D45" s="9">
        <v>0.86</v>
      </c>
      <c r="E45" s="18">
        <f>IF(B45=策略字典!$A$1,C45/D45,0)</f>
        <v>0</v>
      </c>
      <c r="F45" s="12">
        <v>10</v>
      </c>
      <c r="G45" s="8">
        <v>500</v>
      </c>
      <c r="H45" s="23">
        <f>IF(E45=0,0,FLOOR((E45-J45)/F45,G45))</f>
        <v>0</v>
      </c>
      <c r="I45" s="18">
        <f>H45*F45</f>
        <v>0</v>
      </c>
      <c r="J45" s="12">
        <v>0</v>
      </c>
      <c r="K45" s="18">
        <f>MAX(0,E45-I45-J45)</f>
        <v>0</v>
      </c>
      <c r="L45" s="23">
        <f>IF(ROW()=7,0,AD44)</f>
        <v>1500</v>
      </c>
      <c r="M45" s="18">
        <f>0</f>
        <v>0</v>
      </c>
      <c r="N45" s="12">
        <v>0.05</v>
      </c>
      <c r="O45" s="21">
        <f>SUMIFS(实际贷款明细!$I$4:$I$435,实际贷款明细!$G$4:$G$435,"&gt;="&amp;A45,实际贷款明细!$G$4:$G$435,"&lt;"&amp;EDATE(A45,1))</f>
        <v>0</v>
      </c>
      <c r="P45" s="21">
        <f>SUMIFS(实际贷款明细!$J$4:$J$435,实际贷款明细!$G$4:$G$435,"&gt;="&amp;A45,实际贷款明细!$G$4:$G$435,"&lt;"&amp;EDATE(A45,1))</f>
        <v>0</v>
      </c>
      <c r="Q45" s="18">
        <f>(O45+P45)/D45</f>
        <v>0</v>
      </c>
      <c r="R45" s="18">
        <f>IF(B45=策略字典!$A$2,MIN(C45,O45)/D45,0)</f>
        <v>0</v>
      </c>
      <c r="S45" s="18">
        <f>IF(ROW()=7,0,AC44)</f>
        <v>569.95348837213896</v>
      </c>
      <c r="T45" s="18">
        <f>S45+L45*N45+K45</f>
        <v>644.95348837213896</v>
      </c>
      <c r="U45" s="18">
        <f>MIN(T45,MAX(0,Q45-R45))</f>
        <v>0</v>
      </c>
      <c r="V45" s="18">
        <f>MAX(0,Q45-R45-U45)</f>
        <v>0</v>
      </c>
      <c r="W45" s="23">
        <f>IF(B45=策略字典!$A$3,MIN(L45+H45,CEILING(V45/(F45*(1-参数设置!$B$23)),G45)),0)</f>
        <v>0</v>
      </c>
      <c r="X45" s="18">
        <f>W45*F45</f>
        <v>0</v>
      </c>
      <c r="Y45" s="18">
        <f>X45*参数设置!$B$23</f>
        <v>0</v>
      </c>
      <c r="Z45" s="18">
        <f>X45-Y45</f>
        <v>0</v>
      </c>
      <c r="AA45" s="18">
        <f>MAX(0,V45-Z45)</f>
        <v>0</v>
      </c>
      <c r="AB45" s="18">
        <f>MAX(0,Z45-V45)</f>
        <v>0</v>
      </c>
      <c r="AC45" s="18">
        <f>T45-U45+AB45</f>
        <v>644.95348837213896</v>
      </c>
      <c r="AD45" s="23">
        <f>MAX(0,L45+H45-W45)</f>
        <v>1500</v>
      </c>
      <c r="AE45" s="18">
        <f>AD45*F45</f>
        <v>15000</v>
      </c>
      <c r="AF45" s="21">
        <f>SUM($C$7:C45)-SUM($O$7:O45)</f>
        <v>0</v>
      </c>
      <c r="AG45" s="18">
        <f>AF45/D45</f>
        <v>0</v>
      </c>
      <c r="AH45" s="18">
        <f>AE45+AC45</f>
        <v>15644.953488372139</v>
      </c>
      <c r="AI45" s="18">
        <f>AH45-AG45-SUM($AA$7:AA45)</f>
        <v>15644.953488372139</v>
      </c>
      <c r="AJ45" s="24">
        <f>R45+U45+MIN(Z45,V45)+AA45-Q45</f>
        <v>0</v>
      </c>
    </row>
    <row r="46" spans="1:36" ht="15" customHeight="1">
      <c r="A46" s="15">
        <f>EDATE(DATE(YEAR(参数设置!$B$4),MONTH(参数设置!$B$4),1),ROW()-7)</f>
        <v>47423</v>
      </c>
      <c r="B46" s="26" t="s">
        <v>96</v>
      </c>
      <c r="C46" s="7">
        <v>0</v>
      </c>
      <c r="D46" s="9">
        <v>0.86</v>
      </c>
      <c r="E46" s="18">
        <f>IF(B46=策略字典!$A$1,C46/D46,0)</f>
        <v>0</v>
      </c>
      <c r="F46" s="12">
        <v>10</v>
      </c>
      <c r="G46" s="8">
        <v>500</v>
      </c>
      <c r="H46" s="23">
        <f>IF(E46=0,0,FLOOR((E46-J46)/F46,G46))</f>
        <v>0</v>
      </c>
      <c r="I46" s="18">
        <f>H46*F46</f>
        <v>0</v>
      </c>
      <c r="J46" s="12">
        <v>0</v>
      </c>
      <c r="K46" s="18">
        <f>MAX(0,E46-I46-J46)</f>
        <v>0</v>
      </c>
      <c r="L46" s="23">
        <f>IF(ROW()=7,0,AD45)</f>
        <v>1500</v>
      </c>
      <c r="M46" s="18">
        <f>0</f>
        <v>0</v>
      </c>
      <c r="N46" s="12">
        <v>0.05</v>
      </c>
      <c r="O46" s="21">
        <f>SUMIFS(实际贷款明细!$I$4:$I$435,实际贷款明细!$G$4:$G$435,"&gt;="&amp;A46,实际贷款明细!$G$4:$G$435,"&lt;"&amp;EDATE(A46,1))</f>
        <v>0</v>
      </c>
      <c r="P46" s="21">
        <f>SUMIFS(实际贷款明细!$J$4:$J$435,实际贷款明细!$G$4:$G$435,"&gt;="&amp;A46,实际贷款明细!$G$4:$G$435,"&lt;"&amp;EDATE(A46,1))</f>
        <v>0</v>
      </c>
      <c r="Q46" s="18">
        <f>(O46+P46)/D46</f>
        <v>0</v>
      </c>
      <c r="R46" s="18">
        <f>IF(B46=策略字典!$A$2,MIN(C46,O46)/D46,0)</f>
        <v>0</v>
      </c>
      <c r="S46" s="18">
        <f>IF(ROW()=7,0,AC45)</f>
        <v>644.95348837213896</v>
      </c>
      <c r="T46" s="18">
        <f>S46+L46*N46+K46</f>
        <v>719.95348837213896</v>
      </c>
      <c r="U46" s="18">
        <f>MIN(T46,MAX(0,Q46-R46))</f>
        <v>0</v>
      </c>
      <c r="V46" s="18">
        <f>MAX(0,Q46-R46-U46)</f>
        <v>0</v>
      </c>
      <c r="W46" s="23">
        <f>IF(B46=策略字典!$A$3,MIN(L46+H46,CEILING(V46/(F46*(1-参数设置!$B$23)),G46)),0)</f>
        <v>0</v>
      </c>
      <c r="X46" s="18">
        <f>W46*F46</f>
        <v>0</v>
      </c>
      <c r="Y46" s="18">
        <f>X46*参数设置!$B$23</f>
        <v>0</v>
      </c>
      <c r="Z46" s="18">
        <f>X46-Y46</f>
        <v>0</v>
      </c>
      <c r="AA46" s="18">
        <f>MAX(0,V46-Z46)</f>
        <v>0</v>
      </c>
      <c r="AB46" s="18">
        <f>MAX(0,Z46-V46)</f>
        <v>0</v>
      </c>
      <c r="AC46" s="18">
        <f>T46-U46+AB46</f>
        <v>719.95348837213896</v>
      </c>
      <c r="AD46" s="23">
        <f>MAX(0,L46+H46-W46)</f>
        <v>1500</v>
      </c>
      <c r="AE46" s="18">
        <f>AD46*F46</f>
        <v>15000</v>
      </c>
      <c r="AF46" s="21">
        <f>SUM($C$7:C46)-SUM($O$7:O46)</f>
        <v>0</v>
      </c>
      <c r="AG46" s="18">
        <f>AF46/D46</f>
        <v>0</v>
      </c>
      <c r="AH46" s="18">
        <f>AE46+AC46</f>
        <v>15719.953488372139</v>
      </c>
      <c r="AI46" s="18">
        <f>AH46-AG46-SUM($AA$7:AA46)</f>
        <v>15719.953488372139</v>
      </c>
      <c r="AJ46" s="24">
        <f>R46+U46+MIN(Z46,V46)+AA46-Q46</f>
        <v>0</v>
      </c>
    </row>
    <row r="47" spans="1:36" ht="15" customHeight="1">
      <c r="A47" s="15">
        <f>EDATE(DATE(YEAR(参数设置!$B$4),MONTH(参数设置!$B$4),1),ROW()-7)</f>
        <v>47453</v>
      </c>
      <c r="B47" s="26" t="s">
        <v>96</v>
      </c>
      <c r="C47" s="7">
        <v>0</v>
      </c>
      <c r="D47" s="9">
        <v>0.86</v>
      </c>
      <c r="E47" s="18">
        <f>IF(B47=策略字典!$A$1,C47/D47,0)</f>
        <v>0</v>
      </c>
      <c r="F47" s="12">
        <v>10</v>
      </c>
      <c r="G47" s="8">
        <v>500</v>
      </c>
      <c r="H47" s="23">
        <f>IF(E47=0,0,FLOOR((E47-J47)/F47,G47))</f>
        <v>0</v>
      </c>
      <c r="I47" s="18">
        <f>H47*F47</f>
        <v>0</v>
      </c>
      <c r="J47" s="12">
        <v>0</v>
      </c>
      <c r="K47" s="18">
        <f>MAX(0,E47-I47-J47)</f>
        <v>0</v>
      </c>
      <c r="L47" s="23">
        <f>IF(ROW()=7,0,AD46)</f>
        <v>1500</v>
      </c>
      <c r="M47" s="18">
        <f>0</f>
        <v>0</v>
      </c>
      <c r="N47" s="12">
        <v>0.05</v>
      </c>
      <c r="O47" s="21">
        <f>SUMIFS(实际贷款明细!$I$4:$I$435,实际贷款明细!$G$4:$G$435,"&gt;="&amp;A47,实际贷款明细!$G$4:$G$435,"&lt;"&amp;EDATE(A47,1))</f>
        <v>0</v>
      </c>
      <c r="P47" s="21">
        <f>SUMIFS(实际贷款明细!$J$4:$J$435,实际贷款明细!$G$4:$G$435,"&gt;="&amp;A47,实际贷款明细!$G$4:$G$435,"&lt;"&amp;EDATE(A47,1))</f>
        <v>0</v>
      </c>
      <c r="Q47" s="18">
        <f>(O47+P47)/D47</f>
        <v>0</v>
      </c>
      <c r="R47" s="18">
        <f>IF(B47=策略字典!$A$2,MIN(C47,O47)/D47,0)</f>
        <v>0</v>
      </c>
      <c r="S47" s="18">
        <f>IF(ROW()=7,0,AC46)</f>
        <v>719.95348837213896</v>
      </c>
      <c r="T47" s="18">
        <f>S47+L47*N47+K47</f>
        <v>794.95348837213896</v>
      </c>
      <c r="U47" s="18">
        <f>MIN(T47,MAX(0,Q47-R47))</f>
        <v>0</v>
      </c>
      <c r="V47" s="18">
        <f>MAX(0,Q47-R47-U47)</f>
        <v>0</v>
      </c>
      <c r="W47" s="23">
        <f>IF(B47=策略字典!$A$3,MIN(L47+H47,CEILING(V47/(F47*(1-参数设置!$B$23)),G47)),0)</f>
        <v>0</v>
      </c>
      <c r="X47" s="18">
        <f>W47*F47</f>
        <v>0</v>
      </c>
      <c r="Y47" s="18">
        <f>X47*参数设置!$B$23</f>
        <v>0</v>
      </c>
      <c r="Z47" s="18">
        <f>X47-Y47</f>
        <v>0</v>
      </c>
      <c r="AA47" s="18">
        <f>MAX(0,V47-Z47)</f>
        <v>0</v>
      </c>
      <c r="AB47" s="18">
        <f>MAX(0,Z47-V47)</f>
        <v>0</v>
      </c>
      <c r="AC47" s="18">
        <f>T47-U47+AB47</f>
        <v>794.95348837213896</v>
      </c>
      <c r="AD47" s="23">
        <f>MAX(0,L47+H47-W47)</f>
        <v>1500</v>
      </c>
      <c r="AE47" s="18">
        <f>AD47*F47</f>
        <v>15000</v>
      </c>
      <c r="AF47" s="21">
        <f>SUM($C$7:C47)-SUM($O$7:O47)</f>
        <v>0</v>
      </c>
      <c r="AG47" s="18">
        <f>AF47/D47</f>
        <v>0</v>
      </c>
      <c r="AH47" s="18">
        <f>AE47+AC47</f>
        <v>15794.953488372139</v>
      </c>
      <c r="AI47" s="18">
        <f>AH47-AG47-SUM($AA$7:AA47)</f>
        <v>15794.953488372139</v>
      </c>
      <c r="AJ47" s="24">
        <f>R47+U47+MIN(Z47,V47)+AA47-Q47</f>
        <v>0</v>
      </c>
    </row>
    <row r="48" spans="1:36" ht="15" customHeight="1">
      <c r="A48" s="15">
        <f>EDATE(DATE(YEAR(参数设置!$B$4),MONTH(参数设置!$B$4),1),ROW()-7)</f>
        <v>47484</v>
      </c>
      <c r="B48" s="26" t="s">
        <v>96</v>
      </c>
      <c r="C48" s="7">
        <v>0</v>
      </c>
      <c r="D48" s="9">
        <v>0.86</v>
      </c>
      <c r="E48" s="18">
        <f>IF(B48=策略字典!$A$1,C48/D48,0)</f>
        <v>0</v>
      </c>
      <c r="F48" s="12">
        <v>10</v>
      </c>
      <c r="G48" s="8">
        <v>500</v>
      </c>
      <c r="H48" s="23">
        <f>IF(E48=0,0,FLOOR((E48-J48)/F48,G48))</f>
        <v>0</v>
      </c>
      <c r="I48" s="18">
        <f>H48*F48</f>
        <v>0</v>
      </c>
      <c r="J48" s="12">
        <v>0</v>
      </c>
      <c r="K48" s="18">
        <f>MAX(0,E48-I48-J48)</f>
        <v>0</v>
      </c>
      <c r="L48" s="23">
        <f>IF(ROW()=7,0,AD47)</f>
        <v>1500</v>
      </c>
      <c r="M48" s="18">
        <f>0</f>
        <v>0</v>
      </c>
      <c r="N48" s="12">
        <v>0.05</v>
      </c>
      <c r="O48" s="21">
        <f>SUMIFS(实际贷款明细!$I$4:$I$435,实际贷款明细!$G$4:$G$435,"&gt;="&amp;A48,实际贷款明细!$G$4:$G$435,"&lt;"&amp;EDATE(A48,1))</f>
        <v>0</v>
      </c>
      <c r="P48" s="21">
        <f>SUMIFS(实际贷款明细!$J$4:$J$435,实际贷款明细!$G$4:$G$435,"&gt;="&amp;A48,实际贷款明细!$G$4:$G$435,"&lt;"&amp;EDATE(A48,1))</f>
        <v>0</v>
      </c>
      <c r="Q48" s="18">
        <f>(O48+P48)/D48</f>
        <v>0</v>
      </c>
      <c r="R48" s="18">
        <f>IF(B48=策略字典!$A$2,MIN(C48,O48)/D48,0)</f>
        <v>0</v>
      </c>
      <c r="S48" s="18">
        <f>IF(ROW()=7,0,AC47)</f>
        <v>794.95348837213896</v>
      </c>
      <c r="T48" s="18">
        <f>S48+L48*N48+K48</f>
        <v>869.95348837213896</v>
      </c>
      <c r="U48" s="18">
        <f>MIN(T48,MAX(0,Q48-R48))</f>
        <v>0</v>
      </c>
      <c r="V48" s="18">
        <f>MAX(0,Q48-R48-U48)</f>
        <v>0</v>
      </c>
      <c r="W48" s="23">
        <f>IF(B48=策略字典!$A$3,MIN(L48+H48,CEILING(V48/(F48*(1-参数设置!$B$23)),G48)),0)</f>
        <v>0</v>
      </c>
      <c r="X48" s="18">
        <f>W48*F48</f>
        <v>0</v>
      </c>
      <c r="Y48" s="18">
        <f>X48*参数设置!$B$23</f>
        <v>0</v>
      </c>
      <c r="Z48" s="18">
        <f>X48-Y48</f>
        <v>0</v>
      </c>
      <c r="AA48" s="18">
        <f>MAX(0,V48-Z48)</f>
        <v>0</v>
      </c>
      <c r="AB48" s="18">
        <f>MAX(0,Z48-V48)</f>
        <v>0</v>
      </c>
      <c r="AC48" s="18">
        <f>T48-U48+AB48</f>
        <v>869.95348837213896</v>
      </c>
      <c r="AD48" s="23">
        <f>MAX(0,L48+H48-W48)</f>
        <v>1500</v>
      </c>
      <c r="AE48" s="18">
        <f>AD48*F48</f>
        <v>15000</v>
      </c>
      <c r="AF48" s="21">
        <f>SUM($C$7:C48)-SUM($O$7:O48)</f>
        <v>0</v>
      </c>
      <c r="AG48" s="18">
        <f>AF48/D48</f>
        <v>0</v>
      </c>
      <c r="AH48" s="18">
        <f>AE48+AC48</f>
        <v>15869.953488372139</v>
      </c>
      <c r="AI48" s="18">
        <f>AH48-AG48-SUM($AA$7:AA48)</f>
        <v>15869.953488372139</v>
      </c>
      <c r="AJ48" s="24">
        <f>R48+U48+MIN(Z48,V48)+AA48-Q48</f>
        <v>0</v>
      </c>
    </row>
    <row r="49" spans="1:36" ht="15" customHeight="1">
      <c r="A49" s="15">
        <f>EDATE(DATE(YEAR(参数设置!$B$4),MONTH(参数设置!$B$4),1),ROW()-7)</f>
        <v>47515</v>
      </c>
      <c r="B49" s="26" t="s">
        <v>96</v>
      </c>
      <c r="C49" s="7">
        <v>0</v>
      </c>
      <c r="D49" s="9">
        <v>0.86</v>
      </c>
      <c r="E49" s="18">
        <f>IF(B49=策略字典!$A$1,C49/D49,0)</f>
        <v>0</v>
      </c>
      <c r="F49" s="12">
        <v>10</v>
      </c>
      <c r="G49" s="8">
        <v>500</v>
      </c>
      <c r="H49" s="23">
        <f>IF(E49=0,0,FLOOR((E49-J49)/F49,G49))</f>
        <v>0</v>
      </c>
      <c r="I49" s="18">
        <f>H49*F49</f>
        <v>0</v>
      </c>
      <c r="J49" s="12">
        <v>0</v>
      </c>
      <c r="K49" s="18">
        <f>MAX(0,E49-I49-J49)</f>
        <v>0</v>
      </c>
      <c r="L49" s="23">
        <f>IF(ROW()=7,0,AD48)</f>
        <v>1500</v>
      </c>
      <c r="M49" s="18">
        <f>0</f>
        <v>0</v>
      </c>
      <c r="N49" s="12">
        <v>0.05</v>
      </c>
      <c r="O49" s="21">
        <f>SUMIFS(实际贷款明细!$I$4:$I$435,实际贷款明细!$G$4:$G$435,"&gt;="&amp;A49,实际贷款明细!$G$4:$G$435,"&lt;"&amp;EDATE(A49,1))</f>
        <v>0</v>
      </c>
      <c r="P49" s="21">
        <f>SUMIFS(实际贷款明细!$J$4:$J$435,实际贷款明细!$G$4:$G$435,"&gt;="&amp;A49,实际贷款明细!$G$4:$G$435,"&lt;"&amp;EDATE(A49,1))</f>
        <v>0</v>
      </c>
      <c r="Q49" s="18">
        <f>(O49+P49)/D49</f>
        <v>0</v>
      </c>
      <c r="R49" s="18">
        <f>IF(B49=策略字典!$A$2,MIN(C49,O49)/D49,0)</f>
        <v>0</v>
      </c>
      <c r="S49" s="18">
        <f>IF(ROW()=7,0,AC48)</f>
        <v>869.95348837213896</v>
      </c>
      <c r="T49" s="18">
        <f>S49+L49*N49+K49</f>
        <v>944.95348837213896</v>
      </c>
      <c r="U49" s="18">
        <f>MIN(T49,MAX(0,Q49-R49))</f>
        <v>0</v>
      </c>
      <c r="V49" s="18">
        <f>MAX(0,Q49-R49-U49)</f>
        <v>0</v>
      </c>
      <c r="W49" s="23">
        <f>IF(B49=策略字典!$A$3,MIN(L49+H49,CEILING(V49/(F49*(1-参数设置!$B$23)),G49)),0)</f>
        <v>0</v>
      </c>
      <c r="X49" s="18">
        <f>W49*F49</f>
        <v>0</v>
      </c>
      <c r="Y49" s="18">
        <f>X49*参数设置!$B$23</f>
        <v>0</v>
      </c>
      <c r="Z49" s="18">
        <f>X49-Y49</f>
        <v>0</v>
      </c>
      <c r="AA49" s="18">
        <f>MAX(0,V49-Z49)</f>
        <v>0</v>
      </c>
      <c r="AB49" s="18">
        <f>MAX(0,Z49-V49)</f>
        <v>0</v>
      </c>
      <c r="AC49" s="18">
        <f>T49-U49+AB49</f>
        <v>944.95348837213896</v>
      </c>
      <c r="AD49" s="23">
        <f>MAX(0,L49+H49-W49)</f>
        <v>1500</v>
      </c>
      <c r="AE49" s="18">
        <f>AD49*F49</f>
        <v>15000</v>
      </c>
      <c r="AF49" s="21">
        <f>SUM($C$7:C49)-SUM($O$7:O49)</f>
        <v>0</v>
      </c>
      <c r="AG49" s="18">
        <f>AF49/D49</f>
        <v>0</v>
      </c>
      <c r="AH49" s="18">
        <f>AE49+AC49</f>
        <v>15944.953488372139</v>
      </c>
      <c r="AI49" s="18">
        <f>AH49-AG49-SUM($AA$7:AA49)</f>
        <v>15944.953488372139</v>
      </c>
      <c r="AJ49" s="24">
        <f>R49+U49+MIN(Z49,V49)+AA49-Q49</f>
        <v>0</v>
      </c>
    </row>
    <row r="50" spans="1:36" ht="15" customHeight="1">
      <c r="A50" s="15">
        <f>EDATE(DATE(YEAR(参数设置!$B$4),MONTH(参数设置!$B$4),1),ROW()-7)</f>
        <v>47543</v>
      </c>
      <c r="B50" s="26" t="s">
        <v>96</v>
      </c>
      <c r="C50" s="7">
        <v>0</v>
      </c>
      <c r="D50" s="9">
        <v>0.86</v>
      </c>
      <c r="E50" s="18">
        <f>IF(B50=策略字典!$A$1,C50/D50,0)</f>
        <v>0</v>
      </c>
      <c r="F50" s="12">
        <v>10</v>
      </c>
      <c r="G50" s="8">
        <v>500</v>
      </c>
      <c r="H50" s="23">
        <f>IF(E50=0,0,FLOOR((E50-J50)/F50,G50))</f>
        <v>0</v>
      </c>
      <c r="I50" s="18">
        <f>H50*F50</f>
        <v>0</v>
      </c>
      <c r="J50" s="12">
        <v>0</v>
      </c>
      <c r="K50" s="18">
        <f>MAX(0,E50-I50-J50)</f>
        <v>0</v>
      </c>
      <c r="L50" s="23">
        <f>IF(ROW()=7,0,AD49)</f>
        <v>1500</v>
      </c>
      <c r="M50" s="18">
        <f>0</f>
        <v>0</v>
      </c>
      <c r="N50" s="12">
        <v>0.05</v>
      </c>
      <c r="O50" s="21">
        <f>SUMIFS(实际贷款明细!$I$4:$I$435,实际贷款明细!$G$4:$G$435,"&gt;="&amp;A50,实际贷款明细!$G$4:$G$435,"&lt;"&amp;EDATE(A50,1))</f>
        <v>0</v>
      </c>
      <c r="P50" s="21">
        <f>SUMIFS(实际贷款明细!$J$4:$J$435,实际贷款明细!$G$4:$G$435,"&gt;="&amp;A50,实际贷款明细!$G$4:$G$435,"&lt;"&amp;EDATE(A50,1))</f>
        <v>0</v>
      </c>
      <c r="Q50" s="18">
        <f>(O50+P50)/D50</f>
        <v>0</v>
      </c>
      <c r="R50" s="18">
        <f>IF(B50=策略字典!$A$2,MIN(C50,O50)/D50,0)</f>
        <v>0</v>
      </c>
      <c r="S50" s="18">
        <f>IF(ROW()=7,0,AC49)</f>
        <v>944.95348837213896</v>
      </c>
      <c r="T50" s="18">
        <f>S50+L50*N50+K50</f>
        <v>1019.953488372139</v>
      </c>
      <c r="U50" s="18">
        <f>MIN(T50,MAX(0,Q50-R50))</f>
        <v>0</v>
      </c>
      <c r="V50" s="18">
        <f>MAX(0,Q50-R50-U50)</f>
        <v>0</v>
      </c>
      <c r="W50" s="23">
        <f>IF(B50=策略字典!$A$3,MIN(L50+H50,CEILING(V50/(F50*(1-参数设置!$B$23)),G50)),0)</f>
        <v>0</v>
      </c>
      <c r="X50" s="18">
        <f>W50*F50</f>
        <v>0</v>
      </c>
      <c r="Y50" s="18">
        <f>X50*参数设置!$B$23</f>
        <v>0</v>
      </c>
      <c r="Z50" s="18">
        <f>X50-Y50</f>
        <v>0</v>
      </c>
      <c r="AA50" s="18">
        <f>MAX(0,V50-Z50)</f>
        <v>0</v>
      </c>
      <c r="AB50" s="18">
        <f>MAX(0,Z50-V50)</f>
        <v>0</v>
      </c>
      <c r="AC50" s="18">
        <f>T50-U50+AB50</f>
        <v>1019.953488372139</v>
      </c>
      <c r="AD50" s="23">
        <f>MAX(0,L50+H50-W50)</f>
        <v>1500</v>
      </c>
      <c r="AE50" s="18">
        <f>AD50*F50</f>
        <v>15000</v>
      </c>
      <c r="AF50" s="21">
        <f>SUM($C$7:C50)-SUM($O$7:O50)</f>
        <v>0</v>
      </c>
      <c r="AG50" s="18">
        <f>AF50/D50</f>
        <v>0</v>
      </c>
      <c r="AH50" s="18">
        <f>AE50+AC50</f>
        <v>16019.953488372139</v>
      </c>
      <c r="AI50" s="18">
        <f>AH50-AG50-SUM($AA$7:AA50)</f>
        <v>16019.953488372139</v>
      </c>
      <c r="AJ50" s="24">
        <f>R50+U50+MIN(Z50,V50)+AA50-Q50</f>
        <v>0</v>
      </c>
    </row>
    <row r="51" spans="1:36" ht="15" customHeight="1">
      <c r="A51" s="15">
        <f>EDATE(DATE(YEAR(参数设置!$B$4),MONTH(参数设置!$B$4),1),ROW()-7)</f>
        <v>47574</v>
      </c>
      <c r="B51" s="26" t="s">
        <v>96</v>
      </c>
      <c r="C51" s="7">
        <v>0</v>
      </c>
      <c r="D51" s="9">
        <v>0.86</v>
      </c>
      <c r="E51" s="18">
        <f>IF(B51=策略字典!$A$1,C51/D51,0)</f>
        <v>0</v>
      </c>
      <c r="F51" s="12">
        <v>10</v>
      </c>
      <c r="G51" s="8">
        <v>500</v>
      </c>
      <c r="H51" s="23">
        <f>IF(E51=0,0,FLOOR((E51-J51)/F51,G51))</f>
        <v>0</v>
      </c>
      <c r="I51" s="18">
        <f>H51*F51</f>
        <v>0</v>
      </c>
      <c r="J51" s="12">
        <v>0</v>
      </c>
      <c r="K51" s="18">
        <f>MAX(0,E51-I51-J51)</f>
        <v>0</v>
      </c>
      <c r="L51" s="23">
        <f>IF(ROW()=7,0,AD50)</f>
        <v>1500</v>
      </c>
      <c r="M51" s="18">
        <f>0</f>
        <v>0</v>
      </c>
      <c r="N51" s="12">
        <v>0.05</v>
      </c>
      <c r="O51" s="21">
        <f>SUMIFS(实际贷款明细!$I$4:$I$435,实际贷款明细!$G$4:$G$435,"&gt;="&amp;A51,实际贷款明细!$G$4:$G$435,"&lt;"&amp;EDATE(A51,1))</f>
        <v>0</v>
      </c>
      <c r="P51" s="21">
        <f>SUMIFS(实际贷款明细!$J$4:$J$435,实际贷款明细!$G$4:$G$435,"&gt;="&amp;A51,实际贷款明细!$G$4:$G$435,"&lt;"&amp;EDATE(A51,1))</f>
        <v>0</v>
      </c>
      <c r="Q51" s="18">
        <f>(O51+P51)/D51</f>
        <v>0</v>
      </c>
      <c r="R51" s="18">
        <f>IF(B51=策略字典!$A$2,MIN(C51,O51)/D51,0)</f>
        <v>0</v>
      </c>
      <c r="S51" s="18">
        <f>IF(ROW()=7,0,AC50)</f>
        <v>1019.953488372139</v>
      </c>
      <c r="T51" s="18">
        <f>S51+L51*N51+K51</f>
        <v>1094.953488372139</v>
      </c>
      <c r="U51" s="18">
        <f>MIN(T51,MAX(0,Q51-R51))</f>
        <v>0</v>
      </c>
      <c r="V51" s="18">
        <f>MAX(0,Q51-R51-U51)</f>
        <v>0</v>
      </c>
      <c r="W51" s="23">
        <f>IF(B51=策略字典!$A$3,MIN(L51+H51,CEILING(V51/(F51*(1-参数设置!$B$23)),G51)),0)</f>
        <v>0</v>
      </c>
      <c r="X51" s="18">
        <f>W51*F51</f>
        <v>0</v>
      </c>
      <c r="Y51" s="18">
        <f>X51*参数设置!$B$23</f>
        <v>0</v>
      </c>
      <c r="Z51" s="18">
        <f>X51-Y51</f>
        <v>0</v>
      </c>
      <c r="AA51" s="18">
        <f>MAX(0,V51-Z51)</f>
        <v>0</v>
      </c>
      <c r="AB51" s="18">
        <f>MAX(0,Z51-V51)</f>
        <v>0</v>
      </c>
      <c r="AC51" s="18">
        <f>T51-U51+AB51</f>
        <v>1094.953488372139</v>
      </c>
      <c r="AD51" s="23">
        <f>MAX(0,L51+H51-W51)</f>
        <v>1500</v>
      </c>
      <c r="AE51" s="18">
        <f>AD51*F51</f>
        <v>15000</v>
      </c>
      <c r="AF51" s="21">
        <f>SUM($C$7:C51)-SUM($O$7:O51)</f>
        <v>0</v>
      </c>
      <c r="AG51" s="18">
        <f>AF51/D51</f>
        <v>0</v>
      </c>
      <c r="AH51" s="18">
        <f>AE51+AC51</f>
        <v>16094.953488372139</v>
      </c>
      <c r="AI51" s="18">
        <f>AH51-AG51-SUM($AA$7:AA51)</f>
        <v>16094.953488372139</v>
      </c>
      <c r="AJ51" s="24">
        <f>R51+U51+MIN(Z51,V51)+AA51-Q51</f>
        <v>0</v>
      </c>
    </row>
    <row r="52" spans="1:36" ht="15" customHeight="1">
      <c r="A52" s="15">
        <f>EDATE(DATE(YEAR(参数设置!$B$4),MONTH(参数设置!$B$4),1),ROW()-7)</f>
        <v>47604</v>
      </c>
      <c r="B52" s="26" t="s">
        <v>96</v>
      </c>
      <c r="C52" s="7">
        <v>0</v>
      </c>
      <c r="D52" s="9">
        <v>0.86</v>
      </c>
      <c r="E52" s="18">
        <f>IF(B52=策略字典!$A$1,C52/D52,0)</f>
        <v>0</v>
      </c>
      <c r="F52" s="12">
        <v>10</v>
      </c>
      <c r="G52" s="8">
        <v>500</v>
      </c>
      <c r="H52" s="23">
        <f>IF(E52=0,0,FLOOR((E52-J52)/F52,G52))</f>
        <v>0</v>
      </c>
      <c r="I52" s="18">
        <f>H52*F52</f>
        <v>0</v>
      </c>
      <c r="J52" s="12">
        <v>0</v>
      </c>
      <c r="K52" s="18">
        <f>MAX(0,E52-I52-J52)</f>
        <v>0</v>
      </c>
      <c r="L52" s="23">
        <f>IF(ROW()=7,0,AD51)</f>
        <v>1500</v>
      </c>
      <c r="M52" s="18">
        <f>0</f>
        <v>0</v>
      </c>
      <c r="N52" s="12">
        <v>0.05</v>
      </c>
      <c r="O52" s="21">
        <f>SUMIFS(实际贷款明细!$I$4:$I$435,实际贷款明细!$G$4:$G$435,"&gt;="&amp;A52,实际贷款明细!$G$4:$G$435,"&lt;"&amp;EDATE(A52,1))</f>
        <v>0</v>
      </c>
      <c r="P52" s="21">
        <f>SUMIFS(实际贷款明细!$J$4:$J$435,实际贷款明细!$G$4:$G$435,"&gt;="&amp;A52,实际贷款明细!$G$4:$G$435,"&lt;"&amp;EDATE(A52,1))</f>
        <v>0</v>
      </c>
      <c r="Q52" s="18">
        <f>(O52+P52)/D52</f>
        <v>0</v>
      </c>
      <c r="R52" s="18">
        <f>IF(B52=策略字典!$A$2,MIN(C52,O52)/D52,0)</f>
        <v>0</v>
      </c>
      <c r="S52" s="18">
        <f>IF(ROW()=7,0,AC51)</f>
        <v>1094.953488372139</v>
      </c>
      <c r="T52" s="18">
        <f>S52+L52*N52+K52</f>
        <v>1169.953488372139</v>
      </c>
      <c r="U52" s="18">
        <f>MIN(T52,MAX(0,Q52-R52))</f>
        <v>0</v>
      </c>
      <c r="V52" s="18">
        <f>MAX(0,Q52-R52-U52)</f>
        <v>0</v>
      </c>
      <c r="W52" s="23">
        <f>IF(B52=策略字典!$A$3,MIN(L52+H52,CEILING(V52/(F52*(1-参数设置!$B$23)),G52)),0)</f>
        <v>0</v>
      </c>
      <c r="X52" s="18">
        <f>W52*F52</f>
        <v>0</v>
      </c>
      <c r="Y52" s="18">
        <f>X52*参数设置!$B$23</f>
        <v>0</v>
      </c>
      <c r="Z52" s="18">
        <f>X52-Y52</f>
        <v>0</v>
      </c>
      <c r="AA52" s="18">
        <f>MAX(0,V52-Z52)</f>
        <v>0</v>
      </c>
      <c r="AB52" s="18">
        <f>MAX(0,Z52-V52)</f>
        <v>0</v>
      </c>
      <c r="AC52" s="18">
        <f>T52-U52+AB52</f>
        <v>1169.953488372139</v>
      </c>
      <c r="AD52" s="23">
        <f>MAX(0,L52+H52-W52)</f>
        <v>1500</v>
      </c>
      <c r="AE52" s="18">
        <f>AD52*F52</f>
        <v>15000</v>
      </c>
      <c r="AF52" s="21">
        <f>SUM($C$7:C52)-SUM($O$7:O52)</f>
        <v>0</v>
      </c>
      <c r="AG52" s="18">
        <f>AF52/D52</f>
        <v>0</v>
      </c>
      <c r="AH52" s="18">
        <f>AE52+AC52</f>
        <v>16169.953488372139</v>
      </c>
      <c r="AI52" s="18">
        <f>AH52-AG52-SUM($AA$7:AA52)</f>
        <v>16169.953488372139</v>
      </c>
      <c r="AJ52" s="24">
        <f>R52+U52+MIN(Z52,V52)+AA52-Q52</f>
        <v>0</v>
      </c>
    </row>
    <row r="53" spans="1:36" ht="15" customHeight="1">
      <c r="A53" s="15">
        <f>EDATE(DATE(YEAR(参数设置!$B$4),MONTH(参数设置!$B$4),1),ROW()-7)</f>
        <v>47635</v>
      </c>
      <c r="B53" s="26" t="s">
        <v>96</v>
      </c>
      <c r="C53" s="7">
        <v>0</v>
      </c>
      <c r="D53" s="9">
        <v>0.86</v>
      </c>
      <c r="E53" s="18">
        <f>IF(B53=策略字典!$A$1,C53/D53,0)</f>
        <v>0</v>
      </c>
      <c r="F53" s="12">
        <v>10</v>
      </c>
      <c r="G53" s="8">
        <v>500</v>
      </c>
      <c r="H53" s="23">
        <f>IF(E53=0,0,FLOOR((E53-J53)/F53,G53))</f>
        <v>0</v>
      </c>
      <c r="I53" s="18">
        <f>H53*F53</f>
        <v>0</v>
      </c>
      <c r="J53" s="12">
        <v>0</v>
      </c>
      <c r="K53" s="18">
        <f>MAX(0,E53-I53-J53)</f>
        <v>0</v>
      </c>
      <c r="L53" s="23">
        <f>IF(ROW()=7,0,AD52)</f>
        <v>1500</v>
      </c>
      <c r="M53" s="18">
        <f>0</f>
        <v>0</v>
      </c>
      <c r="N53" s="12">
        <v>0.05</v>
      </c>
      <c r="O53" s="21">
        <f>SUMIFS(实际贷款明细!$I$4:$I$435,实际贷款明细!$G$4:$G$435,"&gt;="&amp;A53,实际贷款明细!$G$4:$G$435,"&lt;"&amp;EDATE(A53,1))</f>
        <v>0</v>
      </c>
      <c r="P53" s="21">
        <f>SUMIFS(实际贷款明细!$J$4:$J$435,实际贷款明细!$G$4:$G$435,"&gt;="&amp;A53,实际贷款明细!$G$4:$G$435,"&lt;"&amp;EDATE(A53,1))</f>
        <v>0</v>
      </c>
      <c r="Q53" s="18">
        <f>(O53+P53)/D53</f>
        <v>0</v>
      </c>
      <c r="R53" s="18">
        <f>IF(B53=策略字典!$A$2,MIN(C53,O53)/D53,0)</f>
        <v>0</v>
      </c>
      <c r="S53" s="18">
        <f>IF(ROW()=7,0,AC52)</f>
        <v>1169.953488372139</v>
      </c>
      <c r="T53" s="18">
        <f>S53+L53*N53+K53</f>
        <v>1244.953488372139</v>
      </c>
      <c r="U53" s="18">
        <f>MIN(T53,MAX(0,Q53-R53))</f>
        <v>0</v>
      </c>
      <c r="V53" s="18">
        <f>MAX(0,Q53-R53-U53)</f>
        <v>0</v>
      </c>
      <c r="W53" s="23">
        <f>IF(B53=策略字典!$A$3,MIN(L53+H53,CEILING(V53/(F53*(1-参数设置!$B$23)),G53)),0)</f>
        <v>0</v>
      </c>
      <c r="X53" s="18">
        <f>W53*F53</f>
        <v>0</v>
      </c>
      <c r="Y53" s="18">
        <f>X53*参数设置!$B$23</f>
        <v>0</v>
      </c>
      <c r="Z53" s="18">
        <f>X53-Y53</f>
        <v>0</v>
      </c>
      <c r="AA53" s="18">
        <f>MAX(0,V53-Z53)</f>
        <v>0</v>
      </c>
      <c r="AB53" s="18">
        <f>MAX(0,Z53-V53)</f>
        <v>0</v>
      </c>
      <c r="AC53" s="18">
        <f>T53-U53+AB53</f>
        <v>1244.953488372139</v>
      </c>
      <c r="AD53" s="23">
        <f>MAX(0,L53+H53-W53)</f>
        <v>1500</v>
      </c>
      <c r="AE53" s="18">
        <f>AD53*F53</f>
        <v>15000</v>
      </c>
      <c r="AF53" s="21">
        <f>SUM($C$7:C53)-SUM($O$7:O53)</f>
        <v>0</v>
      </c>
      <c r="AG53" s="18">
        <f>AF53/D53</f>
        <v>0</v>
      </c>
      <c r="AH53" s="18">
        <f>AE53+AC53</f>
        <v>16244.953488372139</v>
      </c>
      <c r="AI53" s="18">
        <f>AH53-AG53-SUM($AA$7:AA53)</f>
        <v>16244.953488372139</v>
      </c>
      <c r="AJ53" s="24">
        <f>R53+U53+MIN(Z53,V53)+AA53-Q53</f>
        <v>0</v>
      </c>
    </row>
    <row r="54" spans="1:36" ht="15" customHeight="1">
      <c r="A54" s="15">
        <f>EDATE(DATE(YEAR(参数设置!$B$4),MONTH(参数设置!$B$4),1),ROW()-7)</f>
        <v>47665</v>
      </c>
      <c r="B54" s="26" t="s">
        <v>96</v>
      </c>
      <c r="C54" s="7">
        <v>0</v>
      </c>
      <c r="D54" s="9">
        <v>0.86</v>
      </c>
      <c r="E54" s="18">
        <f>IF(B54=策略字典!$A$1,C54/D54,0)</f>
        <v>0</v>
      </c>
      <c r="F54" s="12">
        <v>10</v>
      </c>
      <c r="G54" s="8">
        <v>500</v>
      </c>
      <c r="H54" s="23">
        <f>IF(E54=0,0,FLOOR((E54-J54)/F54,G54))</f>
        <v>0</v>
      </c>
      <c r="I54" s="18">
        <f>H54*F54</f>
        <v>0</v>
      </c>
      <c r="J54" s="12">
        <v>0</v>
      </c>
      <c r="K54" s="18">
        <f>MAX(0,E54-I54-J54)</f>
        <v>0</v>
      </c>
      <c r="L54" s="23">
        <f>IF(ROW()=7,0,AD53)</f>
        <v>1500</v>
      </c>
      <c r="M54" s="18">
        <f>0</f>
        <v>0</v>
      </c>
      <c r="N54" s="12">
        <v>0.05</v>
      </c>
      <c r="O54" s="21">
        <f>SUMIFS(实际贷款明细!$I$4:$I$435,实际贷款明细!$G$4:$G$435,"&gt;="&amp;A54,实际贷款明细!$G$4:$G$435,"&lt;"&amp;EDATE(A54,1))</f>
        <v>0</v>
      </c>
      <c r="P54" s="21">
        <f>SUMIFS(实际贷款明细!$J$4:$J$435,实际贷款明细!$G$4:$G$435,"&gt;="&amp;A54,实际贷款明细!$G$4:$G$435,"&lt;"&amp;EDATE(A54,1))</f>
        <v>0</v>
      </c>
      <c r="Q54" s="18">
        <f>(O54+P54)/D54</f>
        <v>0</v>
      </c>
      <c r="R54" s="18">
        <f>IF(B54=策略字典!$A$2,MIN(C54,O54)/D54,0)</f>
        <v>0</v>
      </c>
      <c r="S54" s="18">
        <f>IF(ROW()=7,0,AC53)</f>
        <v>1244.953488372139</v>
      </c>
      <c r="T54" s="18">
        <f>S54+L54*N54+K54</f>
        <v>1319.953488372139</v>
      </c>
      <c r="U54" s="18">
        <f>MIN(T54,MAX(0,Q54-R54))</f>
        <v>0</v>
      </c>
      <c r="V54" s="18">
        <f>MAX(0,Q54-R54-U54)</f>
        <v>0</v>
      </c>
      <c r="W54" s="23">
        <f>IF(B54=策略字典!$A$3,MIN(L54+H54,CEILING(V54/(F54*(1-参数设置!$B$23)),G54)),0)</f>
        <v>0</v>
      </c>
      <c r="X54" s="18">
        <f>W54*F54</f>
        <v>0</v>
      </c>
      <c r="Y54" s="18">
        <f>X54*参数设置!$B$23</f>
        <v>0</v>
      </c>
      <c r="Z54" s="18">
        <f>X54-Y54</f>
        <v>0</v>
      </c>
      <c r="AA54" s="18">
        <f>MAX(0,V54-Z54)</f>
        <v>0</v>
      </c>
      <c r="AB54" s="18">
        <f>MAX(0,Z54-V54)</f>
        <v>0</v>
      </c>
      <c r="AC54" s="18">
        <f>T54-U54+AB54</f>
        <v>1319.953488372139</v>
      </c>
      <c r="AD54" s="23">
        <f>MAX(0,L54+H54-W54)</f>
        <v>1500</v>
      </c>
      <c r="AE54" s="18">
        <f>AD54*F54</f>
        <v>15000</v>
      </c>
      <c r="AF54" s="21">
        <f>SUM($C$7:C54)-SUM($O$7:O54)</f>
        <v>0</v>
      </c>
      <c r="AG54" s="18">
        <f>AF54/D54</f>
        <v>0</v>
      </c>
      <c r="AH54" s="18">
        <f>AE54+AC54</f>
        <v>16319.953488372139</v>
      </c>
      <c r="AI54" s="18">
        <f>AH54-AG54-SUM($AA$7:AA54)</f>
        <v>16319.953488372139</v>
      </c>
      <c r="AJ54" s="24">
        <f>R54+U54+MIN(Z54,V54)+AA54-Q54</f>
        <v>0</v>
      </c>
    </row>
  </sheetData>
  <autoFilter ref="A6:AJ54" xr:uid="{00000000-0009-0000-0000-000005000000}"/>
  <mergeCells count="1">
    <mergeCell ref="A1:AJ1"/>
  </mergeCells>
  <pageMargins left="0.75" right="0.75" top="1" bottom="1" header="0.511811023622047" footer="0.511811023622047"/>
  <pageSetup paperSize="9" orientation="portrait" horizontalDpi="300" verticalDpi="300"/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500-000000000000}">
          <x14:formula1>
            <xm:f>策略字典!$A$1:$A$3</xm:f>
          </x14:formula1>
          <x14:formula2>
            <xm:f>0</xm:f>
          </x14:formula2>
          <xm:sqref>B7:B42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435"/>
  <sheetViews>
    <sheetView showGridLines="0" zoomScaleNormal="100" workbookViewId="0">
      <pane ySplit="3" topLeftCell="A4" activePane="bottomLeft" state="frozen"/>
      <selection pane="bottomLeft"/>
    </sheetView>
  </sheetViews>
  <sheetFormatPr defaultColWidth="8.7109375" defaultRowHeight="15"/>
  <cols>
    <col min="1" max="2" width="10" customWidth="1"/>
    <col min="3" max="3" width="13" customWidth="1"/>
    <col min="4" max="4" width="18" customWidth="1"/>
    <col min="5" max="5" width="8" customWidth="1"/>
    <col min="6" max="7" width="13" customWidth="1"/>
    <col min="8" max="8" width="10" customWidth="1"/>
    <col min="9" max="11" width="18" customWidth="1"/>
    <col min="12" max="12" width="13" customWidth="1"/>
    <col min="13" max="13" width="10" customWidth="1"/>
  </cols>
  <sheetData>
    <row r="1" spans="1:13" ht="24.75" customHeight="1">
      <c r="A1" s="27" t="s">
        <v>113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</row>
    <row r="3" spans="1:13" ht="27.75" customHeight="1">
      <c r="A3" s="14" t="s">
        <v>98</v>
      </c>
      <c r="B3" s="14" t="s">
        <v>99</v>
      </c>
      <c r="C3" s="14" t="s">
        <v>100</v>
      </c>
      <c r="D3" s="14" t="s">
        <v>101</v>
      </c>
      <c r="E3" s="14" t="s">
        <v>102</v>
      </c>
      <c r="F3" s="14" t="s">
        <v>103</v>
      </c>
      <c r="G3" s="14" t="s">
        <v>104</v>
      </c>
      <c r="H3" s="14" t="s">
        <v>105</v>
      </c>
      <c r="I3" s="14" t="s">
        <v>106</v>
      </c>
      <c r="J3" s="14" t="s">
        <v>107</v>
      </c>
      <c r="K3" s="14" t="s">
        <v>108</v>
      </c>
      <c r="L3" s="14" t="s">
        <v>109</v>
      </c>
      <c r="M3" s="14" t="s">
        <v>110</v>
      </c>
    </row>
    <row r="4" spans="1:13" ht="15" customHeight="1">
      <c r="A4">
        <v>1</v>
      </c>
      <c r="B4">
        <v>1</v>
      </c>
      <c r="C4" s="25">
        <f>INDEX(实际执行追踪!$A$7:$A$42,A4)+DAY(参数设置!$B$4)-1</f>
        <v>46244</v>
      </c>
      <c r="D4" s="21">
        <f>INDEX(实际执行追踪!$C$7:$C$42,A4)</f>
        <v>23400</v>
      </c>
      <c r="E4">
        <v>1</v>
      </c>
      <c r="F4" s="25">
        <f>IF(E4=1,C4,G3)</f>
        <v>46244</v>
      </c>
      <c r="G4" s="25">
        <f>IF(E4&lt;参数设置!$B$13,DATE(YEAR(EDATE(C4,E4+1)),MONTH(EDATE(C4,E4+1)),参数设置!$B$14),EDATE(C4,参数设置!$B$13))</f>
        <v>46300</v>
      </c>
      <c r="H4">
        <f>G4-F4</f>
        <v>56</v>
      </c>
      <c r="I4" s="21">
        <f>IF(E4=参数设置!$B$13,D4,0)</f>
        <v>0</v>
      </c>
      <c r="J4" s="21">
        <f>IF(M4=1,ROUND(D4*参数设置!$B$11*H4/参数设置!$B$12,参数设置!$B$15),0)</f>
        <v>120.12</v>
      </c>
      <c r="K4" s="21">
        <f>I4+J4</f>
        <v>120.12</v>
      </c>
      <c r="L4" s="25">
        <f>EDATE(C4,参数设置!$B$13)</f>
        <v>46609</v>
      </c>
      <c r="M4">
        <f>--(D4&gt;0)</f>
        <v>1</v>
      </c>
    </row>
    <row r="5" spans="1:13" ht="15" customHeight="1">
      <c r="A5">
        <v>1</v>
      </c>
      <c r="B5">
        <v>1</v>
      </c>
      <c r="C5" s="25">
        <f>INDEX(实际执行追踪!$A$7:$A$42,A5)+DAY(参数设置!$B$4)-1</f>
        <v>46244</v>
      </c>
      <c r="D5" s="21">
        <f>INDEX(实际执行追踪!$C$7:$C$42,A5)</f>
        <v>23400</v>
      </c>
      <c r="E5">
        <v>2</v>
      </c>
      <c r="F5" s="25">
        <f>IF(E5=1,C5,G4)</f>
        <v>46300</v>
      </c>
      <c r="G5" s="25">
        <f>IF(E5&lt;参数设置!$B$13,DATE(YEAR(EDATE(C5,E5+1)),MONTH(EDATE(C5,E5+1)),参数设置!$B$14),EDATE(C5,参数设置!$B$13))</f>
        <v>46331</v>
      </c>
      <c r="H5">
        <f>G5-F5</f>
        <v>31</v>
      </c>
      <c r="I5" s="21">
        <f>IF(E5=参数设置!$B$13,D5,0)</f>
        <v>0</v>
      </c>
      <c r="J5" s="21">
        <f>IF(M5=1,ROUND(D5*参数设置!$B$11*H5/参数设置!$B$12,参数设置!$B$15),0)</f>
        <v>66.5</v>
      </c>
      <c r="K5" s="21">
        <f>I5+J5</f>
        <v>66.5</v>
      </c>
      <c r="L5" s="25">
        <f>EDATE(C5,参数设置!$B$13)</f>
        <v>46609</v>
      </c>
      <c r="M5">
        <f>--(D5&gt;0)</f>
        <v>1</v>
      </c>
    </row>
    <row r="6" spans="1:13" ht="15" customHeight="1">
      <c r="A6">
        <v>1</v>
      </c>
      <c r="B6">
        <v>1</v>
      </c>
      <c r="C6" s="25">
        <f>INDEX(实际执行追踪!$A$7:$A$42,A6)+DAY(参数设置!$B$4)-1</f>
        <v>46244</v>
      </c>
      <c r="D6" s="21">
        <f>INDEX(实际执行追踪!$C$7:$C$42,A6)</f>
        <v>23400</v>
      </c>
      <c r="E6">
        <v>3</v>
      </c>
      <c r="F6" s="25">
        <f>IF(E6=1,C6,G5)</f>
        <v>46331</v>
      </c>
      <c r="G6" s="25">
        <f>IF(E6&lt;参数设置!$B$13,DATE(YEAR(EDATE(C6,E6+1)),MONTH(EDATE(C6,E6+1)),参数设置!$B$14),EDATE(C6,参数设置!$B$13))</f>
        <v>46361</v>
      </c>
      <c r="H6">
        <f>G6-F6</f>
        <v>30</v>
      </c>
      <c r="I6" s="21">
        <f>IF(E6=参数设置!$B$13,D6,0)</f>
        <v>0</v>
      </c>
      <c r="J6" s="21">
        <f>IF(M6=1,ROUND(D6*参数设置!$B$11*H6/参数设置!$B$12,参数设置!$B$15),0)</f>
        <v>64.349999999999994</v>
      </c>
      <c r="K6" s="21">
        <f>I6+J6</f>
        <v>64.349999999999994</v>
      </c>
      <c r="L6" s="25">
        <f>EDATE(C6,参数设置!$B$13)</f>
        <v>46609</v>
      </c>
      <c r="M6">
        <f>--(D6&gt;0)</f>
        <v>1</v>
      </c>
    </row>
    <row r="7" spans="1:13" ht="15" customHeight="1">
      <c r="A7">
        <v>1</v>
      </c>
      <c r="B7">
        <v>1</v>
      </c>
      <c r="C7" s="25">
        <f>INDEX(实际执行追踪!$A$7:$A$42,A7)+DAY(参数设置!$B$4)-1</f>
        <v>46244</v>
      </c>
      <c r="D7" s="21">
        <f>INDEX(实际执行追踪!$C$7:$C$42,A7)</f>
        <v>23400</v>
      </c>
      <c r="E7">
        <v>4</v>
      </c>
      <c r="F7" s="25">
        <f>IF(E7=1,C7,G6)</f>
        <v>46361</v>
      </c>
      <c r="G7" s="25">
        <f>IF(E7&lt;参数设置!$B$13,DATE(YEAR(EDATE(C7,E7+1)),MONTH(EDATE(C7,E7+1)),参数设置!$B$14),EDATE(C7,参数设置!$B$13))</f>
        <v>46392</v>
      </c>
      <c r="H7">
        <f>G7-F7</f>
        <v>31</v>
      </c>
      <c r="I7" s="21">
        <f>IF(E7=参数设置!$B$13,D7,0)</f>
        <v>0</v>
      </c>
      <c r="J7" s="21">
        <f>IF(M7=1,ROUND(D7*参数设置!$B$11*H7/参数设置!$B$12,参数设置!$B$15),0)</f>
        <v>66.5</v>
      </c>
      <c r="K7" s="21">
        <f>I7+J7</f>
        <v>66.5</v>
      </c>
      <c r="L7" s="25">
        <f>EDATE(C7,参数设置!$B$13)</f>
        <v>46609</v>
      </c>
      <c r="M7">
        <f>--(D7&gt;0)</f>
        <v>1</v>
      </c>
    </row>
    <row r="8" spans="1:13" ht="15" customHeight="1">
      <c r="A8">
        <v>1</v>
      </c>
      <c r="B8">
        <v>1</v>
      </c>
      <c r="C8" s="25">
        <f>INDEX(实际执行追踪!$A$7:$A$42,A8)+DAY(参数设置!$B$4)-1</f>
        <v>46244</v>
      </c>
      <c r="D8" s="21">
        <f>INDEX(实际执行追踪!$C$7:$C$42,A8)</f>
        <v>23400</v>
      </c>
      <c r="E8">
        <v>5</v>
      </c>
      <c r="F8" s="25">
        <f>IF(E8=1,C8,G7)</f>
        <v>46392</v>
      </c>
      <c r="G8" s="25">
        <f>IF(E8&lt;参数设置!$B$13,DATE(YEAR(EDATE(C8,E8+1)),MONTH(EDATE(C8,E8+1)),参数设置!$B$14),EDATE(C8,参数设置!$B$13))</f>
        <v>46423</v>
      </c>
      <c r="H8">
        <f>G8-F8</f>
        <v>31</v>
      </c>
      <c r="I8" s="21">
        <f>IF(E8=参数设置!$B$13,D8,0)</f>
        <v>0</v>
      </c>
      <c r="J8" s="21">
        <f>IF(M8=1,ROUND(D8*参数设置!$B$11*H8/参数设置!$B$12,参数设置!$B$15),0)</f>
        <v>66.5</v>
      </c>
      <c r="K8" s="21">
        <f>I8+J8</f>
        <v>66.5</v>
      </c>
      <c r="L8" s="25">
        <f>EDATE(C8,参数设置!$B$13)</f>
        <v>46609</v>
      </c>
      <c r="M8">
        <f>--(D8&gt;0)</f>
        <v>1</v>
      </c>
    </row>
    <row r="9" spans="1:13" ht="15" customHeight="1">
      <c r="A9">
        <v>1</v>
      </c>
      <c r="B9">
        <v>1</v>
      </c>
      <c r="C9" s="25">
        <f>INDEX(实际执行追踪!$A$7:$A$42,A9)+DAY(参数设置!$B$4)-1</f>
        <v>46244</v>
      </c>
      <c r="D9" s="21">
        <f>INDEX(实际执行追踪!$C$7:$C$42,A9)</f>
        <v>23400</v>
      </c>
      <c r="E9">
        <v>6</v>
      </c>
      <c r="F9" s="25">
        <f>IF(E9=1,C9,G8)</f>
        <v>46423</v>
      </c>
      <c r="G9" s="25">
        <f>IF(E9&lt;参数设置!$B$13,DATE(YEAR(EDATE(C9,E9+1)),MONTH(EDATE(C9,E9+1)),参数设置!$B$14),EDATE(C9,参数设置!$B$13))</f>
        <v>46451</v>
      </c>
      <c r="H9">
        <f>G9-F9</f>
        <v>28</v>
      </c>
      <c r="I9" s="21">
        <f>IF(E9=参数设置!$B$13,D9,0)</f>
        <v>0</v>
      </c>
      <c r="J9" s="21">
        <f>IF(M9=1,ROUND(D9*参数设置!$B$11*H9/参数设置!$B$12,参数设置!$B$15),0)</f>
        <v>60.06</v>
      </c>
      <c r="K9" s="21">
        <f>I9+J9</f>
        <v>60.06</v>
      </c>
      <c r="L9" s="25">
        <f>EDATE(C9,参数设置!$B$13)</f>
        <v>46609</v>
      </c>
      <c r="M9">
        <f>--(D9&gt;0)</f>
        <v>1</v>
      </c>
    </row>
    <row r="10" spans="1:13" ht="15" customHeight="1">
      <c r="A10">
        <v>1</v>
      </c>
      <c r="B10">
        <v>1</v>
      </c>
      <c r="C10" s="25">
        <f>INDEX(实际执行追踪!$A$7:$A$42,A10)+DAY(参数设置!$B$4)-1</f>
        <v>46244</v>
      </c>
      <c r="D10" s="21">
        <f>INDEX(实际执行追踪!$C$7:$C$42,A10)</f>
        <v>23400</v>
      </c>
      <c r="E10">
        <v>7</v>
      </c>
      <c r="F10" s="25">
        <f>IF(E10=1,C10,G9)</f>
        <v>46451</v>
      </c>
      <c r="G10" s="25">
        <f>IF(E10&lt;参数设置!$B$13,DATE(YEAR(EDATE(C10,E10+1)),MONTH(EDATE(C10,E10+1)),参数设置!$B$14),EDATE(C10,参数设置!$B$13))</f>
        <v>46482</v>
      </c>
      <c r="H10">
        <f>G10-F10</f>
        <v>31</v>
      </c>
      <c r="I10" s="21">
        <f>IF(E10=参数设置!$B$13,D10,0)</f>
        <v>0</v>
      </c>
      <c r="J10" s="21">
        <f>IF(M10=1,ROUND(D10*参数设置!$B$11*H10/参数设置!$B$12,参数设置!$B$15),0)</f>
        <v>66.5</v>
      </c>
      <c r="K10" s="21">
        <f>I10+J10</f>
        <v>66.5</v>
      </c>
      <c r="L10" s="25">
        <f>EDATE(C10,参数设置!$B$13)</f>
        <v>46609</v>
      </c>
      <c r="M10">
        <f>--(D10&gt;0)</f>
        <v>1</v>
      </c>
    </row>
    <row r="11" spans="1:13" ht="15" customHeight="1">
      <c r="A11">
        <v>1</v>
      </c>
      <c r="B11">
        <v>1</v>
      </c>
      <c r="C11" s="25">
        <f>INDEX(实际执行追踪!$A$7:$A$42,A11)+DAY(参数设置!$B$4)-1</f>
        <v>46244</v>
      </c>
      <c r="D11" s="21">
        <f>INDEX(实际执行追踪!$C$7:$C$42,A11)</f>
        <v>23400</v>
      </c>
      <c r="E11">
        <v>8</v>
      </c>
      <c r="F11" s="25">
        <f>IF(E11=1,C11,G10)</f>
        <v>46482</v>
      </c>
      <c r="G11" s="25">
        <f>IF(E11&lt;参数设置!$B$13,DATE(YEAR(EDATE(C11,E11+1)),MONTH(EDATE(C11,E11+1)),参数设置!$B$14),EDATE(C11,参数设置!$B$13))</f>
        <v>46512</v>
      </c>
      <c r="H11">
        <f>G11-F11</f>
        <v>30</v>
      </c>
      <c r="I11" s="21">
        <f>IF(E11=参数设置!$B$13,D11,0)</f>
        <v>0</v>
      </c>
      <c r="J11" s="21">
        <f>IF(M11=1,ROUND(D11*参数设置!$B$11*H11/参数设置!$B$12,参数设置!$B$15),0)</f>
        <v>64.349999999999994</v>
      </c>
      <c r="K11" s="21">
        <f>I11+J11</f>
        <v>64.349999999999994</v>
      </c>
      <c r="L11" s="25">
        <f>EDATE(C11,参数设置!$B$13)</f>
        <v>46609</v>
      </c>
      <c r="M11">
        <f>--(D11&gt;0)</f>
        <v>1</v>
      </c>
    </row>
    <row r="12" spans="1:13" ht="15" customHeight="1">
      <c r="A12">
        <v>1</v>
      </c>
      <c r="B12">
        <v>1</v>
      </c>
      <c r="C12" s="25">
        <f>INDEX(实际执行追踪!$A$7:$A$42,A12)+DAY(参数设置!$B$4)-1</f>
        <v>46244</v>
      </c>
      <c r="D12" s="21">
        <f>INDEX(实际执行追踪!$C$7:$C$42,A12)</f>
        <v>23400</v>
      </c>
      <c r="E12">
        <v>9</v>
      </c>
      <c r="F12" s="25">
        <f>IF(E12=1,C12,G11)</f>
        <v>46512</v>
      </c>
      <c r="G12" s="25">
        <f>IF(E12&lt;参数设置!$B$13,DATE(YEAR(EDATE(C12,E12+1)),MONTH(EDATE(C12,E12+1)),参数设置!$B$14),EDATE(C12,参数设置!$B$13))</f>
        <v>46543</v>
      </c>
      <c r="H12">
        <f>G12-F12</f>
        <v>31</v>
      </c>
      <c r="I12" s="21">
        <f>IF(E12=参数设置!$B$13,D12,0)</f>
        <v>0</v>
      </c>
      <c r="J12" s="21">
        <f>IF(M12=1,ROUND(D12*参数设置!$B$11*H12/参数设置!$B$12,参数设置!$B$15),0)</f>
        <v>66.5</v>
      </c>
      <c r="K12" s="21">
        <f>I12+J12</f>
        <v>66.5</v>
      </c>
      <c r="L12" s="25">
        <f>EDATE(C12,参数设置!$B$13)</f>
        <v>46609</v>
      </c>
      <c r="M12">
        <f>--(D12&gt;0)</f>
        <v>1</v>
      </c>
    </row>
    <row r="13" spans="1:13" ht="15" customHeight="1">
      <c r="A13">
        <v>1</v>
      </c>
      <c r="B13">
        <v>1</v>
      </c>
      <c r="C13" s="25">
        <f>INDEX(实际执行追踪!$A$7:$A$42,A13)+DAY(参数设置!$B$4)-1</f>
        <v>46244</v>
      </c>
      <c r="D13" s="21">
        <f>INDEX(实际执行追踪!$C$7:$C$42,A13)</f>
        <v>23400</v>
      </c>
      <c r="E13">
        <v>10</v>
      </c>
      <c r="F13" s="25">
        <f>IF(E13=1,C13,G12)</f>
        <v>46543</v>
      </c>
      <c r="G13" s="25">
        <f>IF(E13&lt;参数设置!$B$13,DATE(YEAR(EDATE(C13,E13+1)),MONTH(EDATE(C13,E13+1)),参数设置!$B$14),EDATE(C13,参数设置!$B$13))</f>
        <v>46573</v>
      </c>
      <c r="H13">
        <f>G13-F13</f>
        <v>30</v>
      </c>
      <c r="I13" s="21">
        <f>IF(E13=参数设置!$B$13,D13,0)</f>
        <v>0</v>
      </c>
      <c r="J13" s="21">
        <f>IF(M13=1,ROUND(D13*参数设置!$B$11*H13/参数设置!$B$12,参数设置!$B$15),0)</f>
        <v>64.349999999999994</v>
      </c>
      <c r="K13" s="21">
        <f>I13+J13</f>
        <v>64.349999999999994</v>
      </c>
      <c r="L13" s="25">
        <f>EDATE(C13,参数设置!$B$13)</f>
        <v>46609</v>
      </c>
      <c r="M13">
        <f>--(D13&gt;0)</f>
        <v>1</v>
      </c>
    </row>
    <row r="14" spans="1:13" ht="15" customHeight="1">
      <c r="A14">
        <v>1</v>
      </c>
      <c r="B14">
        <v>1</v>
      </c>
      <c r="C14" s="25">
        <f>INDEX(实际执行追踪!$A$7:$A$42,A14)+DAY(参数设置!$B$4)-1</f>
        <v>46244</v>
      </c>
      <c r="D14" s="21">
        <f>INDEX(实际执行追踪!$C$7:$C$42,A14)</f>
        <v>23400</v>
      </c>
      <c r="E14">
        <v>11</v>
      </c>
      <c r="F14" s="25">
        <f>IF(E14=1,C14,G13)</f>
        <v>46573</v>
      </c>
      <c r="G14" s="25">
        <f>IF(E14&lt;参数设置!$B$13,DATE(YEAR(EDATE(C14,E14+1)),MONTH(EDATE(C14,E14+1)),参数设置!$B$14),EDATE(C14,参数设置!$B$13))</f>
        <v>46604</v>
      </c>
      <c r="H14">
        <f>G14-F14</f>
        <v>31</v>
      </c>
      <c r="I14" s="21">
        <f>IF(E14=参数设置!$B$13,D14,0)</f>
        <v>0</v>
      </c>
      <c r="J14" s="21">
        <f>IF(M14=1,ROUND(D14*参数设置!$B$11*H14/参数设置!$B$12,参数设置!$B$15),0)</f>
        <v>66.5</v>
      </c>
      <c r="K14" s="21">
        <f>I14+J14</f>
        <v>66.5</v>
      </c>
      <c r="L14" s="25">
        <f>EDATE(C14,参数设置!$B$13)</f>
        <v>46609</v>
      </c>
      <c r="M14">
        <f>--(D14&gt;0)</f>
        <v>1</v>
      </c>
    </row>
    <row r="15" spans="1:13" ht="15" customHeight="1">
      <c r="A15">
        <v>1</v>
      </c>
      <c r="B15">
        <v>1</v>
      </c>
      <c r="C15" s="25">
        <f>INDEX(实际执行追踪!$A$7:$A$42,A15)+DAY(参数设置!$B$4)-1</f>
        <v>46244</v>
      </c>
      <c r="D15" s="21">
        <f>INDEX(实际执行追踪!$C$7:$C$42,A15)</f>
        <v>23400</v>
      </c>
      <c r="E15">
        <v>12</v>
      </c>
      <c r="F15" s="25">
        <f>IF(E15=1,C15,G14)</f>
        <v>46604</v>
      </c>
      <c r="G15" s="25">
        <f>IF(E15&lt;参数设置!$B$13,DATE(YEAR(EDATE(C15,E15+1)),MONTH(EDATE(C15,E15+1)),参数设置!$B$14),EDATE(C15,参数设置!$B$13))</f>
        <v>46609</v>
      </c>
      <c r="H15">
        <f>G15-F15</f>
        <v>5</v>
      </c>
      <c r="I15" s="21">
        <f>IF(E15=参数设置!$B$13,D15,0)</f>
        <v>23400</v>
      </c>
      <c r="J15" s="21">
        <f>IF(M15=1,ROUND(D15*参数设置!$B$11*H15/参数设置!$B$12,参数设置!$B$15),0)</f>
        <v>10.73</v>
      </c>
      <c r="K15" s="21">
        <f>I15+J15</f>
        <v>23410.73</v>
      </c>
      <c r="L15" s="25">
        <f>EDATE(C15,参数设置!$B$13)</f>
        <v>46609</v>
      </c>
      <c r="M15">
        <f>--(D15&gt;0)</f>
        <v>1</v>
      </c>
    </row>
    <row r="16" spans="1:13" ht="15" customHeight="1">
      <c r="A16">
        <v>2</v>
      </c>
      <c r="B16">
        <v>2</v>
      </c>
      <c r="C16" s="25">
        <f>INDEX(实际执行追踪!$A$7:$A$42,A16)+DAY(参数设置!$B$4)-1</f>
        <v>46275</v>
      </c>
      <c r="D16" s="21">
        <f>INDEX(实际执行追踪!$C$7:$C$42,A16)</f>
        <v>23400</v>
      </c>
      <c r="E16">
        <v>1</v>
      </c>
      <c r="F16" s="25">
        <f>IF(E16=1,C16,G15)</f>
        <v>46275</v>
      </c>
      <c r="G16" s="25">
        <f>IF(E16&lt;参数设置!$B$13,DATE(YEAR(EDATE(C16,E16+1)),MONTH(EDATE(C16,E16+1)),参数设置!$B$14),EDATE(C16,参数设置!$B$13))</f>
        <v>46331</v>
      </c>
      <c r="H16">
        <f>G16-F16</f>
        <v>56</v>
      </c>
      <c r="I16" s="21">
        <f>IF(E16=参数设置!$B$13,D16,0)</f>
        <v>0</v>
      </c>
      <c r="J16" s="21">
        <f>IF(M16=1,ROUND(D16*参数设置!$B$11*H16/参数设置!$B$12,参数设置!$B$15),0)</f>
        <v>120.12</v>
      </c>
      <c r="K16" s="21">
        <f>I16+J16</f>
        <v>120.12</v>
      </c>
      <c r="L16" s="25">
        <f>EDATE(C16,参数设置!$B$13)</f>
        <v>46640</v>
      </c>
      <c r="M16">
        <f>--(D16&gt;0)</f>
        <v>1</v>
      </c>
    </row>
    <row r="17" spans="1:13" ht="15" customHeight="1">
      <c r="A17">
        <v>2</v>
      </c>
      <c r="B17">
        <v>2</v>
      </c>
      <c r="C17" s="25">
        <f>INDEX(实际执行追踪!$A$7:$A$42,A17)+DAY(参数设置!$B$4)-1</f>
        <v>46275</v>
      </c>
      <c r="D17" s="21">
        <f>INDEX(实际执行追踪!$C$7:$C$42,A17)</f>
        <v>23400</v>
      </c>
      <c r="E17">
        <v>2</v>
      </c>
      <c r="F17" s="25">
        <f>IF(E17=1,C17,G16)</f>
        <v>46331</v>
      </c>
      <c r="G17" s="25">
        <f>IF(E17&lt;参数设置!$B$13,DATE(YEAR(EDATE(C17,E17+1)),MONTH(EDATE(C17,E17+1)),参数设置!$B$14),EDATE(C17,参数设置!$B$13))</f>
        <v>46361</v>
      </c>
      <c r="H17">
        <f>G17-F17</f>
        <v>30</v>
      </c>
      <c r="I17" s="21">
        <f>IF(E17=参数设置!$B$13,D17,0)</f>
        <v>0</v>
      </c>
      <c r="J17" s="21">
        <f>IF(M17=1,ROUND(D17*参数设置!$B$11*H17/参数设置!$B$12,参数设置!$B$15),0)</f>
        <v>64.349999999999994</v>
      </c>
      <c r="K17" s="21">
        <f>I17+J17</f>
        <v>64.349999999999994</v>
      </c>
      <c r="L17" s="25">
        <f>EDATE(C17,参数设置!$B$13)</f>
        <v>46640</v>
      </c>
      <c r="M17">
        <f>--(D17&gt;0)</f>
        <v>1</v>
      </c>
    </row>
    <row r="18" spans="1:13" ht="15" customHeight="1">
      <c r="A18">
        <v>2</v>
      </c>
      <c r="B18">
        <v>2</v>
      </c>
      <c r="C18" s="25">
        <f>INDEX(实际执行追踪!$A$7:$A$42,A18)+DAY(参数设置!$B$4)-1</f>
        <v>46275</v>
      </c>
      <c r="D18" s="21">
        <f>INDEX(实际执行追踪!$C$7:$C$42,A18)</f>
        <v>23400</v>
      </c>
      <c r="E18">
        <v>3</v>
      </c>
      <c r="F18" s="25">
        <f>IF(E18=1,C18,G17)</f>
        <v>46361</v>
      </c>
      <c r="G18" s="25">
        <f>IF(E18&lt;参数设置!$B$13,DATE(YEAR(EDATE(C18,E18+1)),MONTH(EDATE(C18,E18+1)),参数设置!$B$14),EDATE(C18,参数设置!$B$13))</f>
        <v>46392</v>
      </c>
      <c r="H18">
        <f>G18-F18</f>
        <v>31</v>
      </c>
      <c r="I18" s="21">
        <f>IF(E18=参数设置!$B$13,D18,0)</f>
        <v>0</v>
      </c>
      <c r="J18" s="21">
        <f>IF(M18=1,ROUND(D18*参数设置!$B$11*H18/参数设置!$B$12,参数设置!$B$15),0)</f>
        <v>66.5</v>
      </c>
      <c r="K18" s="21">
        <f>I18+J18</f>
        <v>66.5</v>
      </c>
      <c r="L18" s="25">
        <f>EDATE(C18,参数设置!$B$13)</f>
        <v>46640</v>
      </c>
      <c r="M18">
        <f>--(D18&gt;0)</f>
        <v>1</v>
      </c>
    </row>
    <row r="19" spans="1:13" ht="15" customHeight="1">
      <c r="A19">
        <v>2</v>
      </c>
      <c r="B19">
        <v>2</v>
      </c>
      <c r="C19" s="25">
        <f>INDEX(实际执行追踪!$A$7:$A$42,A19)+DAY(参数设置!$B$4)-1</f>
        <v>46275</v>
      </c>
      <c r="D19" s="21">
        <f>INDEX(实际执行追踪!$C$7:$C$42,A19)</f>
        <v>23400</v>
      </c>
      <c r="E19">
        <v>4</v>
      </c>
      <c r="F19" s="25">
        <f>IF(E19=1,C19,G18)</f>
        <v>46392</v>
      </c>
      <c r="G19" s="25">
        <f>IF(E19&lt;参数设置!$B$13,DATE(YEAR(EDATE(C19,E19+1)),MONTH(EDATE(C19,E19+1)),参数设置!$B$14),EDATE(C19,参数设置!$B$13))</f>
        <v>46423</v>
      </c>
      <c r="H19">
        <f>G19-F19</f>
        <v>31</v>
      </c>
      <c r="I19" s="21">
        <f>IF(E19=参数设置!$B$13,D19,0)</f>
        <v>0</v>
      </c>
      <c r="J19" s="21">
        <f>IF(M19=1,ROUND(D19*参数设置!$B$11*H19/参数设置!$B$12,参数设置!$B$15),0)</f>
        <v>66.5</v>
      </c>
      <c r="K19" s="21">
        <f>I19+J19</f>
        <v>66.5</v>
      </c>
      <c r="L19" s="25">
        <f>EDATE(C19,参数设置!$B$13)</f>
        <v>46640</v>
      </c>
      <c r="M19">
        <f>--(D19&gt;0)</f>
        <v>1</v>
      </c>
    </row>
    <row r="20" spans="1:13" ht="15" customHeight="1">
      <c r="A20">
        <v>2</v>
      </c>
      <c r="B20">
        <v>2</v>
      </c>
      <c r="C20" s="25">
        <f>INDEX(实际执行追踪!$A$7:$A$42,A20)+DAY(参数设置!$B$4)-1</f>
        <v>46275</v>
      </c>
      <c r="D20" s="21">
        <f>INDEX(实际执行追踪!$C$7:$C$42,A20)</f>
        <v>23400</v>
      </c>
      <c r="E20">
        <v>5</v>
      </c>
      <c r="F20" s="25">
        <f>IF(E20=1,C20,G19)</f>
        <v>46423</v>
      </c>
      <c r="G20" s="25">
        <f>IF(E20&lt;参数设置!$B$13,DATE(YEAR(EDATE(C20,E20+1)),MONTH(EDATE(C20,E20+1)),参数设置!$B$14),EDATE(C20,参数设置!$B$13))</f>
        <v>46451</v>
      </c>
      <c r="H20">
        <f>G20-F20</f>
        <v>28</v>
      </c>
      <c r="I20" s="21">
        <f>IF(E20=参数设置!$B$13,D20,0)</f>
        <v>0</v>
      </c>
      <c r="J20" s="21">
        <f>IF(M20=1,ROUND(D20*参数设置!$B$11*H20/参数设置!$B$12,参数设置!$B$15),0)</f>
        <v>60.06</v>
      </c>
      <c r="K20" s="21">
        <f>I20+J20</f>
        <v>60.06</v>
      </c>
      <c r="L20" s="25">
        <f>EDATE(C20,参数设置!$B$13)</f>
        <v>46640</v>
      </c>
      <c r="M20">
        <f>--(D20&gt;0)</f>
        <v>1</v>
      </c>
    </row>
    <row r="21" spans="1:13" ht="15" customHeight="1">
      <c r="A21">
        <v>2</v>
      </c>
      <c r="B21">
        <v>2</v>
      </c>
      <c r="C21" s="25">
        <f>INDEX(实际执行追踪!$A$7:$A$42,A21)+DAY(参数设置!$B$4)-1</f>
        <v>46275</v>
      </c>
      <c r="D21" s="21">
        <f>INDEX(实际执行追踪!$C$7:$C$42,A21)</f>
        <v>23400</v>
      </c>
      <c r="E21">
        <v>6</v>
      </c>
      <c r="F21" s="25">
        <f>IF(E21=1,C21,G20)</f>
        <v>46451</v>
      </c>
      <c r="G21" s="25">
        <f>IF(E21&lt;参数设置!$B$13,DATE(YEAR(EDATE(C21,E21+1)),MONTH(EDATE(C21,E21+1)),参数设置!$B$14),EDATE(C21,参数设置!$B$13))</f>
        <v>46482</v>
      </c>
      <c r="H21">
        <f>G21-F21</f>
        <v>31</v>
      </c>
      <c r="I21" s="21">
        <f>IF(E21=参数设置!$B$13,D21,0)</f>
        <v>0</v>
      </c>
      <c r="J21" s="21">
        <f>IF(M21=1,ROUND(D21*参数设置!$B$11*H21/参数设置!$B$12,参数设置!$B$15),0)</f>
        <v>66.5</v>
      </c>
      <c r="K21" s="21">
        <f>I21+J21</f>
        <v>66.5</v>
      </c>
      <c r="L21" s="25">
        <f>EDATE(C21,参数设置!$B$13)</f>
        <v>46640</v>
      </c>
      <c r="M21">
        <f>--(D21&gt;0)</f>
        <v>1</v>
      </c>
    </row>
    <row r="22" spans="1:13" ht="15" customHeight="1">
      <c r="A22">
        <v>2</v>
      </c>
      <c r="B22">
        <v>2</v>
      </c>
      <c r="C22" s="25">
        <f>INDEX(实际执行追踪!$A$7:$A$42,A22)+DAY(参数设置!$B$4)-1</f>
        <v>46275</v>
      </c>
      <c r="D22" s="21">
        <f>INDEX(实际执行追踪!$C$7:$C$42,A22)</f>
        <v>23400</v>
      </c>
      <c r="E22">
        <v>7</v>
      </c>
      <c r="F22" s="25">
        <f>IF(E22=1,C22,G21)</f>
        <v>46482</v>
      </c>
      <c r="G22" s="25">
        <f>IF(E22&lt;参数设置!$B$13,DATE(YEAR(EDATE(C22,E22+1)),MONTH(EDATE(C22,E22+1)),参数设置!$B$14),EDATE(C22,参数设置!$B$13))</f>
        <v>46512</v>
      </c>
      <c r="H22">
        <f>G22-F22</f>
        <v>30</v>
      </c>
      <c r="I22" s="21">
        <f>IF(E22=参数设置!$B$13,D22,0)</f>
        <v>0</v>
      </c>
      <c r="J22" s="21">
        <f>IF(M22=1,ROUND(D22*参数设置!$B$11*H22/参数设置!$B$12,参数设置!$B$15),0)</f>
        <v>64.349999999999994</v>
      </c>
      <c r="K22" s="21">
        <f>I22+J22</f>
        <v>64.349999999999994</v>
      </c>
      <c r="L22" s="25">
        <f>EDATE(C22,参数设置!$B$13)</f>
        <v>46640</v>
      </c>
      <c r="M22">
        <f>--(D22&gt;0)</f>
        <v>1</v>
      </c>
    </row>
    <row r="23" spans="1:13" ht="15" customHeight="1">
      <c r="A23">
        <v>2</v>
      </c>
      <c r="B23">
        <v>2</v>
      </c>
      <c r="C23" s="25">
        <f>INDEX(实际执行追踪!$A$7:$A$42,A23)+DAY(参数设置!$B$4)-1</f>
        <v>46275</v>
      </c>
      <c r="D23" s="21">
        <f>INDEX(实际执行追踪!$C$7:$C$42,A23)</f>
        <v>23400</v>
      </c>
      <c r="E23">
        <v>8</v>
      </c>
      <c r="F23" s="25">
        <f>IF(E23=1,C23,G22)</f>
        <v>46512</v>
      </c>
      <c r="G23" s="25">
        <f>IF(E23&lt;参数设置!$B$13,DATE(YEAR(EDATE(C23,E23+1)),MONTH(EDATE(C23,E23+1)),参数设置!$B$14),EDATE(C23,参数设置!$B$13))</f>
        <v>46543</v>
      </c>
      <c r="H23">
        <f>G23-F23</f>
        <v>31</v>
      </c>
      <c r="I23" s="21">
        <f>IF(E23=参数设置!$B$13,D23,0)</f>
        <v>0</v>
      </c>
      <c r="J23" s="21">
        <f>IF(M23=1,ROUND(D23*参数设置!$B$11*H23/参数设置!$B$12,参数设置!$B$15),0)</f>
        <v>66.5</v>
      </c>
      <c r="K23" s="21">
        <f>I23+J23</f>
        <v>66.5</v>
      </c>
      <c r="L23" s="25">
        <f>EDATE(C23,参数设置!$B$13)</f>
        <v>46640</v>
      </c>
      <c r="M23">
        <f>--(D23&gt;0)</f>
        <v>1</v>
      </c>
    </row>
    <row r="24" spans="1:13" ht="15" customHeight="1">
      <c r="A24">
        <v>2</v>
      </c>
      <c r="B24">
        <v>2</v>
      </c>
      <c r="C24" s="25">
        <f>INDEX(实际执行追踪!$A$7:$A$42,A24)+DAY(参数设置!$B$4)-1</f>
        <v>46275</v>
      </c>
      <c r="D24" s="21">
        <f>INDEX(实际执行追踪!$C$7:$C$42,A24)</f>
        <v>23400</v>
      </c>
      <c r="E24">
        <v>9</v>
      </c>
      <c r="F24" s="25">
        <f>IF(E24=1,C24,G23)</f>
        <v>46543</v>
      </c>
      <c r="G24" s="25">
        <f>IF(E24&lt;参数设置!$B$13,DATE(YEAR(EDATE(C24,E24+1)),MONTH(EDATE(C24,E24+1)),参数设置!$B$14),EDATE(C24,参数设置!$B$13))</f>
        <v>46573</v>
      </c>
      <c r="H24">
        <f>G24-F24</f>
        <v>30</v>
      </c>
      <c r="I24" s="21">
        <f>IF(E24=参数设置!$B$13,D24,0)</f>
        <v>0</v>
      </c>
      <c r="J24" s="21">
        <f>IF(M24=1,ROUND(D24*参数设置!$B$11*H24/参数设置!$B$12,参数设置!$B$15),0)</f>
        <v>64.349999999999994</v>
      </c>
      <c r="K24" s="21">
        <f>I24+J24</f>
        <v>64.349999999999994</v>
      </c>
      <c r="L24" s="25">
        <f>EDATE(C24,参数设置!$B$13)</f>
        <v>46640</v>
      </c>
      <c r="M24">
        <f>--(D24&gt;0)</f>
        <v>1</v>
      </c>
    </row>
    <row r="25" spans="1:13" ht="15" customHeight="1">
      <c r="A25">
        <v>2</v>
      </c>
      <c r="B25">
        <v>2</v>
      </c>
      <c r="C25" s="25">
        <f>INDEX(实际执行追踪!$A$7:$A$42,A25)+DAY(参数设置!$B$4)-1</f>
        <v>46275</v>
      </c>
      <c r="D25" s="21">
        <f>INDEX(实际执行追踪!$C$7:$C$42,A25)</f>
        <v>23400</v>
      </c>
      <c r="E25">
        <v>10</v>
      </c>
      <c r="F25" s="25">
        <f>IF(E25=1,C25,G24)</f>
        <v>46573</v>
      </c>
      <c r="G25" s="25">
        <f>IF(E25&lt;参数设置!$B$13,DATE(YEAR(EDATE(C25,E25+1)),MONTH(EDATE(C25,E25+1)),参数设置!$B$14),EDATE(C25,参数设置!$B$13))</f>
        <v>46604</v>
      </c>
      <c r="H25">
        <f>G25-F25</f>
        <v>31</v>
      </c>
      <c r="I25" s="21">
        <f>IF(E25=参数设置!$B$13,D25,0)</f>
        <v>0</v>
      </c>
      <c r="J25" s="21">
        <f>IF(M25=1,ROUND(D25*参数设置!$B$11*H25/参数设置!$B$12,参数设置!$B$15),0)</f>
        <v>66.5</v>
      </c>
      <c r="K25" s="21">
        <f>I25+J25</f>
        <v>66.5</v>
      </c>
      <c r="L25" s="25">
        <f>EDATE(C25,参数设置!$B$13)</f>
        <v>46640</v>
      </c>
      <c r="M25">
        <f>--(D25&gt;0)</f>
        <v>1</v>
      </c>
    </row>
    <row r="26" spans="1:13" ht="15" customHeight="1">
      <c r="A26">
        <v>2</v>
      </c>
      <c r="B26">
        <v>2</v>
      </c>
      <c r="C26" s="25">
        <f>INDEX(实际执行追踪!$A$7:$A$42,A26)+DAY(参数设置!$B$4)-1</f>
        <v>46275</v>
      </c>
      <c r="D26" s="21">
        <f>INDEX(实际执行追踪!$C$7:$C$42,A26)</f>
        <v>23400</v>
      </c>
      <c r="E26">
        <v>11</v>
      </c>
      <c r="F26" s="25">
        <f>IF(E26=1,C26,G25)</f>
        <v>46604</v>
      </c>
      <c r="G26" s="25">
        <f>IF(E26&lt;参数设置!$B$13,DATE(YEAR(EDATE(C26,E26+1)),MONTH(EDATE(C26,E26+1)),参数设置!$B$14),EDATE(C26,参数设置!$B$13))</f>
        <v>46635</v>
      </c>
      <c r="H26">
        <f>G26-F26</f>
        <v>31</v>
      </c>
      <c r="I26" s="21">
        <f>IF(E26=参数设置!$B$13,D26,0)</f>
        <v>0</v>
      </c>
      <c r="J26" s="21">
        <f>IF(M26=1,ROUND(D26*参数设置!$B$11*H26/参数设置!$B$12,参数设置!$B$15),0)</f>
        <v>66.5</v>
      </c>
      <c r="K26" s="21">
        <f>I26+J26</f>
        <v>66.5</v>
      </c>
      <c r="L26" s="25">
        <f>EDATE(C26,参数设置!$B$13)</f>
        <v>46640</v>
      </c>
      <c r="M26">
        <f>--(D26&gt;0)</f>
        <v>1</v>
      </c>
    </row>
    <row r="27" spans="1:13" ht="15" customHeight="1">
      <c r="A27">
        <v>2</v>
      </c>
      <c r="B27">
        <v>2</v>
      </c>
      <c r="C27" s="25">
        <f>INDEX(实际执行追踪!$A$7:$A$42,A27)+DAY(参数设置!$B$4)-1</f>
        <v>46275</v>
      </c>
      <c r="D27" s="21">
        <f>INDEX(实际执行追踪!$C$7:$C$42,A27)</f>
        <v>23400</v>
      </c>
      <c r="E27">
        <v>12</v>
      </c>
      <c r="F27" s="25">
        <f>IF(E27=1,C27,G26)</f>
        <v>46635</v>
      </c>
      <c r="G27" s="25">
        <f>IF(E27&lt;参数设置!$B$13,DATE(YEAR(EDATE(C27,E27+1)),MONTH(EDATE(C27,E27+1)),参数设置!$B$14),EDATE(C27,参数设置!$B$13))</f>
        <v>46640</v>
      </c>
      <c r="H27">
        <f>G27-F27</f>
        <v>5</v>
      </c>
      <c r="I27" s="21">
        <f>IF(E27=参数设置!$B$13,D27,0)</f>
        <v>23400</v>
      </c>
      <c r="J27" s="21">
        <f>IF(M27=1,ROUND(D27*参数设置!$B$11*H27/参数设置!$B$12,参数设置!$B$15),0)</f>
        <v>10.73</v>
      </c>
      <c r="K27" s="21">
        <f>I27+J27</f>
        <v>23410.73</v>
      </c>
      <c r="L27" s="25">
        <f>EDATE(C27,参数设置!$B$13)</f>
        <v>46640</v>
      </c>
      <c r="M27">
        <f>--(D27&gt;0)</f>
        <v>1</v>
      </c>
    </row>
    <row r="28" spans="1:13" ht="15" customHeight="1">
      <c r="A28">
        <v>3</v>
      </c>
      <c r="B28">
        <v>3</v>
      </c>
      <c r="C28" s="25">
        <f>INDEX(实际执行追踪!$A$7:$A$42,A28)+DAY(参数设置!$B$4)-1</f>
        <v>46305</v>
      </c>
      <c r="D28" s="21">
        <f>INDEX(实际执行追踪!$C$7:$C$42,A28)</f>
        <v>23400</v>
      </c>
      <c r="E28">
        <v>1</v>
      </c>
      <c r="F28" s="25">
        <f>IF(E28=1,C28,G27)</f>
        <v>46305</v>
      </c>
      <c r="G28" s="25">
        <f>IF(E28&lt;参数设置!$B$13,DATE(YEAR(EDATE(C28,E28+1)),MONTH(EDATE(C28,E28+1)),参数设置!$B$14),EDATE(C28,参数设置!$B$13))</f>
        <v>46361</v>
      </c>
      <c r="H28">
        <f>G28-F28</f>
        <v>56</v>
      </c>
      <c r="I28" s="21">
        <f>IF(E28=参数设置!$B$13,D28,0)</f>
        <v>0</v>
      </c>
      <c r="J28" s="21">
        <f>IF(M28=1,ROUND(D28*参数设置!$B$11*H28/参数设置!$B$12,参数设置!$B$15),0)</f>
        <v>120.12</v>
      </c>
      <c r="K28" s="21">
        <f>I28+J28</f>
        <v>120.12</v>
      </c>
      <c r="L28" s="25">
        <f>EDATE(C28,参数设置!$B$13)</f>
        <v>46670</v>
      </c>
      <c r="M28">
        <f>--(D28&gt;0)</f>
        <v>1</v>
      </c>
    </row>
    <row r="29" spans="1:13" ht="15" customHeight="1">
      <c r="A29">
        <v>3</v>
      </c>
      <c r="B29">
        <v>3</v>
      </c>
      <c r="C29" s="25">
        <f>INDEX(实际执行追踪!$A$7:$A$42,A29)+DAY(参数设置!$B$4)-1</f>
        <v>46305</v>
      </c>
      <c r="D29" s="21">
        <f>INDEX(实际执行追踪!$C$7:$C$42,A29)</f>
        <v>23400</v>
      </c>
      <c r="E29">
        <v>2</v>
      </c>
      <c r="F29" s="25">
        <f>IF(E29=1,C29,G28)</f>
        <v>46361</v>
      </c>
      <c r="G29" s="25">
        <f>IF(E29&lt;参数设置!$B$13,DATE(YEAR(EDATE(C29,E29+1)),MONTH(EDATE(C29,E29+1)),参数设置!$B$14),EDATE(C29,参数设置!$B$13))</f>
        <v>46392</v>
      </c>
      <c r="H29">
        <f>G29-F29</f>
        <v>31</v>
      </c>
      <c r="I29" s="21">
        <f>IF(E29=参数设置!$B$13,D29,0)</f>
        <v>0</v>
      </c>
      <c r="J29" s="21">
        <f>IF(M29=1,ROUND(D29*参数设置!$B$11*H29/参数设置!$B$12,参数设置!$B$15),0)</f>
        <v>66.5</v>
      </c>
      <c r="K29" s="21">
        <f>I29+J29</f>
        <v>66.5</v>
      </c>
      <c r="L29" s="25">
        <f>EDATE(C29,参数设置!$B$13)</f>
        <v>46670</v>
      </c>
      <c r="M29">
        <f>--(D29&gt;0)</f>
        <v>1</v>
      </c>
    </row>
    <row r="30" spans="1:13" ht="15" customHeight="1">
      <c r="A30">
        <v>3</v>
      </c>
      <c r="B30">
        <v>3</v>
      </c>
      <c r="C30" s="25">
        <f>INDEX(实际执行追踪!$A$7:$A$42,A30)+DAY(参数设置!$B$4)-1</f>
        <v>46305</v>
      </c>
      <c r="D30" s="21">
        <f>INDEX(实际执行追踪!$C$7:$C$42,A30)</f>
        <v>23400</v>
      </c>
      <c r="E30">
        <v>3</v>
      </c>
      <c r="F30" s="25">
        <f>IF(E30=1,C30,G29)</f>
        <v>46392</v>
      </c>
      <c r="G30" s="25">
        <f>IF(E30&lt;参数设置!$B$13,DATE(YEAR(EDATE(C30,E30+1)),MONTH(EDATE(C30,E30+1)),参数设置!$B$14),EDATE(C30,参数设置!$B$13))</f>
        <v>46423</v>
      </c>
      <c r="H30">
        <f>G30-F30</f>
        <v>31</v>
      </c>
      <c r="I30" s="21">
        <f>IF(E30=参数设置!$B$13,D30,0)</f>
        <v>0</v>
      </c>
      <c r="J30" s="21">
        <f>IF(M30=1,ROUND(D30*参数设置!$B$11*H30/参数设置!$B$12,参数设置!$B$15),0)</f>
        <v>66.5</v>
      </c>
      <c r="K30" s="21">
        <f>I30+J30</f>
        <v>66.5</v>
      </c>
      <c r="L30" s="25">
        <f>EDATE(C30,参数设置!$B$13)</f>
        <v>46670</v>
      </c>
      <c r="M30">
        <f>--(D30&gt;0)</f>
        <v>1</v>
      </c>
    </row>
    <row r="31" spans="1:13" ht="15" customHeight="1">
      <c r="A31">
        <v>3</v>
      </c>
      <c r="B31">
        <v>3</v>
      </c>
      <c r="C31" s="25">
        <f>INDEX(实际执行追踪!$A$7:$A$42,A31)+DAY(参数设置!$B$4)-1</f>
        <v>46305</v>
      </c>
      <c r="D31" s="21">
        <f>INDEX(实际执行追踪!$C$7:$C$42,A31)</f>
        <v>23400</v>
      </c>
      <c r="E31">
        <v>4</v>
      </c>
      <c r="F31" s="25">
        <f>IF(E31=1,C31,G30)</f>
        <v>46423</v>
      </c>
      <c r="G31" s="25">
        <f>IF(E31&lt;参数设置!$B$13,DATE(YEAR(EDATE(C31,E31+1)),MONTH(EDATE(C31,E31+1)),参数设置!$B$14),EDATE(C31,参数设置!$B$13))</f>
        <v>46451</v>
      </c>
      <c r="H31">
        <f>G31-F31</f>
        <v>28</v>
      </c>
      <c r="I31" s="21">
        <f>IF(E31=参数设置!$B$13,D31,0)</f>
        <v>0</v>
      </c>
      <c r="J31" s="21">
        <f>IF(M31=1,ROUND(D31*参数设置!$B$11*H31/参数设置!$B$12,参数设置!$B$15),0)</f>
        <v>60.06</v>
      </c>
      <c r="K31" s="21">
        <f>I31+J31</f>
        <v>60.06</v>
      </c>
      <c r="L31" s="25">
        <f>EDATE(C31,参数设置!$B$13)</f>
        <v>46670</v>
      </c>
      <c r="M31">
        <f>--(D31&gt;0)</f>
        <v>1</v>
      </c>
    </row>
    <row r="32" spans="1:13" ht="15" customHeight="1">
      <c r="A32">
        <v>3</v>
      </c>
      <c r="B32">
        <v>3</v>
      </c>
      <c r="C32" s="25">
        <f>INDEX(实际执行追踪!$A$7:$A$42,A32)+DAY(参数设置!$B$4)-1</f>
        <v>46305</v>
      </c>
      <c r="D32" s="21">
        <f>INDEX(实际执行追踪!$C$7:$C$42,A32)</f>
        <v>23400</v>
      </c>
      <c r="E32">
        <v>5</v>
      </c>
      <c r="F32" s="25">
        <f>IF(E32=1,C32,G31)</f>
        <v>46451</v>
      </c>
      <c r="G32" s="25">
        <f>IF(E32&lt;参数设置!$B$13,DATE(YEAR(EDATE(C32,E32+1)),MONTH(EDATE(C32,E32+1)),参数设置!$B$14),EDATE(C32,参数设置!$B$13))</f>
        <v>46482</v>
      </c>
      <c r="H32">
        <f>G32-F32</f>
        <v>31</v>
      </c>
      <c r="I32" s="21">
        <f>IF(E32=参数设置!$B$13,D32,0)</f>
        <v>0</v>
      </c>
      <c r="J32" s="21">
        <f>IF(M32=1,ROUND(D32*参数设置!$B$11*H32/参数设置!$B$12,参数设置!$B$15),0)</f>
        <v>66.5</v>
      </c>
      <c r="K32" s="21">
        <f>I32+J32</f>
        <v>66.5</v>
      </c>
      <c r="L32" s="25">
        <f>EDATE(C32,参数设置!$B$13)</f>
        <v>46670</v>
      </c>
      <c r="M32">
        <f>--(D32&gt;0)</f>
        <v>1</v>
      </c>
    </row>
    <row r="33" spans="1:13" ht="15" customHeight="1">
      <c r="A33">
        <v>3</v>
      </c>
      <c r="B33">
        <v>3</v>
      </c>
      <c r="C33" s="25">
        <f>INDEX(实际执行追踪!$A$7:$A$42,A33)+DAY(参数设置!$B$4)-1</f>
        <v>46305</v>
      </c>
      <c r="D33" s="21">
        <f>INDEX(实际执行追踪!$C$7:$C$42,A33)</f>
        <v>23400</v>
      </c>
      <c r="E33">
        <v>6</v>
      </c>
      <c r="F33" s="25">
        <f>IF(E33=1,C33,G32)</f>
        <v>46482</v>
      </c>
      <c r="G33" s="25">
        <f>IF(E33&lt;参数设置!$B$13,DATE(YEAR(EDATE(C33,E33+1)),MONTH(EDATE(C33,E33+1)),参数设置!$B$14),EDATE(C33,参数设置!$B$13))</f>
        <v>46512</v>
      </c>
      <c r="H33">
        <f>G33-F33</f>
        <v>30</v>
      </c>
      <c r="I33" s="21">
        <f>IF(E33=参数设置!$B$13,D33,0)</f>
        <v>0</v>
      </c>
      <c r="J33" s="21">
        <f>IF(M33=1,ROUND(D33*参数设置!$B$11*H33/参数设置!$B$12,参数设置!$B$15),0)</f>
        <v>64.349999999999994</v>
      </c>
      <c r="K33" s="21">
        <f>I33+J33</f>
        <v>64.349999999999994</v>
      </c>
      <c r="L33" s="25">
        <f>EDATE(C33,参数设置!$B$13)</f>
        <v>46670</v>
      </c>
      <c r="M33">
        <f>--(D33&gt;0)</f>
        <v>1</v>
      </c>
    </row>
    <row r="34" spans="1:13" ht="15" customHeight="1">
      <c r="A34">
        <v>3</v>
      </c>
      <c r="B34">
        <v>3</v>
      </c>
      <c r="C34" s="25">
        <f>INDEX(实际执行追踪!$A$7:$A$42,A34)+DAY(参数设置!$B$4)-1</f>
        <v>46305</v>
      </c>
      <c r="D34" s="21">
        <f>INDEX(实际执行追踪!$C$7:$C$42,A34)</f>
        <v>23400</v>
      </c>
      <c r="E34">
        <v>7</v>
      </c>
      <c r="F34" s="25">
        <f>IF(E34=1,C34,G33)</f>
        <v>46512</v>
      </c>
      <c r="G34" s="25">
        <f>IF(E34&lt;参数设置!$B$13,DATE(YEAR(EDATE(C34,E34+1)),MONTH(EDATE(C34,E34+1)),参数设置!$B$14),EDATE(C34,参数设置!$B$13))</f>
        <v>46543</v>
      </c>
      <c r="H34">
        <f>G34-F34</f>
        <v>31</v>
      </c>
      <c r="I34" s="21">
        <f>IF(E34=参数设置!$B$13,D34,0)</f>
        <v>0</v>
      </c>
      <c r="J34" s="21">
        <f>IF(M34=1,ROUND(D34*参数设置!$B$11*H34/参数设置!$B$12,参数设置!$B$15),0)</f>
        <v>66.5</v>
      </c>
      <c r="K34" s="21">
        <f>I34+J34</f>
        <v>66.5</v>
      </c>
      <c r="L34" s="25">
        <f>EDATE(C34,参数设置!$B$13)</f>
        <v>46670</v>
      </c>
      <c r="M34">
        <f>--(D34&gt;0)</f>
        <v>1</v>
      </c>
    </row>
    <row r="35" spans="1:13" ht="15" customHeight="1">
      <c r="A35">
        <v>3</v>
      </c>
      <c r="B35">
        <v>3</v>
      </c>
      <c r="C35" s="25">
        <f>INDEX(实际执行追踪!$A$7:$A$42,A35)+DAY(参数设置!$B$4)-1</f>
        <v>46305</v>
      </c>
      <c r="D35" s="21">
        <f>INDEX(实际执行追踪!$C$7:$C$42,A35)</f>
        <v>23400</v>
      </c>
      <c r="E35">
        <v>8</v>
      </c>
      <c r="F35" s="25">
        <f>IF(E35=1,C35,G34)</f>
        <v>46543</v>
      </c>
      <c r="G35" s="25">
        <f>IF(E35&lt;参数设置!$B$13,DATE(YEAR(EDATE(C35,E35+1)),MONTH(EDATE(C35,E35+1)),参数设置!$B$14),EDATE(C35,参数设置!$B$13))</f>
        <v>46573</v>
      </c>
      <c r="H35">
        <f>G35-F35</f>
        <v>30</v>
      </c>
      <c r="I35" s="21">
        <f>IF(E35=参数设置!$B$13,D35,0)</f>
        <v>0</v>
      </c>
      <c r="J35" s="21">
        <f>IF(M35=1,ROUND(D35*参数设置!$B$11*H35/参数设置!$B$12,参数设置!$B$15),0)</f>
        <v>64.349999999999994</v>
      </c>
      <c r="K35" s="21">
        <f>I35+J35</f>
        <v>64.349999999999994</v>
      </c>
      <c r="L35" s="25">
        <f>EDATE(C35,参数设置!$B$13)</f>
        <v>46670</v>
      </c>
      <c r="M35">
        <f>--(D35&gt;0)</f>
        <v>1</v>
      </c>
    </row>
    <row r="36" spans="1:13" ht="15" customHeight="1">
      <c r="A36">
        <v>3</v>
      </c>
      <c r="B36">
        <v>3</v>
      </c>
      <c r="C36" s="25">
        <f>INDEX(实际执行追踪!$A$7:$A$42,A36)+DAY(参数设置!$B$4)-1</f>
        <v>46305</v>
      </c>
      <c r="D36" s="21">
        <f>INDEX(实际执行追踪!$C$7:$C$42,A36)</f>
        <v>23400</v>
      </c>
      <c r="E36">
        <v>9</v>
      </c>
      <c r="F36" s="25">
        <f>IF(E36=1,C36,G35)</f>
        <v>46573</v>
      </c>
      <c r="G36" s="25">
        <f>IF(E36&lt;参数设置!$B$13,DATE(YEAR(EDATE(C36,E36+1)),MONTH(EDATE(C36,E36+1)),参数设置!$B$14),EDATE(C36,参数设置!$B$13))</f>
        <v>46604</v>
      </c>
      <c r="H36">
        <f>G36-F36</f>
        <v>31</v>
      </c>
      <c r="I36" s="21">
        <f>IF(E36=参数设置!$B$13,D36,0)</f>
        <v>0</v>
      </c>
      <c r="J36" s="21">
        <f>IF(M36=1,ROUND(D36*参数设置!$B$11*H36/参数设置!$B$12,参数设置!$B$15),0)</f>
        <v>66.5</v>
      </c>
      <c r="K36" s="21">
        <f>I36+J36</f>
        <v>66.5</v>
      </c>
      <c r="L36" s="25">
        <f>EDATE(C36,参数设置!$B$13)</f>
        <v>46670</v>
      </c>
      <c r="M36">
        <f>--(D36&gt;0)</f>
        <v>1</v>
      </c>
    </row>
    <row r="37" spans="1:13" ht="15" customHeight="1">
      <c r="A37">
        <v>3</v>
      </c>
      <c r="B37">
        <v>3</v>
      </c>
      <c r="C37" s="25">
        <f>INDEX(实际执行追踪!$A$7:$A$42,A37)+DAY(参数设置!$B$4)-1</f>
        <v>46305</v>
      </c>
      <c r="D37" s="21">
        <f>INDEX(实际执行追踪!$C$7:$C$42,A37)</f>
        <v>23400</v>
      </c>
      <c r="E37">
        <v>10</v>
      </c>
      <c r="F37" s="25">
        <f>IF(E37=1,C37,G36)</f>
        <v>46604</v>
      </c>
      <c r="G37" s="25">
        <f>IF(E37&lt;参数设置!$B$13,DATE(YEAR(EDATE(C37,E37+1)),MONTH(EDATE(C37,E37+1)),参数设置!$B$14),EDATE(C37,参数设置!$B$13))</f>
        <v>46635</v>
      </c>
      <c r="H37">
        <f>G37-F37</f>
        <v>31</v>
      </c>
      <c r="I37" s="21">
        <f>IF(E37=参数设置!$B$13,D37,0)</f>
        <v>0</v>
      </c>
      <c r="J37" s="21">
        <f>IF(M37=1,ROUND(D37*参数设置!$B$11*H37/参数设置!$B$12,参数设置!$B$15),0)</f>
        <v>66.5</v>
      </c>
      <c r="K37" s="21">
        <f>I37+J37</f>
        <v>66.5</v>
      </c>
      <c r="L37" s="25">
        <f>EDATE(C37,参数设置!$B$13)</f>
        <v>46670</v>
      </c>
      <c r="M37">
        <f>--(D37&gt;0)</f>
        <v>1</v>
      </c>
    </row>
    <row r="38" spans="1:13" ht="15" customHeight="1">
      <c r="A38">
        <v>3</v>
      </c>
      <c r="B38">
        <v>3</v>
      </c>
      <c r="C38" s="25">
        <f>INDEX(实际执行追踪!$A$7:$A$42,A38)+DAY(参数设置!$B$4)-1</f>
        <v>46305</v>
      </c>
      <c r="D38" s="21">
        <f>INDEX(实际执行追踪!$C$7:$C$42,A38)</f>
        <v>23400</v>
      </c>
      <c r="E38">
        <v>11</v>
      </c>
      <c r="F38" s="25">
        <f>IF(E38=1,C38,G37)</f>
        <v>46635</v>
      </c>
      <c r="G38" s="25">
        <f>IF(E38&lt;参数设置!$B$13,DATE(YEAR(EDATE(C38,E38+1)),MONTH(EDATE(C38,E38+1)),参数设置!$B$14),EDATE(C38,参数设置!$B$13))</f>
        <v>46665</v>
      </c>
      <c r="H38">
        <f>G38-F38</f>
        <v>30</v>
      </c>
      <c r="I38" s="21">
        <f>IF(E38=参数设置!$B$13,D38,0)</f>
        <v>0</v>
      </c>
      <c r="J38" s="21">
        <f>IF(M38=1,ROUND(D38*参数设置!$B$11*H38/参数设置!$B$12,参数设置!$B$15),0)</f>
        <v>64.349999999999994</v>
      </c>
      <c r="K38" s="21">
        <f>I38+J38</f>
        <v>64.349999999999994</v>
      </c>
      <c r="L38" s="25">
        <f>EDATE(C38,参数设置!$B$13)</f>
        <v>46670</v>
      </c>
      <c r="M38">
        <f>--(D38&gt;0)</f>
        <v>1</v>
      </c>
    </row>
    <row r="39" spans="1:13" ht="15" customHeight="1">
      <c r="A39">
        <v>3</v>
      </c>
      <c r="B39">
        <v>3</v>
      </c>
      <c r="C39" s="25">
        <f>INDEX(实际执行追踪!$A$7:$A$42,A39)+DAY(参数设置!$B$4)-1</f>
        <v>46305</v>
      </c>
      <c r="D39" s="21">
        <f>INDEX(实际执行追踪!$C$7:$C$42,A39)</f>
        <v>23400</v>
      </c>
      <c r="E39">
        <v>12</v>
      </c>
      <c r="F39" s="25">
        <f>IF(E39=1,C39,G38)</f>
        <v>46665</v>
      </c>
      <c r="G39" s="25">
        <f>IF(E39&lt;参数设置!$B$13,DATE(YEAR(EDATE(C39,E39+1)),MONTH(EDATE(C39,E39+1)),参数设置!$B$14),EDATE(C39,参数设置!$B$13))</f>
        <v>46670</v>
      </c>
      <c r="H39">
        <f>G39-F39</f>
        <v>5</v>
      </c>
      <c r="I39" s="21">
        <f>IF(E39=参数设置!$B$13,D39,0)</f>
        <v>23400</v>
      </c>
      <c r="J39" s="21">
        <f>IF(M39=1,ROUND(D39*参数设置!$B$11*H39/参数设置!$B$12,参数设置!$B$15),0)</f>
        <v>10.73</v>
      </c>
      <c r="K39" s="21">
        <f>I39+J39</f>
        <v>23410.73</v>
      </c>
      <c r="L39" s="25">
        <f>EDATE(C39,参数设置!$B$13)</f>
        <v>46670</v>
      </c>
      <c r="M39">
        <f>--(D39&gt;0)</f>
        <v>1</v>
      </c>
    </row>
    <row r="40" spans="1:13" ht="15" customHeight="1">
      <c r="A40">
        <v>4</v>
      </c>
      <c r="B40">
        <v>4</v>
      </c>
      <c r="C40" s="25">
        <f>INDEX(实际执行追踪!$A$7:$A$42,A40)+DAY(参数设置!$B$4)-1</f>
        <v>46336</v>
      </c>
      <c r="D40" s="21">
        <f>INDEX(实际执行追踪!$C$7:$C$42,A40)</f>
        <v>23400</v>
      </c>
      <c r="E40">
        <v>1</v>
      </c>
      <c r="F40" s="25">
        <f>IF(E40=1,C40,G39)</f>
        <v>46336</v>
      </c>
      <c r="G40" s="25">
        <f>IF(E40&lt;参数设置!$B$13,DATE(YEAR(EDATE(C40,E40+1)),MONTH(EDATE(C40,E40+1)),参数设置!$B$14),EDATE(C40,参数设置!$B$13))</f>
        <v>46392</v>
      </c>
      <c r="H40">
        <f>G40-F40</f>
        <v>56</v>
      </c>
      <c r="I40" s="21">
        <f>IF(E40=参数设置!$B$13,D40,0)</f>
        <v>0</v>
      </c>
      <c r="J40" s="21">
        <f>IF(M40=1,ROUND(D40*参数设置!$B$11*H40/参数设置!$B$12,参数设置!$B$15),0)</f>
        <v>120.12</v>
      </c>
      <c r="K40" s="21">
        <f>I40+J40</f>
        <v>120.12</v>
      </c>
      <c r="L40" s="25">
        <f>EDATE(C40,参数设置!$B$13)</f>
        <v>46701</v>
      </c>
      <c r="M40">
        <f>--(D40&gt;0)</f>
        <v>1</v>
      </c>
    </row>
    <row r="41" spans="1:13" ht="15" customHeight="1">
      <c r="A41">
        <v>4</v>
      </c>
      <c r="B41">
        <v>4</v>
      </c>
      <c r="C41" s="25">
        <f>INDEX(实际执行追踪!$A$7:$A$42,A41)+DAY(参数设置!$B$4)-1</f>
        <v>46336</v>
      </c>
      <c r="D41" s="21">
        <f>INDEX(实际执行追踪!$C$7:$C$42,A41)</f>
        <v>23400</v>
      </c>
      <c r="E41">
        <v>2</v>
      </c>
      <c r="F41" s="25">
        <f>IF(E41=1,C41,G40)</f>
        <v>46392</v>
      </c>
      <c r="G41" s="25">
        <f>IF(E41&lt;参数设置!$B$13,DATE(YEAR(EDATE(C41,E41+1)),MONTH(EDATE(C41,E41+1)),参数设置!$B$14),EDATE(C41,参数设置!$B$13))</f>
        <v>46423</v>
      </c>
      <c r="H41">
        <f>G41-F41</f>
        <v>31</v>
      </c>
      <c r="I41" s="21">
        <f>IF(E41=参数设置!$B$13,D41,0)</f>
        <v>0</v>
      </c>
      <c r="J41" s="21">
        <f>IF(M41=1,ROUND(D41*参数设置!$B$11*H41/参数设置!$B$12,参数设置!$B$15),0)</f>
        <v>66.5</v>
      </c>
      <c r="K41" s="21">
        <f>I41+J41</f>
        <v>66.5</v>
      </c>
      <c r="L41" s="25">
        <f>EDATE(C41,参数设置!$B$13)</f>
        <v>46701</v>
      </c>
      <c r="M41">
        <f>--(D41&gt;0)</f>
        <v>1</v>
      </c>
    </row>
    <row r="42" spans="1:13" ht="15" customHeight="1">
      <c r="A42">
        <v>4</v>
      </c>
      <c r="B42">
        <v>4</v>
      </c>
      <c r="C42" s="25">
        <f>INDEX(实际执行追踪!$A$7:$A$42,A42)+DAY(参数设置!$B$4)-1</f>
        <v>46336</v>
      </c>
      <c r="D42" s="21">
        <f>INDEX(实际执行追踪!$C$7:$C$42,A42)</f>
        <v>23400</v>
      </c>
      <c r="E42">
        <v>3</v>
      </c>
      <c r="F42" s="25">
        <f>IF(E42=1,C42,G41)</f>
        <v>46423</v>
      </c>
      <c r="G42" s="25">
        <f>IF(E42&lt;参数设置!$B$13,DATE(YEAR(EDATE(C42,E42+1)),MONTH(EDATE(C42,E42+1)),参数设置!$B$14),EDATE(C42,参数设置!$B$13))</f>
        <v>46451</v>
      </c>
      <c r="H42">
        <f>G42-F42</f>
        <v>28</v>
      </c>
      <c r="I42" s="21">
        <f>IF(E42=参数设置!$B$13,D42,0)</f>
        <v>0</v>
      </c>
      <c r="J42" s="21">
        <f>IF(M42=1,ROUND(D42*参数设置!$B$11*H42/参数设置!$B$12,参数设置!$B$15),0)</f>
        <v>60.06</v>
      </c>
      <c r="K42" s="21">
        <f>I42+J42</f>
        <v>60.06</v>
      </c>
      <c r="L42" s="25">
        <f>EDATE(C42,参数设置!$B$13)</f>
        <v>46701</v>
      </c>
      <c r="M42">
        <f>--(D42&gt;0)</f>
        <v>1</v>
      </c>
    </row>
    <row r="43" spans="1:13" ht="15" customHeight="1">
      <c r="A43">
        <v>4</v>
      </c>
      <c r="B43">
        <v>4</v>
      </c>
      <c r="C43" s="25">
        <f>INDEX(实际执行追踪!$A$7:$A$42,A43)+DAY(参数设置!$B$4)-1</f>
        <v>46336</v>
      </c>
      <c r="D43" s="21">
        <f>INDEX(实际执行追踪!$C$7:$C$42,A43)</f>
        <v>23400</v>
      </c>
      <c r="E43">
        <v>4</v>
      </c>
      <c r="F43" s="25">
        <f>IF(E43=1,C43,G42)</f>
        <v>46451</v>
      </c>
      <c r="G43" s="25">
        <f>IF(E43&lt;参数设置!$B$13,DATE(YEAR(EDATE(C43,E43+1)),MONTH(EDATE(C43,E43+1)),参数设置!$B$14),EDATE(C43,参数设置!$B$13))</f>
        <v>46482</v>
      </c>
      <c r="H43">
        <f>G43-F43</f>
        <v>31</v>
      </c>
      <c r="I43" s="21">
        <f>IF(E43=参数设置!$B$13,D43,0)</f>
        <v>0</v>
      </c>
      <c r="J43" s="21">
        <f>IF(M43=1,ROUND(D43*参数设置!$B$11*H43/参数设置!$B$12,参数设置!$B$15),0)</f>
        <v>66.5</v>
      </c>
      <c r="K43" s="21">
        <f>I43+J43</f>
        <v>66.5</v>
      </c>
      <c r="L43" s="25">
        <f>EDATE(C43,参数设置!$B$13)</f>
        <v>46701</v>
      </c>
      <c r="M43">
        <f>--(D43&gt;0)</f>
        <v>1</v>
      </c>
    </row>
    <row r="44" spans="1:13" ht="15" customHeight="1">
      <c r="A44">
        <v>4</v>
      </c>
      <c r="B44">
        <v>4</v>
      </c>
      <c r="C44" s="25">
        <f>INDEX(实际执行追踪!$A$7:$A$42,A44)+DAY(参数设置!$B$4)-1</f>
        <v>46336</v>
      </c>
      <c r="D44" s="21">
        <f>INDEX(实际执行追踪!$C$7:$C$42,A44)</f>
        <v>23400</v>
      </c>
      <c r="E44">
        <v>5</v>
      </c>
      <c r="F44" s="25">
        <f>IF(E44=1,C44,G43)</f>
        <v>46482</v>
      </c>
      <c r="G44" s="25">
        <f>IF(E44&lt;参数设置!$B$13,DATE(YEAR(EDATE(C44,E44+1)),MONTH(EDATE(C44,E44+1)),参数设置!$B$14),EDATE(C44,参数设置!$B$13))</f>
        <v>46512</v>
      </c>
      <c r="H44">
        <f>G44-F44</f>
        <v>30</v>
      </c>
      <c r="I44" s="21">
        <f>IF(E44=参数设置!$B$13,D44,0)</f>
        <v>0</v>
      </c>
      <c r="J44" s="21">
        <f>IF(M44=1,ROUND(D44*参数设置!$B$11*H44/参数设置!$B$12,参数设置!$B$15),0)</f>
        <v>64.349999999999994</v>
      </c>
      <c r="K44" s="21">
        <f>I44+J44</f>
        <v>64.349999999999994</v>
      </c>
      <c r="L44" s="25">
        <f>EDATE(C44,参数设置!$B$13)</f>
        <v>46701</v>
      </c>
      <c r="M44">
        <f>--(D44&gt;0)</f>
        <v>1</v>
      </c>
    </row>
    <row r="45" spans="1:13" ht="15" customHeight="1">
      <c r="A45">
        <v>4</v>
      </c>
      <c r="B45">
        <v>4</v>
      </c>
      <c r="C45" s="25">
        <f>INDEX(实际执行追踪!$A$7:$A$42,A45)+DAY(参数设置!$B$4)-1</f>
        <v>46336</v>
      </c>
      <c r="D45" s="21">
        <f>INDEX(实际执行追踪!$C$7:$C$42,A45)</f>
        <v>23400</v>
      </c>
      <c r="E45">
        <v>6</v>
      </c>
      <c r="F45" s="25">
        <f>IF(E45=1,C45,G44)</f>
        <v>46512</v>
      </c>
      <c r="G45" s="25">
        <f>IF(E45&lt;参数设置!$B$13,DATE(YEAR(EDATE(C45,E45+1)),MONTH(EDATE(C45,E45+1)),参数设置!$B$14),EDATE(C45,参数设置!$B$13))</f>
        <v>46543</v>
      </c>
      <c r="H45">
        <f>G45-F45</f>
        <v>31</v>
      </c>
      <c r="I45" s="21">
        <f>IF(E45=参数设置!$B$13,D45,0)</f>
        <v>0</v>
      </c>
      <c r="J45" s="21">
        <f>IF(M45=1,ROUND(D45*参数设置!$B$11*H45/参数设置!$B$12,参数设置!$B$15),0)</f>
        <v>66.5</v>
      </c>
      <c r="K45" s="21">
        <f>I45+J45</f>
        <v>66.5</v>
      </c>
      <c r="L45" s="25">
        <f>EDATE(C45,参数设置!$B$13)</f>
        <v>46701</v>
      </c>
      <c r="M45">
        <f>--(D45&gt;0)</f>
        <v>1</v>
      </c>
    </row>
    <row r="46" spans="1:13" ht="15" customHeight="1">
      <c r="A46">
        <v>4</v>
      </c>
      <c r="B46">
        <v>4</v>
      </c>
      <c r="C46" s="25">
        <f>INDEX(实际执行追踪!$A$7:$A$42,A46)+DAY(参数设置!$B$4)-1</f>
        <v>46336</v>
      </c>
      <c r="D46" s="21">
        <f>INDEX(实际执行追踪!$C$7:$C$42,A46)</f>
        <v>23400</v>
      </c>
      <c r="E46">
        <v>7</v>
      </c>
      <c r="F46" s="25">
        <f>IF(E46=1,C46,G45)</f>
        <v>46543</v>
      </c>
      <c r="G46" s="25">
        <f>IF(E46&lt;参数设置!$B$13,DATE(YEAR(EDATE(C46,E46+1)),MONTH(EDATE(C46,E46+1)),参数设置!$B$14),EDATE(C46,参数设置!$B$13))</f>
        <v>46573</v>
      </c>
      <c r="H46">
        <f>G46-F46</f>
        <v>30</v>
      </c>
      <c r="I46" s="21">
        <f>IF(E46=参数设置!$B$13,D46,0)</f>
        <v>0</v>
      </c>
      <c r="J46" s="21">
        <f>IF(M46=1,ROUND(D46*参数设置!$B$11*H46/参数设置!$B$12,参数设置!$B$15),0)</f>
        <v>64.349999999999994</v>
      </c>
      <c r="K46" s="21">
        <f>I46+J46</f>
        <v>64.349999999999994</v>
      </c>
      <c r="L46" s="25">
        <f>EDATE(C46,参数设置!$B$13)</f>
        <v>46701</v>
      </c>
      <c r="M46">
        <f>--(D46&gt;0)</f>
        <v>1</v>
      </c>
    </row>
    <row r="47" spans="1:13" ht="15" customHeight="1">
      <c r="A47">
        <v>4</v>
      </c>
      <c r="B47">
        <v>4</v>
      </c>
      <c r="C47" s="25">
        <f>INDEX(实际执行追踪!$A$7:$A$42,A47)+DAY(参数设置!$B$4)-1</f>
        <v>46336</v>
      </c>
      <c r="D47" s="21">
        <f>INDEX(实际执行追踪!$C$7:$C$42,A47)</f>
        <v>23400</v>
      </c>
      <c r="E47">
        <v>8</v>
      </c>
      <c r="F47" s="25">
        <f>IF(E47=1,C47,G46)</f>
        <v>46573</v>
      </c>
      <c r="G47" s="25">
        <f>IF(E47&lt;参数设置!$B$13,DATE(YEAR(EDATE(C47,E47+1)),MONTH(EDATE(C47,E47+1)),参数设置!$B$14),EDATE(C47,参数设置!$B$13))</f>
        <v>46604</v>
      </c>
      <c r="H47">
        <f>G47-F47</f>
        <v>31</v>
      </c>
      <c r="I47" s="21">
        <f>IF(E47=参数设置!$B$13,D47,0)</f>
        <v>0</v>
      </c>
      <c r="J47" s="21">
        <f>IF(M47=1,ROUND(D47*参数设置!$B$11*H47/参数设置!$B$12,参数设置!$B$15),0)</f>
        <v>66.5</v>
      </c>
      <c r="K47" s="21">
        <f>I47+J47</f>
        <v>66.5</v>
      </c>
      <c r="L47" s="25">
        <f>EDATE(C47,参数设置!$B$13)</f>
        <v>46701</v>
      </c>
      <c r="M47">
        <f>--(D47&gt;0)</f>
        <v>1</v>
      </c>
    </row>
    <row r="48" spans="1:13" ht="15" customHeight="1">
      <c r="A48">
        <v>4</v>
      </c>
      <c r="B48">
        <v>4</v>
      </c>
      <c r="C48" s="25">
        <f>INDEX(实际执行追踪!$A$7:$A$42,A48)+DAY(参数设置!$B$4)-1</f>
        <v>46336</v>
      </c>
      <c r="D48" s="21">
        <f>INDEX(实际执行追踪!$C$7:$C$42,A48)</f>
        <v>23400</v>
      </c>
      <c r="E48">
        <v>9</v>
      </c>
      <c r="F48" s="25">
        <f>IF(E48=1,C48,G47)</f>
        <v>46604</v>
      </c>
      <c r="G48" s="25">
        <f>IF(E48&lt;参数设置!$B$13,DATE(YEAR(EDATE(C48,E48+1)),MONTH(EDATE(C48,E48+1)),参数设置!$B$14),EDATE(C48,参数设置!$B$13))</f>
        <v>46635</v>
      </c>
      <c r="H48">
        <f>G48-F48</f>
        <v>31</v>
      </c>
      <c r="I48" s="21">
        <f>IF(E48=参数设置!$B$13,D48,0)</f>
        <v>0</v>
      </c>
      <c r="J48" s="21">
        <f>IF(M48=1,ROUND(D48*参数设置!$B$11*H48/参数设置!$B$12,参数设置!$B$15),0)</f>
        <v>66.5</v>
      </c>
      <c r="K48" s="21">
        <f>I48+J48</f>
        <v>66.5</v>
      </c>
      <c r="L48" s="25">
        <f>EDATE(C48,参数设置!$B$13)</f>
        <v>46701</v>
      </c>
      <c r="M48">
        <f>--(D48&gt;0)</f>
        <v>1</v>
      </c>
    </row>
    <row r="49" spans="1:13" ht="15" customHeight="1">
      <c r="A49">
        <v>4</v>
      </c>
      <c r="B49">
        <v>4</v>
      </c>
      <c r="C49" s="25">
        <f>INDEX(实际执行追踪!$A$7:$A$42,A49)+DAY(参数设置!$B$4)-1</f>
        <v>46336</v>
      </c>
      <c r="D49" s="21">
        <f>INDEX(实际执行追踪!$C$7:$C$42,A49)</f>
        <v>23400</v>
      </c>
      <c r="E49">
        <v>10</v>
      </c>
      <c r="F49" s="25">
        <f>IF(E49=1,C49,G48)</f>
        <v>46635</v>
      </c>
      <c r="G49" s="25">
        <f>IF(E49&lt;参数设置!$B$13,DATE(YEAR(EDATE(C49,E49+1)),MONTH(EDATE(C49,E49+1)),参数设置!$B$14),EDATE(C49,参数设置!$B$13))</f>
        <v>46665</v>
      </c>
      <c r="H49">
        <f>G49-F49</f>
        <v>30</v>
      </c>
      <c r="I49" s="21">
        <f>IF(E49=参数设置!$B$13,D49,0)</f>
        <v>0</v>
      </c>
      <c r="J49" s="21">
        <f>IF(M49=1,ROUND(D49*参数设置!$B$11*H49/参数设置!$B$12,参数设置!$B$15),0)</f>
        <v>64.349999999999994</v>
      </c>
      <c r="K49" s="21">
        <f>I49+J49</f>
        <v>64.349999999999994</v>
      </c>
      <c r="L49" s="25">
        <f>EDATE(C49,参数设置!$B$13)</f>
        <v>46701</v>
      </c>
      <c r="M49">
        <f>--(D49&gt;0)</f>
        <v>1</v>
      </c>
    </row>
    <row r="50" spans="1:13" ht="15" customHeight="1">
      <c r="A50">
        <v>4</v>
      </c>
      <c r="B50">
        <v>4</v>
      </c>
      <c r="C50" s="25">
        <f>INDEX(实际执行追踪!$A$7:$A$42,A50)+DAY(参数设置!$B$4)-1</f>
        <v>46336</v>
      </c>
      <c r="D50" s="21">
        <f>INDEX(实际执行追踪!$C$7:$C$42,A50)</f>
        <v>23400</v>
      </c>
      <c r="E50">
        <v>11</v>
      </c>
      <c r="F50" s="25">
        <f>IF(E50=1,C50,G49)</f>
        <v>46665</v>
      </c>
      <c r="G50" s="25">
        <f>IF(E50&lt;参数设置!$B$13,DATE(YEAR(EDATE(C50,E50+1)),MONTH(EDATE(C50,E50+1)),参数设置!$B$14),EDATE(C50,参数设置!$B$13))</f>
        <v>46696</v>
      </c>
      <c r="H50">
        <f>G50-F50</f>
        <v>31</v>
      </c>
      <c r="I50" s="21">
        <f>IF(E50=参数设置!$B$13,D50,0)</f>
        <v>0</v>
      </c>
      <c r="J50" s="21">
        <f>IF(M50=1,ROUND(D50*参数设置!$B$11*H50/参数设置!$B$12,参数设置!$B$15),0)</f>
        <v>66.5</v>
      </c>
      <c r="K50" s="21">
        <f>I50+J50</f>
        <v>66.5</v>
      </c>
      <c r="L50" s="25">
        <f>EDATE(C50,参数设置!$B$13)</f>
        <v>46701</v>
      </c>
      <c r="M50">
        <f>--(D50&gt;0)</f>
        <v>1</v>
      </c>
    </row>
    <row r="51" spans="1:13" ht="15" customHeight="1">
      <c r="A51">
        <v>4</v>
      </c>
      <c r="B51">
        <v>4</v>
      </c>
      <c r="C51" s="25">
        <f>INDEX(实际执行追踪!$A$7:$A$42,A51)+DAY(参数设置!$B$4)-1</f>
        <v>46336</v>
      </c>
      <c r="D51" s="21">
        <f>INDEX(实际执行追踪!$C$7:$C$42,A51)</f>
        <v>23400</v>
      </c>
      <c r="E51">
        <v>12</v>
      </c>
      <c r="F51" s="25">
        <f>IF(E51=1,C51,G50)</f>
        <v>46696</v>
      </c>
      <c r="G51" s="25">
        <f>IF(E51&lt;参数设置!$B$13,DATE(YEAR(EDATE(C51,E51+1)),MONTH(EDATE(C51,E51+1)),参数设置!$B$14),EDATE(C51,参数设置!$B$13))</f>
        <v>46701</v>
      </c>
      <c r="H51">
        <f>G51-F51</f>
        <v>5</v>
      </c>
      <c r="I51" s="21">
        <f>IF(E51=参数设置!$B$13,D51,0)</f>
        <v>23400</v>
      </c>
      <c r="J51" s="21">
        <f>IF(M51=1,ROUND(D51*参数设置!$B$11*H51/参数设置!$B$12,参数设置!$B$15),0)</f>
        <v>10.73</v>
      </c>
      <c r="K51" s="21">
        <f>I51+J51</f>
        <v>23410.73</v>
      </c>
      <c r="L51" s="25">
        <f>EDATE(C51,参数设置!$B$13)</f>
        <v>46701</v>
      </c>
      <c r="M51">
        <f>--(D51&gt;0)</f>
        <v>1</v>
      </c>
    </row>
    <row r="52" spans="1:13" ht="15" customHeight="1">
      <c r="A52">
        <v>5</v>
      </c>
      <c r="B52">
        <v>5</v>
      </c>
      <c r="C52" s="25">
        <f>INDEX(实际执行追踪!$A$7:$A$42,A52)+DAY(参数设置!$B$4)-1</f>
        <v>46366</v>
      </c>
      <c r="D52" s="21">
        <f>INDEX(实际执行追踪!$C$7:$C$42,A52)</f>
        <v>23400</v>
      </c>
      <c r="E52">
        <v>1</v>
      </c>
      <c r="F52" s="25">
        <f>IF(E52=1,C52,G51)</f>
        <v>46366</v>
      </c>
      <c r="G52" s="25">
        <f>IF(E52&lt;参数设置!$B$13,DATE(YEAR(EDATE(C52,E52+1)),MONTH(EDATE(C52,E52+1)),参数设置!$B$14),EDATE(C52,参数设置!$B$13))</f>
        <v>46423</v>
      </c>
      <c r="H52">
        <f>G52-F52</f>
        <v>57</v>
      </c>
      <c r="I52" s="21">
        <f>IF(E52=参数设置!$B$13,D52,0)</f>
        <v>0</v>
      </c>
      <c r="J52" s="21">
        <f>IF(M52=1,ROUND(D52*参数设置!$B$11*H52/参数设置!$B$12,参数设置!$B$15),0)</f>
        <v>122.27</v>
      </c>
      <c r="K52" s="21">
        <f>I52+J52</f>
        <v>122.27</v>
      </c>
      <c r="L52" s="25">
        <f>EDATE(C52,参数设置!$B$13)</f>
        <v>46731</v>
      </c>
      <c r="M52">
        <f>--(D52&gt;0)</f>
        <v>1</v>
      </c>
    </row>
    <row r="53" spans="1:13" ht="15" customHeight="1">
      <c r="A53">
        <v>5</v>
      </c>
      <c r="B53">
        <v>5</v>
      </c>
      <c r="C53" s="25">
        <f>INDEX(实际执行追踪!$A$7:$A$42,A53)+DAY(参数设置!$B$4)-1</f>
        <v>46366</v>
      </c>
      <c r="D53" s="21">
        <f>INDEX(实际执行追踪!$C$7:$C$42,A53)</f>
        <v>23400</v>
      </c>
      <c r="E53">
        <v>2</v>
      </c>
      <c r="F53" s="25">
        <f>IF(E53=1,C53,G52)</f>
        <v>46423</v>
      </c>
      <c r="G53" s="25">
        <f>IF(E53&lt;参数设置!$B$13,DATE(YEAR(EDATE(C53,E53+1)),MONTH(EDATE(C53,E53+1)),参数设置!$B$14),EDATE(C53,参数设置!$B$13))</f>
        <v>46451</v>
      </c>
      <c r="H53">
        <f>G53-F53</f>
        <v>28</v>
      </c>
      <c r="I53" s="21">
        <f>IF(E53=参数设置!$B$13,D53,0)</f>
        <v>0</v>
      </c>
      <c r="J53" s="21">
        <f>IF(M53=1,ROUND(D53*参数设置!$B$11*H53/参数设置!$B$12,参数设置!$B$15),0)</f>
        <v>60.06</v>
      </c>
      <c r="K53" s="21">
        <f>I53+J53</f>
        <v>60.06</v>
      </c>
      <c r="L53" s="25">
        <f>EDATE(C53,参数设置!$B$13)</f>
        <v>46731</v>
      </c>
      <c r="M53">
        <f>--(D53&gt;0)</f>
        <v>1</v>
      </c>
    </row>
    <row r="54" spans="1:13" ht="15" customHeight="1">
      <c r="A54">
        <v>5</v>
      </c>
      <c r="B54">
        <v>5</v>
      </c>
      <c r="C54" s="25">
        <f>INDEX(实际执行追踪!$A$7:$A$42,A54)+DAY(参数设置!$B$4)-1</f>
        <v>46366</v>
      </c>
      <c r="D54" s="21">
        <f>INDEX(实际执行追踪!$C$7:$C$42,A54)</f>
        <v>23400</v>
      </c>
      <c r="E54">
        <v>3</v>
      </c>
      <c r="F54" s="25">
        <f>IF(E54=1,C54,G53)</f>
        <v>46451</v>
      </c>
      <c r="G54" s="25">
        <f>IF(E54&lt;参数设置!$B$13,DATE(YEAR(EDATE(C54,E54+1)),MONTH(EDATE(C54,E54+1)),参数设置!$B$14),EDATE(C54,参数设置!$B$13))</f>
        <v>46482</v>
      </c>
      <c r="H54">
        <f>G54-F54</f>
        <v>31</v>
      </c>
      <c r="I54" s="21">
        <f>IF(E54=参数设置!$B$13,D54,0)</f>
        <v>0</v>
      </c>
      <c r="J54" s="21">
        <f>IF(M54=1,ROUND(D54*参数设置!$B$11*H54/参数设置!$B$12,参数设置!$B$15),0)</f>
        <v>66.5</v>
      </c>
      <c r="K54" s="21">
        <f>I54+J54</f>
        <v>66.5</v>
      </c>
      <c r="L54" s="25">
        <f>EDATE(C54,参数设置!$B$13)</f>
        <v>46731</v>
      </c>
      <c r="M54">
        <f>--(D54&gt;0)</f>
        <v>1</v>
      </c>
    </row>
    <row r="55" spans="1:13" ht="15" customHeight="1">
      <c r="A55">
        <v>5</v>
      </c>
      <c r="B55">
        <v>5</v>
      </c>
      <c r="C55" s="25">
        <f>INDEX(实际执行追踪!$A$7:$A$42,A55)+DAY(参数设置!$B$4)-1</f>
        <v>46366</v>
      </c>
      <c r="D55" s="21">
        <f>INDEX(实际执行追踪!$C$7:$C$42,A55)</f>
        <v>23400</v>
      </c>
      <c r="E55">
        <v>4</v>
      </c>
      <c r="F55" s="25">
        <f>IF(E55=1,C55,G54)</f>
        <v>46482</v>
      </c>
      <c r="G55" s="25">
        <f>IF(E55&lt;参数设置!$B$13,DATE(YEAR(EDATE(C55,E55+1)),MONTH(EDATE(C55,E55+1)),参数设置!$B$14),EDATE(C55,参数设置!$B$13))</f>
        <v>46512</v>
      </c>
      <c r="H55">
        <f>G55-F55</f>
        <v>30</v>
      </c>
      <c r="I55" s="21">
        <f>IF(E55=参数设置!$B$13,D55,0)</f>
        <v>0</v>
      </c>
      <c r="J55" s="21">
        <f>IF(M55=1,ROUND(D55*参数设置!$B$11*H55/参数设置!$B$12,参数设置!$B$15),0)</f>
        <v>64.349999999999994</v>
      </c>
      <c r="K55" s="21">
        <f>I55+J55</f>
        <v>64.349999999999994</v>
      </c>
      <c r="L55" s="25">
        <f>EDATE(C55,参数设置!$B$13)</f>
        <v>46731</v>
      </c>
      <c r="M55">
        <f>--(D55&gt;0)</f>
        <v>1</v>
      </c>
    </row>
    <row r="56" spans="1:13" ht="15" customHeight="1">
      <c r="A56">
        <v>5</v>
      </c>
      <c r="B56">
        <v>5</v>
      </c>
      <c r="C56" s="25">
        <f>INDEX(实际执行追踪!$A$7:$A$42,A56)+DAY(参数设置!$B$4)-1</f>
        <v>46366</v>
      </c>
      <c r="D56" s="21">
        <f>INDEX(实际执行追踪!$C$7:$C$42,A56)</f>
        <v>23400</v>
      </c>
      <c r="E56">
        <v>5</v>
      </c>
      <c r="F56" s="25">
        <f>IF(E56=1,C56,G55)</f>
        <v>46512</v>
      </c>
      <c r="G56" s="25">
        <f>IF(E56&lt;参数设置!$B$13,DATE(YEAR(EDATE(C56,E56+1)),MONTH(EDATE(C56,E56+1)),参数设置!$B$14),EDATE(C56,参数设置!$B$13))</f>
        <v>46543</v>
      </c>
      <c r="H56">
        <f>G56-F56</f>
        <v>31</v>
      </c>
      <c r="I56" s="21">
        <f>IF(E56=参数设置!$B$13,D56,0)</f>
        <v>0</v>
      </c>
      <c r="J56" s="21">
        <f>IF(M56=1,ROUND(D56*参数设置!$B$11*H56/参数设置!$B$12,参数设置!$B$15),0)</f>
        <v>66.5</v>
      </c>
      <c r="K56" s="21">
        <f>I56+J56</f>
        <v>66.5</v>
      </c>
      <c r="L56" s="25">
        <f>EDATE(C56,参数设置!$B$13)</f>
        <v>46731</v>
      </c>
      <c r="M56">
        <f>--(D56&gt;0)</f>
        <v>1</v>
      </c>
    </row>
    <row r="57" spans="1:13" ht="15" customHeight="1">
      <c r="A57">
        <v>5</v>
      </c>
      <c r="B57">
        <v>5</v>
      </c>
      <c r="C57" s="25">
        <f>INDEX(实际执行追踪!$A$7:$A$42,A57)+DAY(参数设置!$B$4)-1</f>
        <v>46366</v>
      </c>
      <c r="D57" s="21">
        <f>INDEX(实际执行追踪!$C$7:$C$42,A57)</f>
        <v>23400</v>
      </c>
      <c r="E57">
        <v>6</v>
      </c>
      <c r="F57" s="25">
        <f>IF(E57=1,C57,G56)</f>
        <v>46543</v>
      </c>
      <c r="G57" s="25">
        <f>IF(E57&lt;参数设置!$B$13,DATE(YEAR(EDATE(C57,E57+1)),MONTH(EDATE(C57,E57+1)),参数设置!$B$14),EDATE(C57,参数设置!$B$13))</f>
        <v>46573</v>
      </c>
      <c r="H57">
        <f>G57-F57</f>
        <v>30</v>
      </c>
      <c r="I57" s="21">
        <f>IF(E57=参数设置!$B$13,D57,0)</f>
        <v>0</v>
      </c>
      <c r="J57" s="21">
        <f>IF(M57=1,ROUND(D57*参数设置!$B$11*H57/参数设置!$B$12,参数设置!$B$15),0)</f>
        <v>64.349999999999994</v>
      </c>
      <c r="K57" s="21">
        <f>I57+J57</f>
        <v>64.349999999999994</v>
      </c>
      <c r="L57" s="25">
        <f>EDATE(C57,参数设置!$B$13)</f>
        <v>46731</v>
      </c>
      <c r="M57">
        <f>--(D57&gt;0)</f>
        <v>1</v>
      </c>
    </row>
    <row r="58" spans="1:13" ht="15" customHeight="1">
      <c r="A58">
        <v>5</v>
      </c>
      <c r="B58">
        <v>5</v>
      </c>
      <c r="C58" s="25">
        <f>INDEX(实际执行追踪!$A$7:$A$42,A58)+DAY(参数设置!$B$4)-1</f>
        <v>46366</v>
      </c>
      <c r="D58" s="21">
        <f>INDEX(实际执行追踪!$C$7:$C$42,A58)</f>
        <v>23400</v>
      </c>
      <c r="E58">
        <v>7</v>
      </c>
      <c r="F58" s="25">
        <f>IF(E58=1,C58,G57)</f>
        <v>46573</v>
      </c>
      <c r="G58" s="25">
        <f>IF(E58&lt;参数设置!$B$13,DATE(YEAR(EDATE(C58,E58+1)),MONTH(EDATE(C58,E58+1)),参数设置!$B$14),EDATE(C58,参数设置!$B$13))</f>
        <v>46604</v>
      </c>
      <c r="H58">
        <f>G58-F58</f>
        <v>31</v>
      </c>
      <c r="I58" s="21">
        <f>IF(E58=参数设置!$B$13,D58,0)</f>
        <v>0</v>
      </c>
      <c r="J58" s="21">
        <f>IF(M58=1,ROUND(D58*参数设置!$B$11*H58/参数设置!$B$12,参数设置!$B$15),0)</f>
        <v>66.5</v>
      </c>
      <c r="K58" s="21">
        <f>I58+J58</f>
        <v>66.5</v>
      </c>
      <c r="L58" s="25">
        <f>EDATE(C58,参数设置!$B$13)</f>
        <v>46731</v>
      </c>
      <c r="M58">
        <f>--(D58&gt;0)</f>
        <v>1</v>
      </c>
    </row>
    <row r="59" spans="1:13" ht="15" customHeight="1">
      <c r="A59">
        <v>5</v>
      </c>
      <c r="B59">
        <v>5</v>
      </c>
      <c r="C59" s="25">
        <f>INDEX(实际执行追踪!$A$7:$A$42,A59)+DAY(参数设置!$B$4)-1</f>
        <v>46366</v>
      </c>
      <c r="D59" s="21">
        <f>INDEX(实际执行追踪!$C$7:$C$42,A59)</f>
        <v>23400</v>
      </c>
      <c r="E59">
        <v>8</v>
      </c>
      <c r="F59" s="25">
        <f>IF(E59=1,C59,G58)</f>
        <v>46604</v>
      </c>
      <c r="G59" s="25">
        <f>IF(E59&lt;参数设置!$B$13,DATE(YEAR(EDATE(C59,E59+1)),MONTH(EDATE(C59,E59+1)),参数设置!$B$14),EDATE(C59,参数设置!$B$13))</f>
        <v>46635</v>
      </c>
      <c r="H59">
        <f>G59-F59</f>
        <v>31</v>
      </c>
      <c r="I59" s="21">
        <f>IF(E59=参数设置!$B$13,D59,0)</f>
        <v>0</v>
      </c>
      <c r="J59" s="21">
        <f>IF(M59=1,ROUND(D59*参数设置!$B$11*H59/参数设置!$B$12,参数设置!$B$15),0)</f>
        <v>66.5</v>
      </c>
      <c r="K59" s="21">
        <f>I59+J59</f>
        <v>66.5</v>
      </c>
      <c r="L59" s="25">
        <f>EDATE(C59,参数设置!$B$13)</f>
        <v>46731</v>
      </c>
      <c r="M59">
        <f>--(D59&gt;0)</f>
        <v>1</v>
      </c>
    </row>
    <row r="60" spans="1:13" ht="15" customHeight="1">
      <c r="A60">
        <v>5</v>
      </c>
      <c r="B60">
        <v>5</v>
      </c>
      <c r="C60" s="25">
        <f>INDEX(实际执行追踪!$A$7:$A$42,A60)+DAY(参数设置!$B$4)-1</f>
        <v>46366</v>
      </c>
      <c r="D60" s="21">
        <f>INDEX(实际执行追踪!$C$7:$C$42,A60)</f>
        <v>23400</v>
      </c>
      <c r="E60">
        <v>9</v>
      </c>
      <c r="F60" s="25">
        <f>IF(E60=1,C60,G59)</f>
        <v>46635</v>
      </c>
      <c r="G60" s="25">
        <f>IF(E60&lt;参数设置!$B$13,DATE(YEAR(EDATE(C60,E60+1)),MONTH(EDATE(C60,E60+1)),参数设置!$B$14),EDATE(C60,参数设置!$B$13))</f>
        <v>46665</v>
      </c>
      <c r="H60">
        <f>G60-F60</f>
        <v>30</v>
      </c>
      <c r="I60" s="21">
        <f>IF(E60=参数设置!$B$13,D60,0)</f>
        <v>0</v>
      </c>
      <c r="J60" s="21">
        <f>IF(M60=1,ROUND(D60*参数设置!$B$11*H60/参数设置!$B$12,参数设置!$B$15),0)</f>
        <v>64.349999999999994</v>
      </c>
      <c r="K60" s="21">
        <f>I60+J60</f>
        <v>64.349999999999994</v>
      </c>
      <c r="L60" s="25">
        <f>EDATE(C60,参数设置!$B$13)</f>
        <v>46731</v>
      </c>
      <c r="M60">
        <f>--(D60&gt;0)</f>
        <v>1</v>
      </c>
    </row>
    <row r="61" spans="1:13" ht="15" customHeight="1">
      <c r="A61">
        <v>5</v>
      </c>
      <c r="B61">
        <v>5</v>
      </c>
      <c r="C61" s="25">
        <f>INDEX(实际执行追踪!$A$7:$A$42,A61)+DAY(参数设置!$B$4)-1</f>
        <v>46366</v>
      </c>
      <c r="D61" s="21">
        <f>INDEX(实际执行追踪!$C$7:$C$42,A61)</f>
        <v>23400</v>
      </c>
      <c r="E61">
        <v>10</v>
      </c>
      <c r="F61" s="25">
        <f>IF(E61=1,C61,G60)</f>
        <v>46665</v>
      </c>
      <c r="G61" s="25">
        <f>IF(E61&lt;参数设置!$B$13,DATE(YEAR(EDATE(C61,E61+1)),MONTH(EDATE(C61,E61+1)),参数设置!$B$14),EDATE(C61,参数设置!$B$13))</f>
        <v>46696</v>
      </c>
      <c r="H61">
        <f>G61-F61</f>
        <v>31</v>
      </c>
      <c r="I61" s="21">
        <f>IF(E61=参数设置!$B$13,D61,0)</f>
        <v>0</v>
      </c>
      <c r="J61" s="21">
        <f>IF(M61=1,ROUND(D61*参数设置!$B$11*H61/参数设置!$B$12,参数设置!$B$15),0)</f>
        <v>66.5</v>
      </c>
      <c r="K61" s="21">
        <f>I61+J61</f>
        <v>66.5</v>
      </c>
      <c r="L61" s="25">
        <f>EDATE(C61,参数设置!$B$13)</f>
        <v>46731</v>
      </c>
      <c r="M61">
        <f>--(D61&gt;0)</f>
        <v>1</v>
      </c>
    </row>
    <row r="62" spans="1:13" ht="15" customHeight="1">
      <c r="A62">
        <v>5</v>
      </c>
      <c r="B62">
        <v>5</v>
      </c>
      <c r="C62" s="25">
        <f>INDEX(实际执行追踪!$A$7:$A$42,A62)+DAY(参数设置!$B$4)-1</f>
        <v>46366</v>
      </c>
      <c r="D62" s="21">
        <f>INDEX(实际执行追踪!$C$7:$C$42,A62)</f>
        <v>23400</v>
      </c>
      <c r="E62">
        <v>11</v>
      </c>
      <c r="F62" s="25">
        <f>IF(E62=1,C62,G61)</f>
        <v>46696</v>
      </c>
      <c r="G62" s="25">
        <f>IF(E62&lt;参数设置!$B$13,DATE(YEAR(EDATE(C62,E62+1)),MONTH(EDATE(C62,E62+1)),参数设置!$B$14),EDATE(C62,参数设置!$B$13))</f>
        <v>46726</v>
      </c>
      <c r="H62">
        <f>G62-F62</f>
        <v>30</v>
      </c>
      <c r="I62" s="21">
        <f>IF(E62=参数设置!$B$13,D62,0)</f>
        <v>0</v>
      </c>
      <c r="J62" s="21">
        <f>IF(M62=1,ROUND(D62*参数设置!$B$11*H62/参数设置!$B$12,参数设置!$B$15),0)</f>
        <v>64.349999999999994</v>
      </c>
      <c r="K62" s="21">
        <f>I62+J62</f>
        <v>64.349999999999994</v>
      </c>
      <c r="L62" s="25">
        <f>EDATE(C62,参数设置!$B$13)</f>
        <v>46731</v>
      </c>
      <c r="M62">
        <f>--(D62&gt;0)</f>
        <v>1</v>
      </c>
    </row>
    <row r="63" spans="1:13" ht="15" customHeight="1">
      <c r="A63">
        <v>5</v>
      </c>
      <c r="B63">
        <v>5</v>
      </c>
      <c r="C63" s="25">
        <f>INDEX(实际执行追踪!$A$7:$A$42,A63)+DAY(参数设置!$B$4)-1</f>
        <v>46366</v>
      </c>
      <c r="D63" s="21">
        <f>INDEX(实际执行追踪!$C$7:$C$42,A63)</f>
        <v>23400</v>
      </c>
      <c r="E63">
        <v>12</v>
      </c>
      <c r="F63" s="25">
        <f>IF(E63=1,C63,G62)</f>
        <v>46726</v>
      </c>
      <c r="G63" s="25">
        <f>IF(E63&lt;参数设置!$B$13,DATE(YEAR(EDATE(C63,E63+1)),MONTH(EDATE(C63,E63+1)),参数设置!$B$14),EDATE(C63,参数设置!$B$13))</f>
        <v>46731</v>
      </c>
      <c r="H63">
        <f>G63-F63</f>
        <v>5</v>
      </c>
      <c r="I63" s="21">
        <f>IF(E63=参数设置!$B$13,D63,0)</f>
        <v>23400</v>
      </c>
      <c r="J63" s="21">
        <f>IF(M63=1,ROUND(D63*参数设置!$B$11*H63/参数设置!$B$12,参数设置!$B$15),0)</f>
        <v>10.73</v>
      </c>
      <c r="K63" s="21">
        <f>I63+J63</f>
        <v>23410.73</v>
      </c>
      <c r="L63" s="25">
        <f>EDATE(C63,参数设置!$B$13)</f>
        <v>46731</v>
      </c>
      <c r="M63">
        <f>--(D63&gt;0)</f>
        <v>1</v>
      </c>
    </row>
    <row r="64" spans="1:13" ht="15" customHeight="1">
      <c r="A64">
        <v>6</v>
      </c>
      <c r="B64">
        <v>6</v>
      </c>
      <c r="C64" s="25">
        <f>INDEX(实际执行追踪!$A$7:$A$42,A64)+DAY(参数设置!$B$4)-1</f>
        <v>46397</v>
      </c>
      <c r="D64" s="21">
        <f>INDEX(实际执行追踪!$C$7:$C$42,A64)</f>
        <v>23400</v>
      </c>
      <c r="E64">
        <v>1</v>
      </c>
      <c r="F64" s="25">
        <f>IF(E64=1,C64,G63)</f>
        <v>46397</v>
      </c>
      <c r="G64" s="25">
        <f>IF(E64&lt;参数设置!$B$13,DATE(YEAR(EDATE(C64,E64+1)),MONTH(EDATE(C64,E64+1)),参数设置!$B$14),EDATE(C64,参数设置!$B$13))</f>
        <v>46451</v>
      </c>
      <c r="H64">
        <f>G64-F64</f>
        <v>54</v>
      </c>
      <c r="I64" s="21">
        <f>IF(E64=参数设置!$B$13,D64,0)</f>
        <v>0</v>
      </c>
      <c r="J64" s="21">
        <f>IF(M64=1,ROUND(D64*参数设置!$B$11*H64/参数设置!$B$12,参数设置!$B$15),0)</f>
        <v>115.83</v>
      </c>
      <c r="K64" s="21">
        <f>I64+J64</f>
        <v>115.83</v>
      </c>
      <c r="L64" s="25">
        <f>EDATE(C64,参数设置!$B$13)</f>
        <v>46762</v>
      </c>
      <c r="M64">
        <f>--(D64&gt;0)</f>
        <v>1</v>
      </c>
    </row>
    <row r="65" spans="1:13" ht="15" customHeight="1">
      <c r="A65">
        <v>6</v>
      </c>
      <c r="B65">
        <v>6</v>
      </c>
      <c r="C65" s="25">
        <f>INDEX(实际执行追踪!$A$7:$A$42,A65)+DAY(参数设置!$B$4)-1</f>
        <v>46397</v>
      </c>
      <c r="D65" s="21">
        <f>INDEX(实际执行追踪!$C$7:$C$42,A65)</f>
        <v>23400</v>
      </c>
      <c r="E65">
        <v>2</v>
      </c>
      <c r="F65" s="25">
        <f>IF(E65=1,C65,G64)</f>
        <v>46451</v>
      </c>
      <c r="G65" s="25">
        <f>IF(E65&lt;参数设置!$B$13,DATE(YEAR(EDATE(C65,E65+1)),MONTH(EDATE(C65,E65+1)),参数设置!$B$14),EDATE(C65,参数设置!$B$13))</f>
        <v>46482</v>
      </c>
      <c r="H65">
        <f>G65-F65</f>
        <v>31</v>
      </c>
      <c r="I65" s="21">
        <f>IF(E65=参数设置!$B$13,D65,0)</f>
        <v>0</v>
      </c>
      <c r="J65" s="21">
        <f>IF(M65=1,ROUND(D65*参数设置!$B$11*H65/参数设置!$B$12,参数设置!$B$15),0)</f>
        <v>66.5</v>
      </c>
      <c r="K65" s="21">
        <f>I65+J65</f>
        <v>66.5</v>
      </c>
      <c r="L65" s="25">
        <f>EDATE(C65,参数设置!$B$13)</f>
        <v>46762</v>
      </c>
      <c r="M65">
        <f>--(D65&gt;0)</f>
        <v>1</v>
      </c>
    </row>
    <row r="66" spans="1:13" ht="15" customHeight="1">
      <c r="A66">
        <v>6</v>
      </c>
      <c r="B66">
        <v>6</v>
      </c>
      <c r="C66" s="25">
        <f>INDEX(实际执行追踪!$A$7:$A$42,A66)+DAY(参数设置!$B$4)-1</f>
        <v>46397</v>
      </c>
      <c r="D66" s="21">
        <f>INDEX(实际执行追踪!$C$7:$C$42,A66)</f>
        <v>23400</v>
      </c>
      <c r="E66">
        <v>3</v>
      </c>
      <c r="F66" s="25">
        <f>IF(E66=1,C66,G65)</f>
        <v>46482</v>
      </c>
      <c r="G66" s="25">
        <f>IF(E66&lt;参数设置!$B$13,DATE(YEAR(EDATE(C66,E66+1)),MONTH(EDATE(C66,E66+1)),参数设置!$B$14),EDATE(C66,参数设置!$B$13))</f>
        <v>46512</v>
      </c>
      <c r="H66">
        <f>G66-F66</f>
        <v>30</v>
      </c>
      <c r="I66" s="21">
        <f>IF(E66=参数设置!$B$13,D66,0)</f>
        <v>0</v>
      </c>
      <c r="J66" s="21">
        <f>IF(M66=1,ROUND(D66*参数设置!$B$11*H66/参数设置!$B$12,参数设置!$B$15),0)</f>
        <v>64.349999999999994</v>
      </c>
      <c r="K66" s="21">
        <f>I66+J66</f>
        <v>64.349999999999994</v>
      </c>
      <c r="L66" s="25">
        <f>EDATE(C66,参数设置!$B$13)</f>
        <v>46762</v>
      </c>
      <c r="M66">
        <f>--(D66&gt;0)</f>
        <v>1</v>
      </c>
    </row>
    <row r="67" spans="1:13" ht="15" customHeight="1">
      <c r="A67">
        <v>6</v>
      </c>
      <c r="B67">
        <v>6</v>
      </c>
      <c r="C67" s="25">
        <f>INDEX(实际执行追踪!$A$7:$A$42,A67)+DAY(参数设置!$B$4)-1</f>
        <v>46397</v>
      </c>
      <c r="D67" s="21">
        <f>INDEX(实际执行追踪!$C$7:$C$42,A67)</f>
        <v>23400</v>
      </c>
      <c r="E67">
        <v>4</v>
      </c>
      <c r="F67" s="25">
        <f>IF(E67=1,C67,G66)</f>
        <v>46512</v>
      </c>
      <c r="G67" s="25">
        <f>IF(E67&lt;参数设置!$B$13,DATE(YEAR(EDATE(C67,E67+1)),MONTH(EDATE(C67,E67+1)),参数设置!$B$14),EDATE(C67,参数设置!$B$13))</f>
        <v>46543</v>
      </c>
      <c r="H67">
        <f>G67-F67</f>
        <v>31</v>
      </c>
      <c r="I67" s="21">
        <f>IF(E67=参数设置!$B$13,D67,0)</f>
        <v>0</v>
      </c>
      <c r="J67" s="21">
        <f>IF(M67=1,ROUND(D67*参数设置!$B$11*H67/参数设置!$B$12,参数设置!$B$15),0)</f>
        <v>66.5</v>
      </c>
      <c r="K67" s="21">
        <f>I67+J67</f>
        <v>66.5</v>
      </c>
      <c r="L67" s="25">
        <f>EDATE(C67,参数设置!$B$13)</f>
        <v>46762</v>
      </c>
      <c r="M67">
        <f>--(D67&gt;0)</f>
        <v>1</v>
      </c>
    </row>
    <row r="68" spans="1:13" ht="15" customHeight="1">
      <c r="A68">
        <v>6</v>
      </c>
      <c r="B68">
        <v>6</v>
      </c>
      <c r="C68" s="25">
        <f>INDEX(实际执行追踪!$A$7:$A$42,A68)+DAY(参数设置!$B$4)-1</f>
        <v>46397</v>
      </c>
      <c r="D68" s="21">
        <f>INDEX(实际执行追踪!$C$7:$C$42,A68)</f>
        <v>23400</v>
      </c>
      <c r="E68">
        <v>5</v>
      </c>
      <c r="F68" s="25">
        <f>IF(E68=1,C68,G67)</f>
        <v>46543</v>
      </c>
      <c r="G68" s="25">
        <f>IF(E68&lt;参数设置!$B$13,DATE(YEAR(EDATE(C68,E68+1)),MONTH(EDATE(C68,E68+1)),参数设置!$B$14),EDATE(C68,参数设置!$B$13))</f>
        <v>46573</v>
      </c>
      <c r="H68">
        <f>G68-F68</f>
        <v>30</v>
      </c>
      <c r="I68" s="21">
        <f>IF(E68=参数设置!$B$13,D68,0)</f>
        <v>0</v>
      </c>
      <c r="J68" s="21">
        <f>IF(M68=1,ROUND(D68*参数设置!$B$11*H68/参数设置!$B$12,参数设置!$B$15),0)</f>
        <v>64.349999999999994</v>
      </c>
      <c r="K68" s="21">
        <f>I68+J68</f>
        <v>64.349999999999994</v>
      </c>
      <c r="L68" s="25">
        <f>EDATE(C68,参数设置!$B$13)</f>
        <v>46762</v>
      </c>
      <c r="M68">
        <f>--(D68&gt;0)</f>
        <v>1</v>
      </c>
    </row>
    <row r="69" spans="1:13" ht="15" customHeight="1">
      <c r="A69">
        <v>6</v>
      </c>
      <c r="B69">
        <v>6</v>
      </c>
      <c r="C69" s="25">
        <f>INDEX(实际执行追踪!$A$7:$A$42,A69)+DAY(参数设置!$B$4)-1</f>
        <v>46397</v>
      </c>
      <c r="D69" s="21">
        <f>INDEX(实际执行追踪!$C$7:$C$42,A69)</f>
        <v>23400</v>
      </c>
      <c r="E69">
        <v>6</v>
      </c>
      <c r="F69" s="25">
        <f>IF(E69=1,C69,G68)</f>
        <v>46573</v>
      </c>
      <c r="G69" s="25">
        <f>IF(E69&lt;参数设置!$B$13,DATE(YEAR(EDATE(C69,E69+1)),MONTH(EDATE(C69,E69+1)),参数设置!$B$14),EDATE(C69,参数设置!$B$13))</f>
        <v>46604</v>
      </c>
      <c r="H69">
        <f>G69-F69</f>
        <v>31</v>
      </c>
      <c r="I69" s="21">
        <f>IF(E69=参数设置!$B$13,D69,0)</f>
        <v>0</v>
      </c>
      <c r="J69" s="21">
        <f>IF(M69=1,ROUND(D69*参数设置!$B$11*H69/参数设置!$B$12,参数设置!$B$15),0)</f>
        <v>66.5</v>
      </c>
      <c r="K69" s="21">
        <f>I69+J69</f>
        <v>66.5</v>
      </c>
      <c r="L69" s="25">
        <f>EDATE(C69,参数设置!$B$13)</f>
        <v>46762</v>
      </c>
      <c r="M69">
        <f>--(D69&gt;0)</f>
        <v>1</v>
      </c>
    </row>
    <row r="70" spans="1:13" ht="15" customHeight="1">
      <c r="A70">
        <v>6</v>
      </c>
      <c r="B70">
        <v>6</v>
      </c>
      <c r="C70" s="25">
        <f>INDEX(实际执行追踪!$A$7:$A$42,A70)+DAY(参数设置!$B$4)-1</f>
        <v>46397</v>
      </c>
      <c r="D70" s="21">
        <f>INDEX(实际执行追踪!$C$7:$C$42,A70)</f>
        <v>23400</v>
      </c>
      <c r="E70">
        <v>7</v>
      </c>
      <c r="F70" s="25">
        <f>IF(E70=1,C70,G69)</f>
        <v>46604</v>
      </c>
      <c r="G70" s="25">
        <f>IF(E70&lt;参数设置!$B$13,DATE(YEAR(EDATE(C70,E70+1)),MONTH(EDATE(C70,E70+1)),参数设置!$B$14),EDATE(C70,参数设置!$B$13))</f>
        <v>46635</v>
      </c>
      <c r="H70">
        <f>G70-F70</f>
        <v>31</v>
      </c>
      <c r="I70" s="21">
        <f>IF(E70=参数设置!$B$13,D70,0)</f>
        <v>0</v>
      </c>
      <c r="J70" s="21">
        <f>IF(M70=1,ROUND(D70*参数设置!$B$11*H70/参数设置!$B$12,参数设置!$B$15),0)</f>
        <v>66.5</v>
      </c>
      <c r="K70" s="21">
        <f>I70+J70</f>
        <v>66.5</v>
      </c>
      <c r="L70" s="25">
        <f>EDATE(C70,参数设置!$B$13)</f>
        <v>46762</v>
      </c>
      <c r="M70">
        <f>--(D70&gt;0)</f>
        <v>1</v>
      </c>
    </row>
    <row r="71" spans="1:13" ht="15" customHeight="1">
      <c r="A71">
        <v>6</v>
      </c>
      <c r="B71">
        <v>6</v>
      </c>
      <c r="C71" s="25">
        <f>INDEX(实际执行追踪!$A$7:$A$42,A71)+DAY(参数设置!$B$4)-1</f>
        <v>46397</v>
      </c>
      <c r="D71" s="21">
        <f>INDEX(实际执行追踪!$C$7:$C$42,A71)</f>
        <v>23400</v>
      </c>
      <c r="E71">
        <v>8</v>
      </c>
      <c r="F71" s="25">
        <f>IF(E71=1,C71,G70)</f>
        <v>46635</v>
      </c>
      <c r="G71" s="25">
        <f>IF(E71&lt;参数设置!$B$13,DATE(YEAR(EDATE(C71,E71+1)),MONTH(EDATE(C71,E71+1)),参数设置!$B$14),EDATE(C71,参数设置!$B$13))</f>
        <v>46665</v>
      </c>
      <c r="H71">
        <f>G71-F71</f>
        <v>30</v>
      </c>
      <c r="I71" s="21">
        <f>IF(E71=参数设置!$B$13,D71,0)</f>
        <v>0</v>
      </c>
      <c r="J71" s="21">
        <f>IF(M71=1,ROUND(D71*参数设置!$B$11*H71/参数设置!$B$12,参数设置!$B$15),0)</f>
        <v>64.349999999999994</v>
      </c>
      <c r="K71" s="21">
        <f>I71+J71</f>
        <v>64.349999999999994</v>
      </c>
      <c r="L71" s="25">
        <f>EDATE(C71,参数设置!$B$13)</f>
        <v>46762</v>
      </c>
      <c r="M71">
        <f>--(D71&gt;0)</f>
        <v>1</v>
      </c>
    </row>
    <row r="72" spans="1:13" ht="15" customHeight="1">
      <c r="A72">
        <v>6</v>
      </c>
      <c r="B72">
        <v>6</v>
      </c>
      <c r="C72" s="25">
        <f>INDEX(实际执行追踪!$A$7:$A$42,A72)+DAY(参数设置!$B$4)-1</f>
        <v>46397</v>
      </c>
      <c r="D72" s="21">
        <f>INDEX(实际执行追踪!$C$7:$C$42,A72)</f>
        <v>23400</v>
      </c>
      <c r="E72">
        <v>9</v>
      </c>
      <c r="F72" s="25">
        <f>IF(E72=1,C72,G71)</f>
        <v>46665</v>
      </c>
      <c r="G72" s="25">
        <f>IF(E72&lt;参数设置!$B$13,DATE(YEAR(EDATE(C72,E72+1)),MONTH(EDATE(C72,E72+1)),参数设置!$B$14),EDATE(C72,参数设置!$B$13))</f>
        <v>46696</v>
      </c>
      <c r="H72">
        <f>G72-F72</f>
        <v>31</v>
      </c>
      <c r="I72" s="21">
        <f>IF(E72=参数设置!$B$13,D72,0)</f>
        <v>0</v>
      </c>
      <c r="J72" s="21">
        <f>IF(M72=1,ROUND(D72*参数设置!$B$11*H72/参数设置!$B$12,参数设置!$B$15),0)</f>
        <v>66.5</v>
      </c>
      <c r="K72" s="21">
        <f>I72+J72</f>
        <v>66.5</v>
      </c>
      <c r="L72" s="25">
        <f>EDATE(C72,参数设置!$B$13)</f>
        <v>46762</v>
      </c>
      <c r="M72">
        <f>--(D72&gt;0)</f>
        <v>1</v>
      </c>
    </row>
    <row r="73" spans="1:13" ht="15" customHeight="1">
      <c r="A73">
        <v>6</v>
      </c>
      <c r="B73">
        <v>6</v>
      </c>
      <c r="C73" s="25">
        <f>INDEX(实际执行追踪!$A$7:$A$42,A73)+DAY(参数设置!$B$4)-1</f>
        <v>46397</v>
      </c>
      <c r="D73" s="21">
        <f>INDEX(实际执行追踪!$C$7:$C$42,A73)</f>
        <v>23400</v>
      </c>
      <c r="E73">
        <v>10</v>
      </c>
      <c r="F73" s="25">
        <f>IF(E73=1,C73,G72)</f>
        <v>46696</v>
      </c>
      <c r="G73" s="25">
        <f>IF(E73&lt;参数设置!$B$13,DATE(YEAR(EDATE(C73,E73+1)),MONTH(EDATE(C73,E73+1)),参数设置!$B$14),EDATE(C73,参数设置!$B$13))</f>
        <v>46726</v>
      </c>
      <c r="H73">
        <f>G73-F73</f>
        <v>30</v>
      </c>
      <c r="I73" s="21">
        <f>IF(E73=参数设置!$B$13,D73,0)</f>
        <v>0</v>
      </c>
      <c r="J73" s="21">
        <f>IF(M73=1,ROUND(D73*参数设置!$B$11*H73/参数设置!$B$12,参数设置!$B$15),0)</f>
        <v>64.349999999999994</v>
      </c>
      <c r="K73" s="21">
        <f>I73+J73</f>
        <v>64.349999999999994</v>
      </c>
      <c r="L73" s="25">
        <f>EDATE(C73,参数设置!$B$13)</f>
        <v>46762</v>
      </c>
      <c r="M73">
        <f>--(D73&gt;0)</f>
        <v>1</v>
      </c>
    </row>
    <row r="74" spans="1:13" ht="15" customHeight="1">
      <c r="A74">
        <v>6</v>
      </c>
      <c r="B74">
        <v>6</v>
      </c>
      <c r="C74" s="25">
        <f>INDEX(实际执行追踪!$A$7:$A$42,A74)+DAY(参数设置!$B$4)-1</f>
        <v>46397</v>
      </c>
      <c r="D74" s="21">
        <f>INDEX(实际执行追踪!$C$7:$C$42,A74)</f>
        <v>23400</v>
      </c>
      <c r="E74">
        <v>11</v>
      </c>
      <c r="F74" s="25">
        <f>IF(E74=1,C74,G73)</f>
        <v>46726</v>
      </c>
      <c r="G74" s="25">
        <f>IF(E74&lt;参数设置!$B$13,DATE(YEAR(EDATE(C74,E74+1)),MONTH(EDATE(C74,E74+1)),参数设置!$B$14),EDATE(C74,参数设置!$B$13))</f>
        <v>46757</v>
      </c>
      <c r="H74">
        <f>G74-F74</f>
        <v>31</v>
      </c>
      <c r="I74" s="21">
        <f>IF(E74=参数设置!$B$13,D74,0)</f>
        <v>0</v>
      </c>
      <c r="J74" s="21">
        <f>IF(M74=1,ROUND(D74*参数设置!$B$11*H74/参数设置!$B$12,参数设置!$B$15),0)</f>
        <v>66.5</v>
      </c>
      <c r="K74" s="21">
        <f>I74+J74</f>
        <v>66.5</v>
      </c>
      <c r="L74" s="25">
        <f>EDATE(C74,参数设置!$B$13)</f>
        <v>46762</v>
      </c>
      <c r="M74">
        <f>--(D74&gt;0)</f>
        <v>1</v>
      </c>
    </row>
    <row r="75" spans="1:13" ht="15" customHeight="1">
      <c r="A75">
        <v>6</v>
      </c>
      <c r="B75">
        <v>6</v>
      </c>
      <c r="C75" s="25">
        <f>INDEX(实际执行追踪!$A$7:$A$42,A75)+DAY(参数设置!$B$4)-1</f>
        <v>46397</v>
      </c>
      <c r="D75" s="21">
        <f>INDEX(实际执行追踪!$C$7:$C$42,A75)</f>
        <v>23400</v>
      </c>
      <c r="E75">
        <v>12</v>
      </c>
      <c r="F75" s="25">
        <f>IF(E75=1,C75,G74)</f>
        <v>46757</v>
      </c>
      <c r="G75" s="25">
        <f>IF(E75&lt;参数设置!$B$13,DATE(YEAR(EDATE(C75,E75+1)),MONTH(EDATE(C75,E75+1)),参数设置!$B$14),EDATE(C75,参数设置!$B$13))</f>
        <v>46762</v>
      </c>
      <c r="H75">
        <f>G75-F75</f>
        <v>5</v>
      </c>
      <c r="I75" s="21">
        <f>IF(E75=参数设置!$B$13,D75,0)</f>
        <v>23400</v>
      </c>
      <c r="J75" s="21">
        <f>IF(M75=1,ROUND(D75*参数设置!$B$11*H75/参数设置!$B$12,参数设置!$B$15),0)</f>
        <v>10.73</v>
      </c>
      <c r="K75" s="21">
        <f>I75+J75</f>
        <v>23410.73</v>
      </c>
      <c r="L75" s="25">
        <f>EDATE(C75,参数设置!$B$13)</f>
        <v>46762</v>
      </c>
      <c r="M75">
        <f>--(D75&gt;0)</f>
        <v>1</v>
      </c>
    </row>
    <row r="76" spans="1:13" ht="15" customHeight="1">
      <c r="A76">
        <v>7</v>
      </c>
      <c r="B76">
        <v>7</v>
      </c>
      <c r="C76" s="25">
        <f>INDEX(实际执行追踪!$A$7:$A$42,A76)+DAY(参数设置!$B$4)-1</f>
        <v>46428</v>
      </c>
      <c r="D76" s="21">
        <f>INDEX(实际执行追踪!$C$7:$C$42,A76)</f>
        <v>23400</v>
      </c>
      <c r="E76">
        <v>1</v>
      </c>
      <c r="F76" s="25">
        <f>IF(E76=1,C76,G75)</f>
        <v>46428</v>
      </c>
      <c r="G76" s="25">
        <f>IF(E76&lt;参数设置!$B$13,DATE(YEAR(EDATE(C76,E76+1)),MONTH(EDATE(C76,E76+1)),参数设置!$B$14),EDATE(C76,参数设置!$B$13))</f>
        <v>46482</v>
      </c>
      <c r="H76">
        <f>G76-F76</f>
        <v>54</v>
      </c>
      <c r="I76" s="21">
        <f>IF(E76=参数设置!$B$13,D76,0)</f>
        <v>0</v>
      </c>
      <c r="J76" s="21">
        <f>IF(M76=1,ROUND(D76*参数设置!$B$11*H76/参数设置!$B$12,参数设置!$B$15),0)</f>
        <v>115.83</v>
      </c>
      <c r="K76" s="21">
        <f>I76+J76</f>
        <v>115.83</v>
      </c>
      <c r="L76" s="25">
        <f>EDATE(C76,参数设置!$B$13)</f>
        <v>46793</v>
      </c>
      <c r="M76">
        <f>--(D76&gt;0)</f>
        <v>1</v>
      </c>
    </row>
    <row r="77" spans="1:13" ht="15" customHeight="1">
      <c r="A77">
        <v>7</v>
      </c>
      <c r="B77">
        <v>7</v>
      </c>
      <c r="C77" s="25">
        <f>INDEX(实际执行追踪!$A$7:$A$42,A77)+DAY(参数设置!$B$4)-1</f>
        <v>46428</v>
      </c>
      <c r="D77" s="21">
        <f>INDEX(实际执行追踪!$C$7:$C$42,A77)</f>
        <v>23400</v>
      </c>
      <c r="E77">
        <v>2</v>
      </c>
      <c r="F77" s="25">
        <f>IF(E77=1,C77,G76)</f>
        <v>46482</v>
      </c>
      <c r="G77" s="25">
        <f>IF(E77&lt;参数设置!$B$13,DATE(YEAR(EDATE(C77,E77+1)),MONTH(EDATE(C77,E77+1)),参数设置!$B$14),EDATE(C77,参数设置!$B$13))</f>
        <v>46512</v>
      </c>
      <c r="H77">
        <f>G77-F77</f>
        <v>30</v>
      </c>
      <c r="I77" s="21">
        <f>IF(E77=参数设置!$B$13,D77,0)</f>
        <v>0</v>
      </c>
      <c r="J77" s="21">
        <f>IF(M77=1,ROUND(D77*参数设置!$B$11*H77/参数设置!$B$12,参数设置!$B$15),0)</f>
        <v>64.349999999999994</v>
      </c>
      <c r="K77" s="21">
        <f>I77+J77</f>
        <v>64.349999999999994</v>
      </c>
      <c r="L77" s="25">
        <f>EDATE(C77,参数设置!$B$13)</f>
        <v>46793</v>
      </c>
      <c r="M77">
        <f>--(D77&gt;0)</f>
        <v>1</v>
      </c>
    </row>
    <row r="78" spans="1:13" ht="15" customHeight="1">
      <c r="A78">
        <v>7</v>
      </c>
      <c r="B78">
        <v>7</v>
      </c>
      <c r="C78" s="25">
        <f>INDEX(实际执行追踪!$A$7:$A$42,A78)+DAY(参数设置!$B$4)-1</f>
        <v>46428</v>
      </c>
      <c r="D78" s="21">
        <f>INDEX(实际执行追踪!$C$7:$C$42,A78)</f>
        <v>23400</v>
      </c>
      <c r="E78">
        <v>3</v>
      </c>
      <c r="F78" s="25">
        <f>IF(E78=1,C78,G77)</f>
        <v>46512</v>
      </c>
      <c r="G78" s="25">
        <f>IF(E78&lt;参数设置!$B$13,DATE(YEAR(EDATE(C78,E78+1)),MONTH(EDATE(C78,E78+1)),参数设置!$B$14),EDATE(C78,参数设置!$B$13))</f>
        <v>46543</v>
      </c>
      <c r="H78">
        <f>G78-F78</f>
        <v>31</v>
      </c>
      <c r="I78" s="21">
        <f>IF(E78=参数设置!$B$13,D78,0)</f>
        <v>0</v>
      </c>
      <c r="J78" s="21">
        <f>IF(M78=1,ROUND(D78*参数设置!$B$11*H78/参数设置!$B$12,参数设置!$B$15),0)</f>
        <v>66.5</v>
      </c>
      <c r="K78" s="21">
        <f>I78+J78</f>
        <v>66.5</v>
      </c>
      <c r="L78" s="25">
        <f>EDATE(C78,参数设置!$B$13)</f>
        <v>46793</v>
      </c>
      <c r="M78">
        <f>--(D78&gt;0)</f>
        <v>1</v>
      </c>
    </row>
    <row r="79" spans="1:13" ht="15" customHeight="1">
      <c r="A79">
        <v>7</v>
      </c>
      <c r="B79">
        <v>7</v>
      </c>
      <c r="C79" s="25">
        <f>INDEX(实际执行追踪!$A$7:$A$42,A79)+DAY(参数设置!$B$4)-1</f>
        <v>46428</v>
      </c>
      <c r="D79" s="21">
        <f>INDEX(实际执行追踪!$C$7:$C$42,A79)</f>
        <v>23400</v>
      </c>
      <c r="E79">
        <v>4</v>
      </c>
      <c r="F79" s="25">
        <f>IF(E79=1,C79,G78)</f>
        <v>46543</v>
      </c>
      <c r="G79" s="25">
        <f>IF(E79&lt;参数设置!$B$13,DATE(YEAR(EDATE(C79,E79+1)),MONTH(EDATE(C79,E79+1)),参数设置!$B$14),EDATE(C79,参数设置!$B$13))</f>
        <v>46573</v>
      </c>
      <c r="H79">
        <f>G79-F79</f>
        <v>30</v>
      </c>
      <c r="I79" s="21">
        <f>IF(E79=参数设置!$B$13,D79,0)</f>
        <v>0</v>
      </c>
      <c r="J79" s="21">
        <f>IF(M79=1,ROUND(D79*参数设置!$B$11*H79/参数设置!$B$12,参数设置!$B$15),0)</f>
        <v>64.349999999999994</v>
      </c>
      <c r="K79" s="21">
        <f>I79+J79</f>
        <v>64.349999999999994</v>
      </c>
      <c r="L79" s="25">
        <f>EDATE(C79,参数设置!$B$13)</f>
        <v>46793</v>
      </c>
      <c r="M79">
        <f>--(D79&gt;0)</f>
        <v>1</v>
      </c>
    </row>
    <row r="80" spans="1:13" ht="15" customHeight="1">
      <c r="A80">
        <v>7</v>
      </c>
      <c r="B80">
        <v>7</v>
      </c>
      <c r="C80" s="25">
        <f>INDEX(实际执行追踪!$A$7:$A$42,A80)+DAY(参数设置!$B$4)-1</f>
        <v>46428</v>
      </c>
      <c r="D80" s="21">
        <f>INDEX(实际执行追踪!$C$7:$C$42,A80)</f>
        <v>23400</v>
      </c>
      <c r="E80">
        <v>5</v>
      </c>
      <c r="F80" s="25">
        <f>IF(E80=1,C80,G79)</f>
        <v>46573</v>
      </c>
      <c r="G80" s="25">
        <f>IF(E80&lt;参数设置!$B$13,DATE(YEAR(EDATE(C80,E80+1)),MONTH(EDATE(C80,E80+1)),参数设置!$B$14),EDATE(C80,参数设置!$B$13))</f>
        <v>46604</v>
      </c>
      <c r="H80">
        <f>G80-F80</f>
        <v>31</v>
      </c>
      <c r="I80" s="21">
        <f>IF(E80=参数设置!$B$13,D80,0)</f>
        <v>0</v>
      </c>
      <c r="J80" s="21">
        <f>IF(M80=1,ROUND(D80*参数设置!$B$11*H80/参数设置!$B$12,参数设置!$B$15),0)</f>
        <v>66.5</v>
      </c>
      <c r="K80" s="21">
        <f>I80+J80</f>
        <v>66.5</v>
      </c>
      <c r="L80" s="25">
        <f>EDATE(C80,参数设置!$B$13)</f>
        <v>46793</v>
      </c>
      <c r="M80">
        <f>--(D80&gt;0)</f>
        <v>1</v>
      </c>
    </row>
    <row r="81" spans="1:13" ht="15" customHeight="1">
      <c r="A81">
        <v>7</v>
      </c>
      <c r="B81">
        <v>7</v>
      </c>
      <c r="C81" s="25">
        <f>INDEX(实际执行追踪!$A$7:$A$42,A81)+DAY(参数设置!$B$4)-1</f>
        <v>46428</v>
      </c>
      <c r="D81" s="21">
        <f>INDEX(实际执行追踪!$C$7:$C$42,A81)</f>
        <v>23400</v>
      </c>
      <c r="E81">
        <v>6</v>
      </c>
      <c r="F81" s="25">
        <f>IF(E81=1,C81,G80)</f>
        <v>46604</v>
      </c>
      <c r="G81" s="25">
        <f>IF(E81&lt;参数设置!$B$13,DATE(YEAR(EDATE(C81,E81+1)),MONTH(EDATE(C81,E81+1)),参数设置!$B$14),EDATE(C81,参数设置!$B$13))</f>
        <v>46635</v>
      </c>
      <c r="H81">
        <f>G81-F81</f>
        <v>31</v>
      </c>
      <c r="I81" s="21">
        <f>IF(E81=参数设置!$B$13,D81,0)</f>
        <v>0</v>
      </c>
      <c r="J81" s="21">
        <f>IF(M81=1,ROUND(D81*参数设置!$B$11*H81/参数设置!$B$12,参数设置!$B$15),0)</f>
        <v>66.5</v>
      </c>
      <c r="K81" s="21">
        <f>I81+J81</f>
        <v>66.5</v>
      </c>
      <c r="L81" s="25">
        <f>EDATE(C81,参数设置!$B$13)</f>
        <v>46793</v>
      </c>
      <c r="M81">
        <f>--(D81&gt;0)</f>
        <v>1</v>
      </c>
    </row>
    <row r="82" spans="1:13" ht="15" customHeight="1">
      <c r="A82">
        <v>7</v>
      </c>
      <c r="B82">
        <v>7</v>
      </c>
      <c r="C82" s="25">
        <f>INDEX(实际执行追踪!$A$7:$A$42,A82)+DAY(参数设置!$B$4)-1</f>
        <v>46428</v>
      </c>
      <c r="D82" s="21">
        <f>INDEX(实际执行追踪!$C$7:$C$42,A82)</f>
        <v>23400</v>
      </c>
      <c r="E82">
        <v>7</v>
      </c>
      <c r="F82" s="25">
        <f>IF(E82=1,C82,G81)</f>
        <v>46635</v>
      </c>
      <c r="G82" s="25">
        <f>IF(E82&lt;参数设置!$B$13,DATE(YEAR(EDATE(C82,E82+1)),MONTH(EDATE(C82,E82+1)),参数设置!$B$14),EDATE(C82,参数设置!$B$13))</f>
        <v>46665</v>
      </c>
      <c r="H82">
        <f>G82-F82</f>
        <v>30</v>
      </c>
      <c r="I82" s="21">
        <f>IF(E82=参数设置!$B$13,D82,0)</f>
        <v>0</v>
      </c>
      <c r="J82" s="21">
        <f>IF(M82=1,ROUND(D82*参数设置!$B$11*H82/参数设置!$B$12,参数设置!$B$15),0)</f>
        <v>64.349999999999994</v>
      </c>
      <c r="K82" s="21">
        <f>I82+J82</f>
        <v>64.349999999999994</v>
      </c>
      <c r="L82" s="25">
        <f>EDATE(C82,参数设置!$B$13)</f>
        <v>46793</v>
      </c>
      <c r="M82">
        <f>--(D82&gt;0)</f>
        <v>1</v>
      </c>
    </row>
    <row r="83" spans="1:13" ht="15" customHeight="1">
      <c r="A83">
        <v>7</v>
      </c>
      <c r="B83">
        <v>7</v>
      </c>
      <c r="C83" s="25">
        <f>INDEX(实际执行追踪!$A$7:$A$42,A83)+DAY(参数设置!$B$4)-1</f>
        <v>46428</v>
      </c>
      <c r="D83" s="21">
        <f>INDEX(实际执行追踪!$C$7:$C$42,A83)</f>
        <v>23400</v>
      </c>
      <c r="E83">
        <v>8</v>
      </c>
      <c r="F83" s="25">
        <f>IF(E83=1,C83,G82)</f>
        <v>46665</v>
      </c>
      <c r="G83" s="25">
        <f>IF(E83&lt;参数设置!$B$13,DATE(YEAR(EDATE(C83,E83+1)),MONTH(EDATE(C83,E83+1)),参数设置!$B$14),EDATE(C83,参数设置!$B$13))</f>
        <v>46696</v>
      </c>
      <c r="H83">
        <f>G83-F83</f>
        <v>31</v>
      </c>
      <c r="I83" s="21">
        <f>IF(E83=参数设置!$B$13,D83,0)</f>
        <v>0</v>
      </c>
      <c r="J83" s="21">
        <f>IF(M83=1,ROUND(D83*参数设置!$B$11*H83/参数设置!$B$12,参数设置!$B$15),0)</f>
        <v>66.5</v>
      </c>
      <c r="K83" s="21">
        <f>I83+J83</f>
        <v>66.5</v>
      </c>
      <c r="L83" s="25">
        <f>EDATE(C83,参数设置!$B$13)</f>
        <v>46793</v>
      </c>
      <c r="M83">
        <f>--(D83&gt;0)</f>
        <v>1</v>
      </c>
    </row>
    <row r="84" spans="1:13" ht="15" customHeight="1">
      <c r="A84">
        <v>7</v>
      </c>
      <c r="B84">
        <v>7</v>
      </c>
      <c r="C84" s="25">
        <f>INDEX(实际执行追踪!$A$7:$A$42,A84)+DAY(参数设置!$B$4)-1</f>
        <v>46428</v>
      </c>
      <c r="D84" s="21">
        <f>INDEX(实际执行追踪!$C$7:$C$42,A84)</f>
        <v>23400</v>
      </c>
      <c r="E84">
        <v>9</v>
      </c>
      <c r="F84" s="25">
        <f>IF(E84=1,C84,G83)</f>
        <v>46696</v>
      </c>
      <c r="G84" s="25">
        <f>IF(E84&lt;参数设置!$B$13,DATE(YEAR(EDATE(C84,E84+1)),MONTH(EDATE(C84,E84+1)),参数设置!$B$14),EDATE(C84,参数设置!$B$13))</f>
        <v>46726</v>
      </c>
      <c r="H84">
        <f>G84-F84</f>
        <v>30</v>
      </c>
      <c r="I84" s="21">
        <f>IF(E84=参数设置!$B$13,D84,0)</f>
        <v>0</v>
      </c>
      <c r="J84" s="21">
        <f>IF(M84=1,ROUND(D84*参数设置!$B$11*H84/参数设置!$B$12,参数设置!$B$15),0)</f>
        <v>64.349999999999994</v>
      </c>
      <c r="K84" s="21">
        <f>I84+J84</f>
        <v>64.349999999999994</v>
      </c>
      <c r="L84" s="25">
        <f>EDATE(C84,参数设置!$B$13)</f>
        <v>46793</v>
      </c>
      <c r="M84">
        <f>--(D84&gt;0)</f>
        <v>1</v>
      </c>
    </row>
    <row r="85" spans="1:13" ht="15" customHeight="1">
      <c r="A85">
        <v>7</v>
      </c>
      <c r="B85">
        <v>7</v>
      </c>
      <c r="C85" s="25">
        <f>INDEX(实际执行追踪!$A$7:$A$42,A85)+DAY(参数设置!$B$4)-1</f>
        <v>46428</v>
      </c>
      <c r="D85" s="21">
        <f>INDEX(实际执行追踪!$C$7:$C$42,A85)</f>
        <v>23400</v>
      </c>
      <c r="E85">
        <v>10</v>
      </c>
      <c r="F85" s="25">
        <f>IF(E85=1,C85,G84)</f>
        <v>46726</v>
      </c>
      <c r="G85" s="25">
        <f>IF(E85&lt;参数设置!$B$13,DATE(YEAR(EDATE(C85,E85+1)),MONTH(EDATE(C85,E85+1)),参数设置!$B$14),EDATE(C85,参数设置!$B$13))</f>
        <v>46757</v>
      </c>
      <c r="H85">
        <f>G85-F85</f>
        <v>31</v>
      </c>
      <c r="I85" s="21">
        <f>IF(E85=参数设置!$B$13,D85,0)</f>
        <v>0</v>
      </c>
      <c r="J85" s="21">
        <f>IF(M85=1,ROUND(D85*参数设置!$B$11*H85/参数设置!$B$12,参数设置!$B$15),0)</f>
        <v>66.5</v>
      </c>
      <c r="K85" s="21">
        <f>I85+J85</f>
        <v>66.5</v>
      </c>
      <c r="L85" s="25">
        <f>EDATE(C85,参数设置!$B$13)</f>
        <v>46793</v>
      </c>
      <c r="M85">
        <f>--(D85&gt;0)</f>
        <v>1</v>
      </c>
    </row>
    <row r="86" spans="1:13" ht="15" customHeight="1">
      <c r="A86">
        <v>7</v>
      </c>
      <c r="B86">
        <v>7</v>
      </c>
      <c r="C86" s="25">
        <f>INDEX(实际执行追踪!$A$7:$A$42,A86)+DAY(参数设置!$B$4)-1</f>
        <v>46428</v>
      </c>
      <c r="D86" s="21">
        <f>INDEX(实际执行追踪!$C$7:$C$42,A86)</f>
        <v>23400</v>
      </c>
      <c r="E86">
        <v>11</v>
      </c>
      <c r="F86" s="25">
        <f>IF(E86=1,C86,G85)</f>
        <v>46757</v>
      </c>
      <c r="G86" s="25">
        <f>IF(E86&lt;参数设置!$B$13,DATE(YEAR(EDATE(C86,E86+1)),MONTH(EDATE(C86,E86+1)),参数设置!$B$14),EDATE(C86,参数设置!$B$13))</f>
        <v>46788</v>
      </c>
      <c r="H86">
        <f>G86-F86</f>
        <v>31</v>
      </c>
      <c r="I86" s="21">
        <f>IF(E86=参数设置!$B$13,D86,0)</f>
        <v>0</v>
      </c>
      <c r="J86" s="21">
        <f>IF(M86=1,ROUND(D86*参数设置!$B$11*H86/参数设置!$B$12,参数设置!$B$15),0)</f>
        <v>66.5</v>
      </c>
      <c r="K86" s="21">
        <f>I86+J86</f>
        <v>66.5</v>
      </c>
      <c r="L86" s="25">
        <f>EDATE(C86,参数设置!$B$13)</f>
        <v>46793</v>
      </c>
      <c r="M86">
        <f>--(D86&gt;0)</f>
        <v>1</v>
      </c>
    </row>
    <row r="87" spans="1:13" ht="15" customHeight="1">
      <c r="A87">
        <v>7</v>
      </c>
      <c r="B87">
        <v>7</v>
      </c>
      <c r="C87" s="25">
        <f>INDEX(实际执行追踪!$A$7:$A$42,A87)+DAY(参数设置!$B$4)-1</f>
        <v>46428</v>
      </c>
      <c r="D87" s="21">
        <f>INDEX(实际执行追踪!$C$7:$C$42,A87)</f>
        <v>23400</v>
      </c>
      <c r="E87">
        <v>12</v>
      </c>
      <c r="F87" s="25">
        <f>IF(E87=1,C87,G86)</f>
        <v>46788</v>
      </c>
      <c r="G87" s="25">
        <f>IF(E87&lt;参数设置!$B$13,DATE(YEAR(EDATE(C87,E87+1)),MONTH(EDATE(C87,E87+1)),参数设置!$B$14),EDATE(C87,参数设置!$B$13))</f>
        <v>46793</v>
      </c>
      <c r="H87">
        <f>G87-F87</f>
        <v>5</v>
      </c>
      <c r="I87" s="21">
        <f>IF(E87=参数设置!$B$13,D87,0)</f>
        <v>23400</v>
      </c>
      <c r="J87" s="21">
        <f>IF(M87=1,ROUND(D87*参数设置!$B$11*H87/参数设置!$B$12,参数设置!$B$15),0)</f>
        <v>10.73</v>
      </c>
      <c r="K87" s="21">
        <f>I87+J87</f>
        <v>23410.73</v>
      </c>
      <c r="L87" s="25">
        <f>EDATE(C87,参数设置!$B$13)</f>
        <v>46793</v>
      </c>
      <c r="M87">
        <f>--(D87&gt;0)</f>
        <v>1</v>
      </c>
    </row>
    <row r="88" spans="1:13" ht="15" customHeight="1">
      <c r="A88">
        <v>8</v>
      </c>
      <c r="B88">
        <v>8</v>
      </c>
      <c r="C88" s="25">
        <f>INDEX(实际执行追踪!$A$7:$A$42,A88)+DAY(参数设置!$B$4)-1</f>
        <v>46456</v>
      </c>
      <c r="D88" s="21">
        <f>INDEX(实际执行追踪!$C$7:$C$42,A88)</f>
        <v>23400</v>
      </c>
      <c r="E88">
        <v>1</v>
      </c>
      <c r="F88" s="25">
        <f>IF(E88=1,C88,G87)</f>
        <v>46456</v>
      </c>
      <c r="G88" s="25">
        <f>IF(E88&lt;参数设置!$B$13,DATE(YEAR(EDATE(C88,E88+1)),MONTH(EDATE(C88,E88+1)),参数设置!$B$14),EDATE(C88,参数设置!$B$13))</f>
        <v>46512</v>
      </c>
      <c r="H88">
        <f>G88-F88</f>
        <v>56</v>
      </c>
      <c r="I88" s="21">
        <f>IF(E88=参数设置!$B$13,D88,0)</f>
        <v>0</v>
      </c>
      <c r="J88" s="21">
        <f>IF(M88=1,ROUND(D88*参数设置!$B$11*H88/参数设置!$B$12,参数设置!$B$15),0)</f>
        <v>120.12</v>
      </c>
      <c r="K88" s="21">
        <f>I88+J88</f>
        <v>120.12</v>
      </c>
      <c r="L88" s="25">
        <f>EDATE(C88,参数设置!$B$13)</f>
        <v>46822</v>
      </c>
      <c r="M88">
        <f>--(D88&gt;0)</f>
        <v>1</v>
      </c>
    </row>
    <row r="89" spans="1:13" ht="15" customHeight="1">
      <c r="A89">
        <v>8</v>
      </c>
      <c r="B89">
        <v>8</v>
      </c>
      <c r="C89" s="25">
        <f>INDEX(实际执行追踪!$A$7:$A$42,A89)+DAY(参数设置!$B$4)-1</f>
        <v>46456</v>
      </c>
      <c r="D89" s="21">
        <f>INDEX(实际执行追踪!$C$7:$C$42,A89)</f>
        <v>23400</v>
      </c>
      <c r="E89">
        <v>2</v>
      </c>
      <c r="F89" s="25">
        <f>IF(E89=1,C89,G88)</f>
        <v>46512</v>
      </c>
      <c r="G89" s="25">
        <f>IF(E89&lt;参数设置!$B$13,DATE(YEAR(EDATE(C89,E89+1)),MONTH(EDATE(C89,E89+1)),参数设置!$B$14),EDATE(C89,参数设置!$B$13))</f>
        <v>46543</v>
      </c>
      <c r="H89">
        <f>G89-F89</f>
        <v>31</v>
      </c>
      <c r="I89" s="21">
        <f>IF(E89=参数设置!$B$13,D89,0)</f>
        <v>0</v>
      </c>
      <c r="J89" s="21">
        <f>IF(M89=1,ROUND(D89*参数设置!$B$11*H89/参数设置!$B$12,参数设置!$B$15),0)</f>
        <v>66.5</v>
      </c>
      <c r="K89" s="21">
        <f>I89+J89</f>
        <v>66.5</v>
      </c>
      <c r="L89" s="25">
        <f>EDATE(C89,参数设置!$B$13)</f>
        <v>46822</v>
      </c>
      <c r="M89">
        <f>--(D89&gt;0)</f>
        <v>1</v>
      </c>
    </row>
    <row r="90" spans="1:13" ht="15" customHeight="1">
      <c r="A90">
        <v>8</v>
      </c>
      <c r="B90">
        <v>8</v>
      </c>
      <c r="C90" s="25">
        <f>INDEX(实际执行追踪!$A$7:$A$42,A90)+DAY(参数设置!$B$4)-1</f>
        <v>46456</v>
      </c>
      <c r="D90" s="21">
        <f>INDEX(实际执行追踪!$C$7:$C$42,A90)</f>
        <v>23400</v>
      </c>
      <c r="E90">
        <v>3</v>
      </c>
      <c r="F90" s="25">
        <f>IF(E90=1,C90,G89)</f>
        <v>46543</v>
      </c>
      <c r="G90" s="25">
        <f>IF(E90&lt;参数设置!$B$13,DATE(YEAR(EDATE(C90,E90+1)),MONTH(EDATE(C90,E90+1)),参数设置!$B$14),EDATE(C90,参数设置!$B$13))</f>
        <v>46573</v>
      </c>
      <c r="H90">
        <f>G90-F90</f>
        <v>30</v>
      </c>
      <c r="I90" s="21">
        <f>IF(E90=参数设置!$B$13,D90,0)</f>
        <v>0</v>
      </c>
      <c r="J90" s="21">
        <f>IF(M90=1,ROUND(D90*参数设置!$B$11*H90/参数设置!$B$12,参数设置!$B$15),0)</f>
        <v>64.349999999999994</v>
      </c>
      <c r="K90" s="21">
        <f>I90+J90</f>
        <v>64.349999999999994</v>
      </c>
      <c r="L90" s="25">
        <f>EDATE(C90,参数设置!$B$13)</f>
        <v>46822</v>
      </c>
      <c r="M90">
        <f>--(D90&gt;0)</f>
        <v>1</v>
      </c>
    </row>
    <row r="91" spans="1:13" ht="15" customHeight="1">
      <c r="A91">
        <v>8</v>
      </c>
      <c r="B91">
        <v>8</v>
      </c>
      <c r="C91" s="25">
        <f>INDEX(实际执行追踪!$A$7:$A$42,A91)+DAY(参数设置!$B$4)-1</f>
        <v>46456</v>
      </c>
      <c r="D91" s="21">
        <f>INDEX(实际执行追踪!$C$7:$C$42,A91)</f>
        <v>23400</v>
      </c>
      <c r="E91">
        <v>4</v>
      </c>
      <c r="F91" s="25">
        <f>IF(E91=1,C91,G90)</f>
        <v>46573</v>
      </c>
      <c r="G91" s="25">
        <f>IF(E91&lt;参数设置!$B$13,DATE(YEAR(EDATE(C91,E91+1)),MONTH(EDATE(C91,E91+1)),参数设置!$B$14),EDATE(C91,参数设置!$B$13))</f>
        <v>46604</v>
      </c>
      <c r="H91">
        <f>G91-F91</f>
        <v>31</v>
      </c>
      <c r="I91" s="21">
        <f>IF(E91=参数设置!$B$13,D91,0)</f>
        <v>0</v>
      </c>
      <c r="J91" s="21">
        <f>IF(M91=1,ROUND(D91*参数设置!$B$11*H91/参数设置!$B$12,参数设置!$B$15),0)</f>
        <v>66.5</v>
      </c>
      <c r="K91" s="21">
        <f>I91+J91</f>
        <v>66.5</v>
      </c>
      <c r="L91" s="25">
        <f>EDATE(C91,参数设置!$B$13)</f>
        <v>46822</v>
      </c>
      <c r="M91">
        <f>--(D91&gt;0)</f>
        <v>1</v>
      </c>
    </row>
    <row r="92" spans="1:13" ht="15" customHeight="1">
      <c r="A92">
        <v>8</v>
      </c>
      <c r="B92">
        <v>8</v>
      </c>
      <c r="C92" s="25">
        <f>INDEX(实际执行追踪!$A$7:$A$42,A92)+DAY(参数设置!$B$4)-1</f>
        <v>46456</v>
      </c>
      <c r="D92" s="21">
        <f>INDEX(实际执行追踪!$C$7:$C$42,A92)</f>
        <v>23400</v>
      </c>
      <c r="E92">
        <v>5</v>
      </c>
      <c r="F92" s="25">
        <f>IF(E92=1,C92,G91)</f>
        <v>46604</v>
      </c>
      <c r="G92" s="25">
        <f>IF(E92&lt;参数设置!$B$13,DATE(YEAR(EDATE(C92,E92+1)),MONTH(EDATE(C92,E92+1)),参数设置!$B$14),EDATE(C92,参数设置!$B$13))</f>
        <v>46635</v>
      </c>
      <c r="H92">
        <f>G92-F92</f>
        <v>31</v>
      </c>
      <c r="I92" s="21">
        <f>IF(E92=参数设置!$B$13,D92,0)</f>
        <v>0</v>
      </c>
      <c r="J92" s="21">
        <f>IF(M92=1,ROUND(D92*参数设置!$B$11*H92/参数设置!$B$12,参数设置!$B$15),0)</f>
        <v>66.5</v>
      </c>
      <c r="K92" s="21">
        <f>I92+J92</f>
        <v>66.5</v>
      </c>
      <c r="L92" s="25">
        <f>EDATE(C92,参数设置!$B$13)</f>
        <v>46822</v>
      </c>
      <c r="M92">
        <f>--(D92&gt;0)</f>
        <v>1</v>
      </c>
    </row>
    <row r="93" spans="1:13" ht="15" customHeight="1">
      <c r="A93">
        <v>8</v>
      </c>
      <c r="B93">
        <v>8</v>
      </c>
      <c r="C93" s="25">
        <f>INDEX(实际执行追踪!$A$7:$A$42,A93)+DAY(参数设置!$B$4)-1</f>
        <v>46456</v>
      </c>
      <c r="D93" s="21">
        <f>INDEX(实际执行追踪!$C$7:$C$42,A93)</f>
        <v>23400</v>
      </c>
      <c r="E93">
        <v>6</v>
      </c>
      <c r="F93" s="25">
        <f>IF(E93=1,C93,G92)</f>
        <v>46635</v>
      </c>
      <c r="G93" s="25">
        <f>IF(E93&lt;参数设置!$B$13,DATE(YEAR(EDATE(C93,E93+1)),MONTH(EDATE(C93,E93+1)),参数设置!$B$14),EDATE(C93,参数设置!$B$13))</f>
        <v>46665</v>
      </c>
      <c r="H93">
        <f>G93-F93</f>
        <v>30</v>
      </c>
      <c r="I93" s="21">
        <f>IF(E93=参数设置!$B$13,D93,0)</f>
        <v>0</v>
      </c>
      <c r="J93" s="21">
        <f>IF(M93=1,ROUND(D93*参数设置!$B$11*H93/参数设置!$B$12,参数设置!$B$15),0)</f>
        <v>64.349999999999994</v>
      </c>
      <c r="K93" s="21">
        <f>I93+J93</f>
        <v>64.349999999999994</v>
      </c>
      <c r="L93" s="25">
        <f>EDATE(C93,参数设置!$B$13)</f>
        <v>46822</v>
      </c>
      <c r="M93">
        <f>--(D93&gt;0)</f>
        <v>1</v>
      </c>
    </row>
    <row r="94" spans="1:13" ht="15" customHeight="1">
      <c r="A94">
        <v>8</v>
      </c>
      <c r="B94">
        <v>8</v>
      </c>
      <c r="C94" s="25">
        <f>INDEX(实际执行追踪!$A$7:$A$42,A94)+DAY(参数设置!$B$4)-1</f>
        <v>46456</v>
      </c>
      <c r="D94" s="21">
        <f>INDEX(实际执行追踪!$C$7:$C$42,A94)</f>
        <v>23400</v>
      </c>
      <c r="E94">
        <v>7</v>
      </c>
      <c r="F94" s="25">
        <f>IF(E94=1,C94,G93)</f>
        <v>46665</v>
      </c>
      <c r="G94" s="25">
        <f>IF(E94&lt;参数设置!$B$13,DATE(YEAR(EDATE(C94,E94+1)),MONTH(EDATE(C94,E94+1)),参数设置!$B$14),EDATE(C94,参数设置!$B$13))</f>
        <v>46696</v>
      </c>
      <c r="H94">
        <f>G94-F94</f>
        <v>31</v>
      </c>
      <c r="I94" s="21">
        <f>IF(E94=参数设置!$B$13,D94,0)</f>
        <v>0</v>
      </c>
      <c r="J94" s="21">
        <f>IF(M94=1,ROUND(D94*参数设置!$B$11*H94/参数设置!$B$12,参数设置!$B$15),0)</f>
        <v>66.5</v>
      </c>
      <c r="K94" s="21">
        <f>I94+J94</f>
        <v>66.5</v>
      </c>
      <c r="L94" s="25">
        <f>EDATE(C94,参数设置!$B$13)</f>
        <v>46822</v>
      </c>
      <c r="M94">
        <f>--(D94&gt;0)</f>
        <v>1</v>
      </c>
    </row>
    <row r="95" spans="1:13" ht="15" customHeight="1">
      <c r="A95">
        <v>8</v>
      </c>
      <c r="B95">
        <v>8</v>
      </c>
      <c r="C95" s="25">
        <f>INDEX(实际执行追踪!$A$7:$A$42,A95)+DAY(参数设置!$B$4)-1</f>
        <v>46456</v>
      </c>
      <c r="D95" s="21">
        <f>INDEX(实际执行追踪!$C$7:$C$42,A95)</f>
        <v>23400</v>
      </c>
      <c r="E95">
        <v>8</v>
      </c>
      <c r="F95" s="25">
        <f>IF(E95=1,C95,G94)</f>
        <v>46696</v>
      </c>
      <c r="G95" s="25">
        <f>IF(E95&lt;参数设置!$B$13,DATE(YEAR(EDATE(C95,E95+1)),MONTH(EDATE(C95,E95+1)),参数设置!$B$14),EDATE(C95,参数设置!$B$13))</f>
        <v>46726</v>
      </c>
      <c r="H95">
        <f>G95-F95</f>
        <v>30</v>
      </c>
      <c r="I95" s="21">
        <f>IF(E95=参数设置!$B$13,D95,0)</f>
        <v>0</v>
      </c>
      <c r="J95" s="21">
        <f>IF(M95=1,ROUND(D95*参数设置!$B$11*H95/参数设置!$B$12,参数设置!$B$15),0)</f>
        <v>64.349999999999994</v>
      </c>
      <c r="K95" s="21">
        <f>I95+J95</f>
        <v>64.349999999999994</v>
      </c>
      <c r="L95" s="25">
        <f>EDATE(C95,参数设置!$B$13)</f>
        <v>46822</v>
      </c>
      <c r="M95">
        <f>--(D95&gt;0)</f>
        <v>1</v>
      </c>
    </row>
    <row r="96" spans="1:13" ht="15" customHeight="1">
      <c r="A96">
        <v>8</v>
      </c>
      <c r="B96">
        <v>8</v>
      </c>
      <c r="C96" s="25">
        <f>INDEX(实际执行追踪!$A$7:$A$42,A96)+DAY(参数设置!$B$4)-1</f>
        <v>46456</v>
      </c>
      <c r="D96" s="21">
        <f>INDEX(实际执行追踪!$C$7:$C$42,A96)</f>
        <v>23400</v>
      </c>
      <c r="E96">
        <v>9</v>
      </c>
      <c r="F96" s="25">
        <f>IF(E96=1,C96,G95)</f>
        <v>46726</v>
      </c>
      <c r="G96" s="25">
        <f>IF(E96&lt;参数设置!$B$13,DATE(YEAR(EDATE(C96,E96+1)),MONTH(EDATE(C96,E96+1)),参数设置!$B$14),EDATE(C96,参数设置!$B$13))</f>
        <v>46757</v>
      </c>
      <c r="H96">
        <f>G96-F96</f>
        <v>31</v>
      </c>
      <c r="I96" s="21">
        <f>IF(E96=参数设置!$B$13,D96,0)</f>
        <v>0</v>
      </c>
      <c r="J96" s="21">
        <f>IF(M96=1,ROUND(D96*参数设置!$B$11*H96/参数设置!$B$12,参数设置!$B$15),0)</f>
        <v>66.5</v>
      </c>
      <c r="K96" s="21">
        <f>I96+J96</f>
        <v>66.5</v>
      </c>
      <c r="L96" s="25">
        <f>EDATE(C96,参数设置!$B$13)</f>
        <v>46822</v>
      </c>
      <c r="M96">
        <f>--(D96&gt;0)</f>
        <v>1</v>
      </c>
    </row>
    <row r="97" spans="1:13" ht="15" customHeight="1">
      <c r="A97">
        <v>8</v>
      </c>
      <c r="B97">
        <v>8</v>
      </c>
      <c r="C97" s="25">
        <f>INDEX(实际执行追踪!$A$7:$A$42,A97)+DAY(参数设置!$B$4)-1</f>
        <v>46456</v>
      </c>
      <c r="D97" s="21">
        <f>INDEX(实际执行追踪!$C$7:$C$42,A97)</f>
        <v>23400</v>
      </c>
      <c r="E97">
        <v>10</v>
      </c>
      <c r="F97" s="25">
        <f>IF(E97=1,C97,G96)</f>
        <v>46757</v>
      </c>
      <c r="G97" s="25">
        <f>IF(E97&lt;参数设置!$B$13,DATE(YEAR(EDATE(C97,E97+1)),MONTH(EDATE(C97,E97+1)),参数设置!$B$14),EDATE(C97,参数设置!$B$13))</f>
        <v>46788</v>
      </c>
      <c r="H97">
        <f>G97-F97</f>
        <v>31</v>
      </c>
      <c r="I97" s="21">
        <f>IF(E97=参数设置!$B$13,D97,0)</f>
        <v>0</v>
      </c>
      <c r="J97" s="21">
        <f>IF(M97=1,ROUND(D97*参数设置!$B$11*H97/参数设置!$B$12,参数设置!$B$15),0)</f>
        <v>66.5</v>
      </c>
      <c r="K97" s="21">
        <f>I97+J97</f>
        <v>66.5</v>
      </c>
      <c r="L97" s="25">
        <f>EDATE(C97,参数设置!$B$13)</f>
        <v>46822</v>
      </c>
      <c r="M97">
        <f>--(D97&gt;0)</f>
        <v>1</v>
      </c>
    </row>
    <row r="98" spans="1:13" ht="15" customHeight="1">
      <c r="A98">
        <v>8</v>
      </c>
      <c r="B98">
        <v>8</v>
      </c>
      <c r="C98" s="25">
        <f>INDEX(实际执行追踪!$A$7:$A$42,A98)+DAY(参数设置!$B$4)-1</f>
        <v>46456</v>
      </c>
      <c r="D98" s="21">
        <f>INDEX(实际执行追踪!$C$7:$C$42,A98)</f>
        <v>23400</v>
      </c>
      <c r="E98">
        <v>11</v>
      </c>
      <c r="F98" s="25">
        <f>IF(E98=1,C98,G97)</f>
        <v>46788</v>
      </c>
      <c r="G98" s="25">
        <f>IF(E98&lt;参数设置!$B$13,DATE(YEAR(EDATE(C98,E98+1)),MONTH(EDATE(C98,E98+1)),参数设置!$B$14),EDATE(C98,参数设置!$B$13))</f>
        <v>46817</v>
      </c>
      <c r="H98">
        <f>G98-F98</f>
        <v>29</v>
      </c>
      <c r="I98" s="21">
        <f>IF(E98=参数设置!$B$13,D98,0)</f>
        <v>0</v>
      </c>
      <c r="J98" s="21">
        <f>IF(M98=1,ROUND(D98*参数设置!$B$11*H98/参数设置!$B$12,参数设置!$B$15),0)</f>
        <v>62.21</v>
      </c>
      <c r="K98" s="21">
        <f>I98+J98</f>
        <v>62.21</v>
      </c>
      <c r="L98" s="25">
        <f>EDATE(C98,参数设置!$B$13)</f>
        <v>46822</v>
      </c>
      <c r="M98">
        <f>--(D98&gt;0)</f>
        <v>1</v>
      </c>
    </row>
    <row r="99" spans="1:13" ht="15" customHeight="1">
      <c r="A99">
        <v>8</v>
      </c>
      <c r="B99">
        <v>8</v>
      </c>
      <c r="C99" s="25">
        <f>INDEX(实际执行追踪!$A$7:$A$42,A99)+DAY(参数设置!$B$4)-1</f>
        <v>46456</v>
      </c>
      <c r="D99" s="21">
        <f>INDEX(实际执行追踪!$C$7:$C$42,A99)</f>
        <v>23400</v>
      </c>
      <c r="E99">
        <v>12</v>
      </c>
      <c r="F99" s="25">
        <f>IF(E99=1,C99,G98)</f>
        <v>46817</v>
      </c>
      <c r="G99" s="25">
        <f>IF(E99&lt;参数设置!$B$13,DATE(YEAR(EDATE(C99,E99+1)),MONTH(EDATE(C99,E99+1)),参数设置!$B$14),EDATE(C99,参数设置!$B$13))</f>
        <v>46822</v>
      </c>
      <c r="H99">
        <f>G99-F99</f>
        <v>5</v>
      </c>
      <c r="I99" s="21">
        <f>IF(E99=参数设置!$B$13,D99,0)</f>
        <v>23400</v>
      </c>
      <c r="J99" s="21">
        <f>IF(M99=1,ROUND(D99*参数设置!$B$11*H99/参数设置!$B$12,参数设置!$B$15),0)</f>
        <v>10.73</v>
      </c>
      <c r="K99" s="21">
        <f>I99+J99</f>
        <v>23410.73</v>
      </c>
      <c r="L99" s="25">
        <f>EDATE(C99,参数设置!$B$13)</f>
        <v>46822</v>
      </c>
      <c r="M99">
        <f>--(D99&gt;0)</f>
        <v>1</v>
      </c>
    </row>
    <row r="100" spans="1:13" ht="15" customHeight="1">
      <c r="A100">
        <v>9</v>
      </c>
      <c r="B100">
        <v>9</v>
      </c>
      <c r="C100" s="25">
        <f>INDEX(实际执行追踪!$A$7:$A$42,A100)+DAY(参数设置!$B$4)-1</f>
        <v>46487</v>
      </c>
      <c r="D100" s="21">
        <f>INDEX(实际执行追踪!$C$7:$C$42,A100)</f>
        <v>23400</v>
      </c>
      <c r="E100">
        <v>1</v>
      </c>
      <c r="F100" s="25">
        <f>IF(E100=1,C100,G99)</f>
        <v>46487</v>
      </c>
      <c r="G100" s="25">
        <f>IF(E100&lt;参数设置!$B$13,DATE(YEAR(EDATE(C100,E100+1)),MONTH(EDATE(C100,E100+1)),参数设置!$B$14),EDATE(C100,参数设置!$B$13))</f>
        <v>46543</v>
      </c>
      <c r="H100">
        <f>G100-F100</f>
        <v>56</v>
      </c>
      <c r="I100" s="21">
        <f>IF(E100=参数设置!$B$13,D100,0)</f>
        <v>0</v>
      </c>
      <c r="J100" s="21">
        <f>IF(M100=1,ROUND(D100*参数设置!$B$11*H100/参数设置!$B$12,参数设置!$B$15),0)</f>
        <v>120.12</v>
      </c>
      <c r="K100" s="21">
        <f>I100+J100</f>
        <v>120.12</v>
      </c>
      <c r="L100" s="25">
        <f>EDATE(C100,参数设置!$B$13)</f>
        <v>46853</v>
      </c>
      <c r="M100">
        <f>--(D100&gt;0)</f>
        <v>1</v>
      </c>
    </row>
    <row r="101" spans="1:13" ht="15" customHeight="1">
      <c r="A101">
        <v>9</v>
      </c>
      <c r="B101">
        <v>9</v>
      </c>
      <c r="C101" s="25">
        <f>INDEX(实际执行追踪!$A$7:$A$42,A101)+DAY(参数设置!$B$4)-1</f>
        <v>46487</v>
      </c>
      <c r="D101" s="21">
        <f>INDEX(实际执行追踪!$C$7:$C$42,A101)</f>
        <v>23400</v>
      </c>
      <c r="E101">
        <v>2</v>
      </c>
      <c r="F101" s="25">
        <f>IF(E101=1,C101,G100)</f>
        <v>46543</v>
      </c>
      <c r="G101" s="25">
        <f>IF(E101&lt;参数设置!$B$13,DATE(YEAR(EDATE(C101,E101+1)),MONTH(EDATE(C101,E101+1)),参数设置!$B$14),EDATE(C101,参数设置!$B$13))</f>
        <v>46573</v>
      </c>
      <c r="H101">
        <f>G101-F101</f>
        <v>30</v>
      </c>
      <c r="I101" s="21">
        <f>IF(E101=参数设置!$B$13,D101,0)</f>
        <v>0</v>
      </c>
      <c r="J101" s="21">
        <f>IF(M101=1,ROUND(D101*参数设置!$B$11*H101/参数设置!$B$12,参数设置!$B$15),0)</f>
        <v>64.349999999999994</v>
      </c>
      <c r="K101" s="21">
        <f>I101+J101</f>
        <v>64.349999999999994</v>
      </c>
      <c r="L101" s="25">
        <f>EDATE(C101,参数设置!$B$13)</f>
        <v>46853</v>
      </c>
      <c r="M101">
        <f>--(D101&gt;0)</f>
        <v>1</v>
      </c>
    </row>
    <row r="102" spans="1:13" ht="15" customHeight="1">
      <c r="A102">
        <v>9</v>
      </c>
      <c r="B102">
        <v>9</v>
      </c>
      <c r="C102" s="25">
        <f>INDEX(实际执行追踪!$A$7:$A$42,A102)+DAY(参数设置!$B$4)-1</f>
        <v>46487</v>
      </c>
      <c r="D102" s="21">
        <f>INDEX(实际执行追踪!$C$7:$C$42,A102)</f>
        <v>23400</v>
      </c>
      <c r="E102">
        <v>3</v>
      </c>
      <c r="F102" s="25">
        <f>IF(E102=1,C102,G101)</f>
        <v>46573</v>
      </c>
      <c r="G102" s="25">
        <f>IF(E102&lt;参数设置!$B$13,DATE(YEAR(EDATE(C102,E102+1)),MONTH(EDATE(C102,E102+1)),参数设置!$B$14),EDATE(C102,参数设置!$B$13))</f>
        <v>46604</v>
      </c>
      <c r="H102">
        <f>G102-F102</f>
        <v>31</v>
      </c>
      <c r="I102" s="21">
        <f>IF(E102=参数设置!$B$13,D102,0)</f>
        <v>0</v>
      </c>
      <c r="J102" s="21">
        <f>IF(M102=1,ROUND(D102*参数设置!$B$11*H102/参数设置!$B$12,参数设置!$B$15),0)</f>
        <v>66.5</v>
      </c>
      <c r="K102" s="21">
        <f>I102+J102</f>
        <v>66.5</v>
      </c>
      <c r="L102" s="25">
        <f>EDATE(C102,参数设置!$B$13)</f>
        <v>46853</v>
      </c>
      <c r="M102">
        <f>--(D102&gt;0)</f>
        <v>1</v>
      </c>
    </row>
    <row r="103" spans="1:13" ht="15" customHeight="1">
      <c r="A103">
        <v>9</v>
      </c>
      <c r="B103">
        <v>9</v>
      </c>
      <c r="C103" s="25">
        <f>INDEX(实际执行追踪!$A$7:$A$42,A103)+DAY(参数设置!$B$4)-1</f>
        <v>46487</v>
      </c>
      <c r="D103" s="21">
        <f>INDEX(实际执行追踪!$C$7:$C$42,A103)</f>
        <v>23400</v>
      </c>
      <c r="E103">
        <v>4</v>
      </c>
      <c r="F103" s="25">
        <f>IF(E103=1,C103,G102)</f>
        <v>46604</v>
      </c>
      <c r="G103" s="25">
        <f>IF(E103&lt;参数设置!$B$13,DATE(YEAR(EDATE(C103,E103+1)),MONTH(EDATE(C103,E103+1)),参数设置!$B$14),EDATE(C103,参数设置!$B$13))</f>
        <v>46635</v>
      </c>
      <c r="H103">
        <f>G103-F103</f>
        <v>31</v>
      </c>
      <c r="I103" s="21">
        <f>IF(E103=参数设置!$B$13,D103,0)</f>
        <v>0</v>
      </c>
      <c r="J103" s="21">
        <f>IF(M103=1,ROUND(D103*参数设置!$B$11*H103/参数设置!$B$12,参数设置!$B$15),0)</f>
        <v>66.5</v>
      </c>
      <c r="K103" s="21">
        <f>I103+J103</f>
        <v>66.5</v>
      </c>
      <c r="L103" s="25">
        <f>EDATE(C103,参数设置!$B$13)</f>
        <v>46853</v>
      </c>
      <c r="M103">
        <f>--(D103&gt;0)</f>
        <v>1</v>
      </c>
    </row>
    <row r="104" spans="1:13" ht="15" customHeight="1">
      <c r="A104">
        <v>9</v>
      </c>
      <c r="B104">
        <v>9</v>
      </c>
      <c r="C104" s="25">
        <f>INDEX(实际执行追踪!$A$7:$A$42,A104)+DAY(参数设置!$B$4)-1</f>
        <v>46487</v>
      </c>
      <c r="D104" s="21">
        <f>INDEX(实际执行追踪!$C$7:$C$42,A104)</f>
        <v>23400</v>
      </c>
      <c r="E104">
        <v>5</v>
      </c>
      <c r="F104" s="25">
        <f>IF(E104=1,C104,G103)</f>
        <v>46635</v>
      </c>
      <c r="G104" s="25">
        <f>IF(E104&lt;参数设置!$B$13,DATE(YEAR(EDATE(C104,E104+1)),MONTH(EDATE(C104,E104+1)),参数设置!$B$14),EDATE(C104,参数设置!$B$13))</f>
        <v>46665</v>
      </c>
      <c r="H104">
        <f>G104-F104</f>
        <v>30</v>
      </c>
      <c r="I104" s="21">
        <f>IF(E104=参数设置!$B$13,D104,0)</f>
        <v>0</v>
      </c>
      <c r="J104" s="21">
        <f>IF(M104=1,ROUND(D104*参数设置!$B$11*H104/参数设置!$B$12,参数设置!$B$15),0)</f>
        <v>64.349999999999994</v>
      </c>
      <c r="K104" s="21">
        <f>I104+J104</f>
        <v>64.349999999999994</v>
      </c>
      <c r="L104" s="25">
        <f>EDATE(C104,参数设置!$B$13)</f>
        <v>46853</v>
      </c>
      <c r="M104">
        <f>--(D104&gt;0)</f>
        <v>1</v>
      </c>
    </row>
    <row r="105" spans="1:13" ht="15" customHeight="1">
      <c r="A105">
        <v>9</v>
      </c>
      <c r="B105">
        <v>9</v>
      </c>
      <c r="C105" s="25">
        <f>INDEX(实际执行追踪!$A$7:$A$42,A105)+DAY(参数设置!$B$4)-1</f>
        <v>46487</v>
      </c>
      <c r="D105" s="21">
        <f>INDEX(实际执行追踪!$C$7:$C$42,A105)</f>
        <v>23400</v>
      </c>
      <c r="E105">
        <v>6</v>
      </c>
      <c r="F105" s="25">
        <f>IF(E105=1,C105,G104)</f>
        <v>46665</v>
      </c>
      <c r="G105" s="25">
        <f>IF(E105&lt;参数设置!$B$13,DATE(YEAR(EDATE(C105,E105+1)),MONTH(EDATE(C105,E105+1)),参数设置!$B$14),EDATE(C105,参数设置!$B$13))</f>
        <v>46696</v>
      </c>
      <c r="H105">
        <f>G105-F105</f>
        <v>31</v>
      </c>
      <c r="I105" s="21">
        <f>IF(E105=参数设置!$B$13,D105,0)</f>
        <v>0</v>
      </c>
      <c r="J105" s="21">
        <f>IF(M105=1,ROUND(D105*参数设置!$B$11*H105/参数设置!$B$12,参数设置!$B$15),0)</f>
        <v>66.5</v>
      </c>
      <c r="K105" s="21">
        <f>I105+J105</f>
        <v>66.5</v>
      </c>
      <c r="L105" s="25">
        <f>EDATE(C105,参数设置!$B$13)</f>
        <v>46853</v>
      </c>
      <c r="M105">
        <f>--(D105&gt;0)</f>
        <v>1</v>
      </c>
    </row>
    <row r="106" spans="1:13" ht="15" customHeight="1">
      <c r="A106">
        <v>9</v>
      </c>
      <c r="B106">
        <v>9</v>
      </c>
      <c r="C106" s="25">
        <f>INDEX(实际执行追踪!$A$7:$A$42,A106)+DAY(参数设置!$B$4)-1</f>
        <v>46487</v>
      </c>
      <c r="D106" s="21">
        <f>INDEX(实际执行追踪!$C$7:$C$42,A106)</f>
        <v>23400</v>
      </c>
      <c r="E106">
        <v>7</v>
      </c>
      <c r="F106" s="25">
        <f>IF(E106=1,C106,G105)</f>
        <v>46696</v>
      </c>
      <c r="G106" s="25">
        <f>IF(E106&lt;参数设置!$B$13,DATE(YEAR(EDATE(C106,E106+1)),MONTH(EDATE(C106,E106+1)),参数设置!$B$14),EDATE(C106,参数设置!$B$13))</f>
        <v>46726</v>
      </c>
      <c r="H106">
        <f>G106-F106</f>
        <v>30</v>
      </c>
      <c r="I106" s="21">
        <f>IF(E106=参数设置!$B$13,D106,0)</f>
        <v>0</v>
      </c>
      <c r="J106" s="21">
        <f>IF(M106=1,ROUND(D106*参数设置!$B$11*H106/参数设置!$B$12,参数设置!$B$15),0)</f>
        <v>64.349999999999994</v>
      </c>
      <c r="K106" s="21">
        <f>I106+J106</f>
        <v>64.349999999999994</v>
      </c>
      <c r="L106" s="25">
        <f>EDATE(C106,参数设置!$B$13)</f>
        <v>46853</v>
      </c>
      <c r="M106">
        <f>--(D106&gt;0)</f>
        <v>1</v>
      </c>
    </row>
    <row r="107" spans="1:13" ht="15" customHeight="1">
      <c r="A107">
        <v>9</v>
      </c>
      <c r="B107">
        <v>9</v>
      </c>
      <c r="C107" s="25">
        <f>INDEX(实际执行追踪!$A$7:$A$42,A107)+DAY(参数设置!$B$4)-1</f>
        <v>46487</v>
      </c>
      <c r="D107" s="21">
        <f>INDEX(实际执行追踪!$C$7:$C$42,A107)</f>
        <v>23400</v>
      </c>
      <c r="E107">
        <v>8</v>
      </c>
      <c r="F107" s="25">
        <f>IF(E107=1,C107,G106)</f>
        <v>46726</v>
      </c>
      <c r="G107" s="25">
        <f>IF(E107&lt;参数设置!$B$13,DATE(YEAR(EDATE(C107,E107+1)),MONTH(EDATE(C107,E107+1)),参数设置!$B$14),EDATE(C107,参数设置!$B$13))</f>
        <v>46757</v>
      </c>
      <c r="H107">
        <f>G107-F107</f>
        <v>31</v>
      </c>
      <c r="I107" s="21">
        <f>IF(E107=参数设置!$B$13,D107,0)</f>
        <v>0</v>
      </c>
      <c r="J107" s="21">
        <f>IF(M107=1,ROUND(D107*参数设置!$B$11*H107/参数设置!$B$12,参数设置!$B$15),0)</f>
        <v>66.5</v>
      </c>
      <c r="K107" s="21">
        <f>I107+J107</f>
        <v>66.5</v>
      </c>
      <c r="L107" s="25">
        <f>EDATE(C107,参数设置!$B$13)</f>
        <v>46853</v>
      </c>
      <c r="M107">
        <f>--(D107&gt;0)</f>
        <v>1</v>
      </c>
    </row>
    <row r="108" spans="1:13" ht="15" customHeight="1">
      <c r="A108">
        <v>9</v>
      </c>
      <c r="B108">
        <v>9</v>
      </c>
      <c r="C108" s="25">
        <f>INDEX(实际执行追踪!$A$7:$A$42,A108)+DAY(参数设置!$B$4)-1</f>
        <v>46487</v>
      </c>
      <c r="D108" s="21">
        <f>INDEX(实际执行追踪!$C$7:$C$42,A108)</f>
        <v>23400</v>
      </c>
      <c r="E108">
        <v>9</v>
      </c>
      <c r="F108" s="25">
        <f>IF(E108=1,C108,G107)</f>
        <v>46757</v>
      </c>
      <c r="G108" s="25">
        <f>IF(E108&lt;参数设置!$B$13,DATE(YEAR(EDATE(C108,E108+1)),MONTH(EDATE(C108,E108+1)),参数设置!$B$14),EDATE(C108,参数设置!$B$13))</f>
        <v>46788</v>
      </c>
      <c r="H108">
        <f>G108-F108</f>
        <v>31</v>
      </c>
      <c r="I108" s="21">
        <f>IF(E108=参数设置!$B$13,D108,0)</f>
        <v>0</v>
      </c>
      <c r="J108" s="21">
        <f>IF(M108=1,ROUND(D108*参数设置!$B$11*H108/参数设置!$B$12,参数设置!$B$15),0)</f>
        <v>66.5</v>
      </c>
      <c r="K108" s="21">
        <f>I108+J108</f>
        <v>66.5</v>
      </c>
      <c r="L108" s="25">
        <f>EDATE(C108,参数设置!$B$13)</f>
        <v>46853</v>
      </c>
      <c r="M108">
        <f>--(D108&gt;0)</f>
        <v>1</v>
      </c>
    </row>
    <row r="109" spans="1:13" ht="15" customHeight="1">
      <c r="A109">
        <v>9</v>
      </c>
      <c r="B109">
        <v>9</v>
      </c>
      <c r="C109" s="25">
        <f>INDEX(实际执行追踪!$A$7:$A$42,A109)+DAY(参数设置!$B$4)-1</f>
        <v>46487</v>
      </c>
      <c r="D109" s="21">
        <f>INDEX(实际执行追踪!$C$7:$C$42,A109)</f>
        <v>23400</v>
      </c>
      <c r="E109">
        <v>10</v>
      </c>
      <c r="F109" s="25">
        <f>IF(E109=1,C109,G108)</f>
        <v>46788</v>
      </c>
      <c r="G109" s="25">
        <f>IF(E109&lt;参数设置!$B$13,DATE(YEAR(EDATE(C109,E109+1)),MONTH(EDATE(C109,E109+1)),参数设置!$B$14),EDATE(C109,参数设置!$B$13))</f>
        <v>46817</v>
      </c>
      <c r="H109">
        <f>G109-F109</f>
        <v>29</v>
      </c>
      <c r="I109" s="21">
        <f>IF(E109=参数设置!$B$13,D109,0)</f>
        <v>0</v>
      </c>
      <c r="J109" s="21">
        <f>IF(M109=1,ROUND(D109*参数设置!$B$11*H109/参数设置!$B$12,参数设置!$B$15),0)</f>
        <v>62.21</v>
      </c>
      <c r="K109" s="21">
        <f>I109+J109</f>
        <v>62.21</v>
      </c>
      <c r="L109" s="25">
        <f>EDATE(C109,参数设置!$B$13)</f>
        <v>46853</v>
      </c>
      <c r="M109">
        <f>--(D109&gt;0)</f>
        <v>1</v>
      </c>
    </row>
    <row r="110" spans="1:13" ht="15" customHeight="1">
      <c r="A110">
        <v>9</v>
      </c>
      <c r="B110">
        <v>9</v>
      </c>
      <c r="C110" s="25">
        <f>INDEX(实际执行追踪!$A$7:$A$42,A110)+DAY(参数设置!$B$4)-1</f>
        <v>46487</v>
      </c>
      <c r="D110" s="21">
        <f>INDEX(实际执行追踪!$C$7:$C$42,A110)</f>
        <v>23400</v>
      </c>
      <c r="E110">
        <v>11</v>
      </c>
      <c r="F110" s="25">
        <f>IF(E110=1,C110,G109)</f>
        <v>46817</v>
      </c>
      <c r="G110" s="25">
        <f>IF(E110&lt;参数设置!$B$13,DATE(YEAR(EDATE(C110,E110+1)),MONTH(EDATE(C110,E110+1)),参数设置!$B$14),EDATE(C110,参数设置!$B$13))</f>
        <v>46848</v>
      </c>
      <c r="H110">
        <f>G110-F110</f>
        <v>31</v>
      </c>
      <c r="I110" s="21">
        <f>IF(E110=参数设置!$B$13,D110,0)</f>
        <v>0</v>
      </c>
      <c r="J110" s="21">
        <f>IF(M110=1,ROUND(D110*参数设置!$B$11*H110/参数设置!$B$12,参数设置!$B$15),0)</f>
        <v>66.5</v>
      </c>
      <c r="K110" s="21">
        <f>I110+J110</f>
        <v>66.5</v>
      </c>
      <c r="L110" s="25">
        <f>EDATE(C110,参数设置!$B$13)</f>
        <v>46853</v>
      </c>
      <c r="M110">
        <f>--(D110&gt;0)</f>
        <v>1</v>
      </c>
    </row>
    <row r="111" spans="1:13" ht="15" customHeight="1">
      <c r="A111">
        <v>9</v>
      </c>
      <c r="B111">
        <v>9</v>
      </c>
      <c r="C111" s="25">
        <f>INDEX(实际执行追踪!$A$7:$A$42,A111)+DAY(参数设置!$B$4)-1</f>
        <v>46487</v>
      </c>
      <c r="D111" s="21">
        <f>INDEX(实际执行追踪!$C$7:$C$42,A111)</f>
        <v>23400</v>
      </c>
      <c r="E111">
        <v>12</v>
      </c>
      <c r="F111" s="25">
        <f>IF(E111=1,C111,G110)</f>
        <v>46848</v>
      </c>
      <c r="G111" s="25">
        <f>IF(E111&lt;参数设置!$B$13,DATE(YEAR(EDATE(C111,E111+1)),MONTH(EDATE(C111,E111+1)),参数设置!$B$14),EDATE(C111,参数设置!$B$13))</f>
        <v>46853</v>
      </c>
      <c r="H111">
        <f>G111-F111</f>
        <v>5</v>
      </c>
      <c r="I111" s="21">
        <f>IF(E111=参数设置!$B$13,D111,0)</f>
        <v>23400</v>
      </c>
      <c r="J111" s="21">
        <f>IF(M111=1,ROUND(D111*参数设置!$B$11*H111/参数设置!$B$12,参数设置!$B$15),0)</f>
        <v>10.73</v>
      </c>
      <c r="K111" s="21">
        <f>I111+J111</f>
        <v>23410.73</v>
      </c>
      <c r="L111" s="25">
        <f>EDATE(C111,参数设置!$B$13)</f>
        <v>46853</v>
      </c>
      <c r="M111">
        <f>--(D111&gt;0)</f>
        <v>1</v>
      </c>
    </row>
    <row r="112" spans="1:13" ht="15" customHeight="1">
      <c r="A112">
        <v>10</v>
      </c>
      <c r="B112">
        <v>10</v>
      </c>
      <c r="C112" s="25">
        <f>INDEX(实际执行追踪!$A$7:$A$42,A112)+DAY(参数设置!$B$4)-1</f>
        <v>46517</v>
      </c>
      <c r="D112" s="21">
        <f>INDEX(实际执行追踪!$C$7:$C$42,A112)</f>
        <v>23400</v>
      </c>
      <c r="E112">
        <v>1</v>
      </c>
      <c r="F112" s="25">
        <f>IF(E112=1,C112,G111)</f>
        <v>46517</v>
      </c>
      <c r="G112" s="25">
        <f>IF(E112&lt;参数设置!$B$13,DATE(YEAR(EDATE(C112,E112+1)),MONTH(EDATE(C112,E112+1)),参数设置!$B$14),EDATE(C112,参数设置!$B$13))</f>
        <v>46573</v>
      </c>
      <c r="H112">
        <f>G112-F112</f>
        <v>56</v>
      </c>
      <c r="I112" s="21">
        <f>IF(E112=参数设置!$B$13,D112,0)</f>
        <v>0</v>
      </c>
      <c r="J112" s="21">
        <f>IF(M112=1,ROUND(D112*参数设置!$B$11*H112/参数设置!$B$12,参数设置!$B$15),0)</f>
        <v>120.12</v>
      </c>
      <c r="K112" s="21">
        <f>I112+J112</f>
        <v>120.12</v>
      </c>
      <c r="L112" s="25">
        <f>EDATE(C112,参数设置!$B$13)</f>
        <v>46883</v>
      </c>
      <c r="M112">
        <f>--(D112&gt;0)</f>
        <v>1</v>
      </c>
    </row>
    <row r="113" spans="1:13" ht="15" customHeight="1">
      <c r="A113">
        <v>10</v>
      </c>
      <c r="B113">
        <v>10</v>
      </c>
      <c r="C113" s="25">
        <f>INDEX(实际执行追踪!$A$7:$A$42,A113)+DAY(参数设置!$B$4)-1</f>
        <v>46517</v>
      </c>
      <c r="D113" s="21">
        <f>INDEX(实际执行追踪!$C$7:$C$42,A113)</f>
        <v>23400</v>
      </c>
      <c r="E113">
        <v>2</v>
      </c>
      <c r="F113" s="25">
        <f>IF(E113=1,C113,G112)</f>
        <v>46573</v>
      </c>
      <c r="G113" s="25">
        <f>IF(E113&lt;参数设置!$B$13,DATE(YEAR(EDATE(C113,E113+1)),MONTH(EDATE(C113,E113+1)),参数设置!$B$14),EDATE(C113,参数设置!$B$13))</f>
        <v>46604</v>
      </c>
      <c r="H113">
        <f>G113-F113</f>
        <v>31</v>
      </c>
      <c r="I113" s="21">
        <f>IF(E113=参数设置!$B$13,D113,0)</f>
        <v>0</v>
      </c>
      <c r="J113" s="21">
        <f>IF(M113=1,ROUND(D113*参数设置!$B$11*H113/参数设置!$B$12,参数设置!$B$15),0)</f>
        <v>66.5</v>
      </c>
      <c r="K113" s="21">
        <f>I113+J113</f>
        <v>66.5</v>
      </c>
      <c r="L113" s="25">
        <f>EDATE(C113,参数设置!$B$13)</f>
        <v>46883</v>
      </c>
      <c r="M113">
        <f>--(D113&gt;0)</f>
        <v>1</v>
      </c>
    </row>
    <row r="114" spans="1:13" ht="15" customHeight="1">
      <c r="A114">
        <v>10</v>
      </c>
      <c r="B114">
        <v>10</v>
      </c>
      <c r="C114" s="25">
        <f>INDEX(实际执行追踪!$A$7:$A$42,A114)+DAY(参数设置!$B$4)-1</f>
        <v>46517</v>
      </c>
      <c r="D114" s="21">
        <f>INDEX(实际执行追踪!$C$7:$C$42,A114)</f>
        <v>23400</v>
      </c>
      <c r="E114">
        <v>3</v>
      </c>
      <c r="F114" s="25">
        <f>IF(E114=1,C114,G113)</f>
        <v>46604</v>
      </c>
      <c r="G114" s="25">
        <f>IF(E114&lt;参数设置!$B$13,DATE(YEAR(EDATE(C114,E114+1)),MONTH(EDATE(C114,E114+1)),参数设置!$B$14),EDATE(C114,参数设置!$B$13))</f>
        <v>46635</v>
      </c>
      <c r="H114">
        <f>G114-F114</f>
        <v>31</v>
      </c>
      <c r="I114" s="21">
        <f>IF(E114=参数设置!$B$13,D114,0)</f>
        <v>0</v>
      </c>
      <c r="J114" s="21">
        <f>IF(M114=1,ROUND(D114*参数设置!$B$11*H114/参数设置!$B$12,参数设置!$B$15),0)</f>
        <v>66.5</v>
      </c>
      <c r="K114" s="21">
        <f>I114+J114</f>
        <v>66.5</v>
      </c>
      <c r="L114" s="25">
        <f>EDATE(C114,参数设置!$B$13)</f>
        <v>46883</v>
      </c>
      <c r="M114">
        <f>--(D114&gt;0)</f>
        <v>1</v>
      </c>
    </row>
    <row r="115" spans="1:13" ht="15" customHeight="1">
      <c r="A115">
        <v>10</v>
      </c>
      <c r="B115">
        <v>10</v>
      </c>
      <c r="C115" s="25">
        <f>INDEX(实际执行追踪!$A$7:$A$42,A115)+DAY(参数设置!$B$4)-1</f>
        <v>46517</v>
      </c>
      <c r="D115" s="21">
        <f>INDEX(实际执行追踪!$C$7:$C$42,A115)</f>
        <v>23400</v>
      </c>
      <c r="E115">
        <v>4</v>
      </c>
      <c r="F115" s="25">
        <f>IF(E115=1,C115,G114)</f>
        <v>46635</v>
      </c>
      <c r="G115" s="25">
        <f>IF(E115&lt;参数设置!$B$13,DATE(YEAR(EDATE(C115,E115+1)),MONTH(EDATE(C115,E115+1)),参数设置!$B$14),EDATE(C115,参数设置!$B$13))</f>
        <v>46665</v>
      </c>
      <c r="H115">
        <f>G115-F115</f>
        <v>30</v>
      </c>
      <c r="I115" s="21">
        <f>IF(E115=参数设置!$B$13,D115,0)</f>
        <v>0</v>
      </c>
      <c r="J115" s="21">
        <f>IF(M115=1,ROUND(D115*参数设置!$B$11*H115/参数设置!$B$12,参数设置!$B$15),0)</f>
        <v>64.349999999999994</v>
      </c>
      <c r="K115" s="21">
        <f>I115+J115</f>
        <v>64.349999999999994</v>
      </c>
      <c r="L115" s="25">
        <f>EDATE(C115,参数设置!$B$13)</f>
        <v>46883</v>
      </c>
      <c r="M115">
        <f>--(D115&gt;0)</f>
        <v>1</v>
      </c>
    </row>
    <row r="116" spans="1:13" ht="15" customHeight="1">
      <c r="A116">
        <v>10</v>
      </c>
      <c r="B116">
        <v>10</v>
      </c>
      <c r="C116" s="25">
        <f>INDEX(实际执行追踪!$A$7:$A$42,A116)+DAY(参数设置!$B$4)-1</f>
        <v>46517</v>
      </c>
      <c r="D116" s="21">
        <f>INDEX(实际执行追踪!$C$7:$C$42,A116)</f>
        <v>23400</v>
      </c>
      <c r="E116">
        <v>5</v>
      </c>
      <c r="F116" s="25">
        <f>IF(E116=1,C116,G115)</f>
        <v>46665</v>
      </c>
      <c r="G116" s="25">
        <f>IF(E116&lt;参数设置!$B$13,DATE(YEAR(EDATE(C116,E116+1)),MONTH(EDATE(C116,E116+1)),参数设置!$B$14),EDATE(C116,参数设置!$B$13))</f>
        <v>46696</v>
      </c>
      <c r="H116">
        <f>G116-F116</f>
        <v>31</v>
      </c>
      <c r="I116" s="21">
        <f>IF(E116=参数设置!$B$13,D116,0)</f>
        <v>0</v>
      </c>
      <c r="J116" s="21">
        <f>IF(M116=1,ROUND(D116*参数设置!$B$11*H116/参数设置!$B$12,参数设置!$B$15),0)</f>
        <v>66.5</v>
      </c>
      <c r="K116" s="21">
        <f>I116+J116</f>
        <v>66.5</v>
      </c>
      <c r="L116" s="25">
        <f>EDATE(C116,参数设置!$B$13)</f>
        <v>46883</v>
      </c>
      <c r="M116">
        <f>--(D116&gt;0)</f>
        <v>1</v>
      </c>
    </row>
    <row r="117" spans="1:13" ht="15" customHeight="1">
      <c r="A117">
        <v>10</v>
      </c>
      <c r="B117">
        <v>10</v>
      </c>
      <c r="C117" s="25">
        <f>INDEX(实际执行追踪!$A$7:$A$42,A117)+DAY(参数设置!$B$4)-1</f>
        <v>46517</v>
      </c>
      <c r="D117" s="21">
        <f>INDEX(实际执行追踪!$C$7:$C$42,A117)</f>
        <v>23400</v>
      </c>
      <c r="E117">
        <v>6</v>
      </c>
      <c r="F117" s="25">
        <f>IF(E117=1,C117,G116)</f>
        <v>46696</v>
      </c>
      <c r="G117" s="25">
        <f>IF(E117&lt;参数设置!$B$13,DATE(YEAR(EDATE(C117,E117+1)),MONTH(EDATE(C117,E117+1)),参数设置!$B$14),EDATE(C117,参数设置!$B$13))</f>
        <v>46726</v>
      </c>
      <c r="H117">
        <f>G117-F117</f>
        <v>30</v>
      </c>
      <c r="I117" s="21">
        <f>IF(E117=参数设置!$B$13,D117,0)</f>
        <v>0</v>
      </c>
      <c r="J117" s="21">
        <f>IF(M117=1,ROUND(D117*参数设置!$B$11*H117/参数设置!$B$12,参数设置!$B$15),0)</f>
        <v>64.349999999999994</v>
      </c>
      <c r="K117" s="21">
        <f>I117+J117</f>
        <v>64.349999999999994</v>
      </c>
      <c r="L117" s="25">
        <f>EDATE(C117,参数设置!$B$13)</f>
        <v>46883</v>
      </c>
      <c r="M117">
        <f>--(D117&gt;0)</f>
        <v>1</v>
      </c>
    </row>
    <row r="118" spans="1:13" ht="15" customHeight="1">
      <c r="A118">
        <v>10</v>
      </c>
      <c r="B118">
        <v>10</v>
      </c>
      <c r="C118" s="25">
        <f>INDEX(实际执行追踪!$A$7:$A$42,A118)+DAY(参数设置!$B$4)-1</f>
        <v>46517</v>
      </c>
      <c r="D118" s="21">
        <f>INDEX(实际执行追踪!$C$7:$C$42,A118)</f>
        <v>23400</v>
      </c>
      <c r="E118">
        <v>7</v>
      </c>
      <c r="F118" s="25">
        <f>IF(E118=1,C118,G117)</f>
        <v>46726</v>
      </c>
      <c r="G118" s="25">
        <f>IF(E118&lt;参数设置!$B$13,DATE(YEAR(EDATE(C118,E118+1)),MONTH(EDATE(C118,E118+1)),参数设置!$B$14),EDATE(C118,参数设置!$B$13))</f>
        <v>46757</v>
      </c>
      <c r="H118">
        <f>G118-F118</f>
        <v>31</v>
      </c>
      <c r="I118" s="21">
        <f>IF(E118=参数设置!$B$13,D118,0)</f>
        <v>0</v>
      </c>
      <c r="J118" s="21">
        <f>IF(M118=1,ROUND(D118*参数设置!$B$11*H118/参数设置!$B$12,参数设置!$B$15),0)</f>
        <v>66.5</v>
      </c>
      <c r="K118" s="21">
        <f>I118+J118</f>
        <v>66.5</v>
      </c>
      <c r="L118" s="25">
        <f>EDATE(C118,参数设置!$B$13)</f>
        <v>46883</v>
      </c>
      <c r="M118">
        <f>--(D118&gt;0)</f>
        <v>1</v>
      </c>
    </row>
    <row r="119" spans="1:13" ht="15" customHeight="1">
      <c r="A119">
        <v>10</v>
      </c>
      <c r="B119">
        <v>10</v>
      </c>
      <c r="C119" s="25">
        <f>INDEX(实际执行追踪!$A$7:$A$42,A119)+DAY(参数设置!$B$4)-1</f>
        <v>46517</v>
      </c>
      <c r="D119" s="21">
        <f>INDEX(实际执行追踪!$C$7:$C$42,A119)</f>
        <v>23400</v>
      </c>
      <c r="E119">
        <v>8</v>
      </c>
      <c r="F119" s="25">
        <f>IF(E119=1,C119,G118)</f>
        <v>46757</v>
      </c>
      <c r="G119" s="25">
        <f>IF(E119&lt;参数设置!$B$13,DATE(YEAR(EDATE(C119,E119+1)),MONTH(EDATE(C119,E119+1)),参数设置!$B$14),EDATE(C119,参数设置!$B$13))</f>
        <v>46788</v>
      </c>
      <c r="H119">
        <f>G119-F119</f>
        <v>31</v>
      </c>
      <c r="I119" s="21">
        <f>IF(E119=参数设置!$B$13,D119,0)</f>
        <v>0</v>
      </c>
      <c r="J119" s="21">
        <f>IF(M119=1,ROUND(D119*参数设置!$B$11*H119/参数设置!$B$12,参数设置!$B$15),0)</f>
        <v>66.5</v>
      </c>
      <c r="K119" s="21">
        <f>I119+J119</f>
        <v>66.5</v>
      </c>
      <c r="L119" s="25">
        <f>EDATE(C119,参数设置!$B$13)</f>
        <v>46883</v>
      </c>
      <c r="M119">
        <f>--(D119&gt;0)</f>
        <v>1</v>
      </c>
    </row>
    <row r="120" spans="1:13" ht="15" customHeight="1">
      <c r="A120">
        <v>10</v>
      </c>
      <c r="B120">
        <v>10</v>
      </c>
      <c r="C120" s="25">
        <f>INDEX(实际执行追踪!$A$7:$A$42,A120)+DAY(参数设置!$B$4)-1</f>
        <v>46517</v>
      </c>
      <c r="D120" s="21">
        <f>INDEX(实际执行追踪!$C$7:$C$42,A120)</f>
        <v>23400</v>
      </c>
      <c r="E120">
        <v>9</v>
      </c>
      <c r="F120" s="25">
        <f>IF(E120=1,C120,G119)</f>
        <v>46788</v>
      </c>
      <c r="G120" s="25">
        <f>IF(E120&lt;参数设置!$B$13,DATE(YEAR(EDATE(C120,E120+1)),MONTH(EDATE(C120,E120+1)),参数设置!$B$14),EDATE(C120,参数设置!$B$13))</f>
        <v>46817</v>
      </c>
      <c r="H120">
        <f>G120-F120</f>
        <v>29</v>
      </c>
      <c r="I120" s="21">
        <f>IF(E120=参数设置!$B$13,D120,0)</f>
        <v>0</v>
      </c>
      <c r="J120" s="21">
        <f>IF(M120=1,ROUND(D120*参数设置!$B$11*H120/参数设置!$B$12,参数设置!$B$15),0)</f>
        <v>62.21</v>
      </c>
      <c r="K120" s="21">
        <f>I120+J120</f>
        <v>62.21</v>
      </c>
      <c r="L120" s="25">
        <f>EDATE(C120,参数设置!$B$13)</f>
        <v>46883</v>
      </c>
      <c r="M120">
        <f>--(D120&gt;0)</f>
        <v>1</v>
      </c>
    </row>
    <row r="121" spans="1:13" ht="15" customHeight="1">
      <c r="A121">
        <v>10</v>
      </c>
      <c r="B121">
        <v>10</v>
      </c>
      <c r="C121" s="25">
        <f>INDEX(实际执行追踪!$A$7:$A$42,A121)+DAY(参数设置!$B$4)-1</f>
        <v>46517</v>
      </c>
      <c r="D121" s="21">
        <f>INDEX(实际执行追踪!$C$7:$C$42,A121)</f>
        <v>23400</v>
      </c>
      <c r="E121">
        <v>10</v>
      </c>
      <c r="F121" s="25">
        <f>IF(E121=1,C121,G120)</f>
        <v>46817</v>
      </c>
      <c r="G121" s="25">
        <f>IF(E121&lt;参数设置!$B$13,DATE(YEAR(EDATE(C121,E121+1)),MONTH(EDATE(C121,E121+1)),参数设置!$B$14),EDATE(C121,参数设置!$B$13))</f>
        <v>46848</v>
      </c>
      <c r="H121">
        <f>G121-F121</f>
        <v>31</v>
      </c>
      <c r="I121" s="21">
        <f>IF(E121=参数设置!$B$13,D121,0)</f>
        <v>0</v>
      </c>
      <c r="J121" s="21">
        <f>IF(M121=1,ROUND(D121*参数设置!$B$11*H121/参数设置!$B$12,参数设置!$B$15),0)</f>
        <v>66.5</v>
      </c>
      <c r="K121" s="21">
        <f>I121+J121</f>
        <v>66.5</v>
      </c>
      <c r="L121" s="25">
        <f>EDATE(C121,参数设置!$B$13)</f>
        <v>46883</v>
      </c>
      <c r="M121">
        <f>--(D121&gt;0)</f>
        <v>1</v>
      </c>
    </row>
    <row r="122" spans="1:13" ht="15" customHeight="1">
      <c r="A122">
        <v>10</v>
      </c>
      <c r="B122">
        <v>10</v>
      </c>
      <c r="C122" s="25">
        <f>INDEX(实际执行追踪!$A$7:$A$42,A122)+DAY(参数设置!$B$4)-1</f>
        <v>46517</v>
      </c>
      <c r="D122" s="21">
        <f>INDEX(实际执行追踪!$C$7:$C$42,A122)</f>
        <v>23400</v>
      </c>
      <c r="E122">
        <v>11</v>
      </c>
      <c r="F122" s="25">
        <f>IF(E122=1,C122,G121)</f>
        <v>46848</v>
      </c>
      <c r="G122" s="25">
        <f>IF(E122&lt;参数设置!$B$13,DATE(YEAR(EDATE(C122,E122+1)),MONTH(EDATE(C122,E122+1)),参数设置!$B$14),EDATE(C122,参数设置!$B$13))</f>
        <v>46878</v>
      </c>
      <c r="H122">
        <f>G122-F122</f>
        <v>30</v>
      </c>
      <c r="I122" s="21">
        <f>IF(E122=参数设置!$B$13,D122,0)</f>
        <v>0</v>
      </c>
      <c r="J122" s="21">
        <f>IF(M122=1,ROUND(D122*参数设置!$B$11*H122/参数设置!$B$12,参数设置!$B$15),0)</f>
        <v>64.349999999999994</v>
      </c>
      <c r="K122" s="21">
        <f>I122+J122</f>
        <v>64.349999999999994</v>
      </c>
      <c r="L122" s="25">
        <f>EDATE(C122,参数设置!$B$13)</f>
        <v>46883</v>
      </c>
      <c r="M122">
        <f>--(D122&gt;0)</f>
        <v>1</v>
      </c>
    </row>
    <row r="123" spans="1:13" ht="15" customHeight="1">
      <c r="A123">
        <v>10</v>
      </c>
      <c r="B123">
        <v>10</v>
      </c>
      <c r="C123" s="25">
        <f>INDEX(实际执行追踪!$A$7:$A$42,A123)+DAY(参数设置!$B$4)-1</f>
        <v>46517</v>
      </c>
      <c r="D123" s="21">
        <f>INDEX(实际执行追踪!$C$7:$C$42,A123)</f>
        <v>23400</v>
      </c>
      <c r="E123">
        <v>12</v>
      </c>
      <c r="F123" s="25">
        <f>IF(E123=1,C123,G122)</f>
        <v>46878</v>
      </c>
      <c r="G123" s="25">
        <f>IF(E123&lt;参数设置!$B$13,DATE(YEAR(EDATE(C123,E123+1)),MONTH(EDATE(C123,E123+1)),参数设置!$B$14),EDATE(C123,参数设置!$B$13))</f>
        <v>46883</v>
      </c>
      <c r="H123">
        <f>G123-F123</f>
        <v>5</v>
      </c>
      <c r="I123" s="21">
        <f>IF(E123=参数设置!$B$13,D123,0)</f>
        <v>23400</v>
      </c>
      <c r="J123" s="21">
        <f>IF(M123=1,ROUND(D123*参数设置!$B$11*H123/参数设置!$B$12,参数设置!$B$15),0)</f>
        <v>10.73</v>
      </c>
      <c r="K123" s="21">
        <f>I123+J123</f>
        <v>23410.73</v>
      </c>
      <c r="L123" s="25">
        <f>EDATE(C123,参数设置!$B$13)</f>
        <v>46883</v>
      </c>
      <c r="M123">
        <f>--(D123&gt;0)</f>
        <v>1</v>
      </c>
    </row>
    <row r="124" spans="1:13" ht="15" customHeight="1">
      <c r="A124">
        <v>11</v>
      </c>
      <c r="B124">
        <v>11</v>
      </c>
      <c r="C124" s="25">
        <f>INDEX(实际执行追踪!$A$7:$A$42,A124)+DAY(参数设置!$B$4)-1</f>
        <v>46548</v>
      </c>
      <c r="D124" s="21">
        <f>INDEX(实际执行追踪!$C$7:$C$42,A124)</f>
        <v>23400</v>
      </c>
      <c r="E124">
        <v>1</v>
      </c>
      <c r="F124" s="25">
        <f>IF(E124=1,C124,G123)</f>
        <v>46548</v>
      </c>
      <c r="G124" s="25">
        <f>IF(E124&lt;参数设置!$B$13,DATE(YEAR(EDATE(C124,E124+1)),MONTH(EDATE(C124,E124+1)),参数设置!$B$14),EDATE(C124,参数设置!$B$13))</f>
        <v>46604</v>
      </c>
      <c r="H124">
        <f>G124-F124</f>
        <v>56</v>
      </c>
      <c r="I124" s="21">
        <f>IF(E124=参数设置!$B$13,D124,0)</f>
        <v>0</v>
      </c>
      <c r="J124" s="21">
        <f>IF(M124=1,ROUND(D124*参数设置!$B$11*H124/参数设置!$B$12,参数设置!$B$15),0)</f>
        <v>120.12</v>
      </c>
      <c r="K124" s="21">
        <f>I124+J124</f>
        <v>120.12</v>
      </c>
      <c r="L124" s="25">
        <f>EDATE(C124,参数设置!$B$13)</f>
        <v>46914</v>
      </c>
      <c r="M124">
        <f>--(D124&gt;0)</f>
        <v>1</v>
      </c>
    </row>
    <row r="125" spans="1:13" ht="15" customHeight="1">
      <c r="A125">
        <v>11</v>
      </c>
      <c r="B125">
        <v>11</v>
      </c>
      <c r="C125" s="25">
        <f>INDEX(实际执行追踪!$A$7:$A$42,A125)+DAY(参数设置!$B$4)-1</f>
        <v>46548</v>
      </c>
      <c r="D125" s="21">
        <f>INDEX(实际执行追踪!$C$7:$C$42,A125)</f>
        <v>23400</v>
      </c>
      <c r="E125">
        <v>2</v>
      </c>
      <c r="F125" s="25">
        <f>IF(E125=1,C125,G124)</f>
        <v>46604</v>
      </c>
      <c r="G125" s="25">
        <f>IF(E125&lt;参数设置!$B$13,DATE(YEAR(EDATE(C125,E125+1)),MONTH(EDATE(C125,E125+1)),参数设置!$B$14),EDATE(C125,参数设置!$B$13))</f>
        <v>46635</v>
      </c>
      <c r="H125">
        <f>G125-F125</f>
        <v>31</v>
      </c>
      <c r="I125" s="21">
        <f>IF(E125=参数设置!$B$13,D125,0)</f>
        <v>0</v>
      </c>
      <c r="J125" s="21">
        <f>IF(M125=1,ROUND(D125*参数设置!$B$11*H125/参数设置!$B$12,参数设置!$B$15),0)</f>
        <v>66.5</v>
      </c>
      <c r="K125" s="21">
        <f>I125+J125</f>
        <v>66.5</v>
      </c>
      <c r="L125" s="25">
        <f>EDATE(C125,参数设置!$B$13)</f>
        <v>46914</v>
      </c>
      <c r="M125">
        <f>--(D125&gt;0)</f>
        <v>1</v>
      </c>
    </row>
    <row r="126" spans="1:13" ht="15" customHeight="1">
      <c r="A126">
        <v>11</v>
      </c>
      <c r="B126">
        <v>11</v>
      </c>
      <c r="C126" s="25">
        <f>INDEX(实际执行追踪!$A$7:$A$42,A126)+DAY(参数设置!$B$4)-1</f>
        <v>46548</v>
      </c>
      <c r="D126" s="21">
        <f>INDEX(实际执行追踪!$C$7:$C$42,A126)</f>
        <v>23400</v>
      </c>
      <c r="E126">
        <v>3</v>
      </c>
      <c r="F126" s="25">
        <f>IF(E126=1,C126,G125)</f>
        <v>46635</v>
      </c>
      <c r="G126" s="25">
        <f>IF(E126&lt;参数设置!$B$13,DATE(YEAR(EDATE(C126,E126+1)),MONTH(EDATE(C126,E126+1)),参数设置!$B$14),EDATE(C126,参数设置!$B$13))</f>
        <v>46665</v>
      </c>
      <c r="H126">
        <f>G126-F126</f>
        <v>30</v>
      </c>
      <c r="I126" s="21">
        <f>IF(E126=参数设置!$B$13,D126,0)</f>
        <v>0</v>
      </c>
      <c r="J126" s="21">
        <f>IF(M126=1,ROUND(D126*参数设置!$B$11*H126/参数设置!$B$12,参数设置!$B$15),0)</f>
        <v>64.349999999999994</v>
      </c>
      <c r="K126" s="21">
        <f>I126+J126</f>
        <v>64.349999999999994</v>
      </c>
      <c r="L126" s="25">
        <f>EDATE(C126,参数设置!$B$13)</f>
        <v>46914</v>
      </c>
      <c r="M126">
        <f>--(D126&gt;0)</f>
        <v>1</v>
      </c>
    </row>
    <row r="127" spans="1:13" ht="15" customHeight="1">
      <c r="A127">
        <v>11</v>
      </c>
      <c r="B127">
        <v>11</v>
      </c>
      <c r="C127" s="25">
        <f>INDEX(实际执行追踪!$A$7:$A$42,A127)+DAY(参数设置!$B$4)-1</f>
        <v>46548</v>
      </c>
      <c r="D127" s="21">
        <f>INDEX(实际执行追踪!$C$7:$C$42,A127)</f>
        <v>23400</v>
      </c>
      <c r="E127">
        <v>4</v>
      </c>
      <c r="F127" s="25">
        <f>IF(E127=1,C127,G126)</f>
        <v>46665</v>
      </c>
      <c r="G127" s="25">
        <f>IF(E127&lt;参数设置!$B$13,DATE(YEAR(EDATE(C127,E127+1)),MONTH(EDATE(C127,E127+1)),参数设置!$B$14),EDATE(C127,参数设置!$B$13))</f>
        <v>46696</v>
      </c>
      <c r="H127">
        <f>G127-F127</f>
        <v>31</v>
      </c>
      <c r="I127" s="21">
        <f>IF(E127=参数设置!$B$13,D127,0)</f>
        <v>0</v>
      </c>
      <c r="J127" s="21">
        <f>IF(M127=1,ROUND(D127*参数设置!$B$11*H127/参数设置!$B$12,参数设置!$B$15),0)</f>
        <v>66.5</v>
      </c>
      <c r="K127" s="21">
        <f>I127+J127</f>
        <v>66.5</v>
      </c>
      <c r="L127" s="25">
        <f>EDATE(C127,参数设置!$B$13)</f>
        <v>46914</v>
      </c>
      <c r="M127">
        <f>--(D127&gt;0)</f>
        <v>1</v>
      </c>
    </row>
    <row r="128" spans="1:13" ht="15" customHeight="1">
      <c r="A128">
        <v>11</v>
      </c>
      <c r="B128">
        <v>11</v>
      </c>
      <c r="C128" s="25">
        <f>INDEX(实际执行追踪!$A$7:$A$42,A128)+DAY(参数设置!$B$4)-1</f>
        <v>46548</v>
      </c>
      <c r="D128" s="21">
        <f>INDEX(实际执行追踪!$C$7:$C$42,A128)</f>
        <v>23400</v>
      </c>
      <c r="E128">
        <v>5</v>
      </c>
      <c r="F128" s="25">
        <f>IF(E128=1,C128,G127)</f>
        <v>46696</v>
      </c>
      <c r="G128" s="25">
        <f>IF(E128&lt;参数设置!$B$13,DATE(YEAR(EDATE(C128,E128+1)),MONTH(EDATE(C128,E128+1)),参数设置!$B$14),EDATE(C128,参数设置!$B$13))</f>
        <v>46726</v>
      </c>
      <c r="H128">
        <f>G128-F128</f>
        <v>30</v>
      </c>
      <c r="I128" s="21">
        <f>IF(E128=参数设置!$B$13,D128,0)</f>
        <v>0</v>
      </c>
      <c r="J128" s="21">
        <f>IF(M128=1,ROUND(D128*参数设置!$B$11*H128/参数设置!$B$12,参数设置!$B$15),0)</f>
        <v>64.349999999999994</v>
      </c>
      <c r="K128" s="21">
        <f>I128+J128</f>
        <v>64.349999999999994</v>
      </c>
      <c r="L128" s="25">
        <f>EDATE(C128,参数设置!$B$13)</f>
        <v>46914</v>
      </c>
      <c r="M128">
        <f>--(D128&gt;0)</f>
        <v>1</v>
      </c>
    </row>
    <row r="129" spans="1:13" ht="15" customHeight="1">
      <c r="A129">
        <v>11</v>
      </c>
      <c r="B129">
        <v>11</v>
      </c>
      <c r="C129" s="25">
        <f>INDEX(实际执行追踪!$A$7:$A$42,A129)+DAY(参数设置!$B$4)-1</f>
        <v>46548</v>
      </c>
      <c r="D129" s="21">
        <f>INDEX(实际执行追踪!$C$7:$C$42,A129)</f>
        <v>23400</v>
      </c>
      <c r="E129">
        <v>6</v>
      </c>
      <c r="F129" s="25">
        <f>IF(E129=1,C129,G128)</f>
        <v>46726</v>
      </c>
      <c r="G129" s="25">
        <f>IF(E129&lt;参数设置!$B$13,DATE(YEAR(EDATE(C129,E129+1)),MONTH(EDATE(C129,E129+1)),参数设置!$B$14),EDATE(C129,参数设置!$B$13))</f>
        <v>46757</v>
      </c>
      <c r="H129">
        <f>G129-F129</f>
        <v>31</v>
      </c>
      <c r="I129" s="21">
        <f>IF(E129=参数设置!$B$13,D129,0)</f>
        <v>0</v>
      </c>
      <c r="J129" s="21">
        <f>IF(M129=1,ROUND(D129*参数设置!$B$11*H129/参数设置!$B$12,参数设置!$B$15),0)</f>
        <v>66.5</v>
      </c>
      <c r="K129" s="21">
        <f>I129+J129</f>
        <v>66.5</v>
      </c>
      <c r="L129" s="25">
        <f>EDATE(C129,参数设置!$B$13)</f>
        <v>46914</v>
      </c>
      <c r="M129">
        <f>--(D129&gt;0)</f>
        <v>1</v>
      </c>
    </row>
    <row r="130" spans="1:13" ht="15" customHeight="1">
      <c r="A130">
        <v>11</v>
      </c>
      <c r="B130">
        <v>11</v>
      </c>
      <c r="C130" s="25">
        <f>INDEX(实际执行追踪!$A$7:$A$42,A130)+DAY(参数设置!$B$4)-1</f>
        <v>46548</v>
      </c>
      <c r="D130" s="21">
        <f>INDEX(实际执行追踪!$C$7:$C$42,A130)</f>
        <v>23400</v>
      </c>
      <c r="E130">
        <v>7</v>
      </c>
      <c r="F130" s="25">
        <f>IF(E130=1,C130,G129)</f>
        <v>46757</v>
      </c>
      <c r="G130" s="25">
        <f>IF(E130&lt;参数设置!$B$13,DATE(YEAR(EDATE(C130,E130+1)),MONTH(EDATE(C130,E130+1)),参数设置!$B$14),EDATE(C130,参数设置!$B$13))</f>
        <v>46788</v>
      </c>
      <c r="H130">
        <f>G130-F130</f>
        <v>31</v>
      </c>
      <c r="I130" s="21">
        <f>IF(E130=参数设置!$B$13,D130,0)</f>
        <v>0</v>
      </c>
      <c r="J130" s="21">
        <f>IF(M130=1,ROUND(D130*参数设置!$B$11*H130/参数设置!$B$12,参数设置!$B$15),0)</f>
        <v>66.5</v>
      </c>
      <c r="K130" s="21">
        <f>I130+J130</f>
        <v>66.5</v>
      </c>
      <c r="L130" s="25">
        <f>EDATE(C130,参数设置!$B$13)</f>
        <v>46914</v>
      </c>
      <c r="M130">
        <f>--(D130&gt;0)</f>
        <v>1</v>
      </c>
    </row>
    <row r="131" spans="1:13" ht="15" customHeight="1">
      <c r="A131">
        <v>11</v>
      </c>
      <c r="B131">
        <v>11</v>
      </c>
      <c r="C131" s="25">
        <f>INDEX(实际执行追踪!$A$7:$A$42,A131)+DAY(参数设置!$B$4)-1</f>
        <v>46548</v>
      </c>
      <c r="D131" s="21">
        <f>INDEX(实际执行追踪!$C$7:$C$42,A131)</f>
        <v>23400</v>
      </c>
      <c r="E131">
        <v>8</v>
      </c>
      <c r="F131" s="25">
        <f>IF(E131=1,C131,G130)</f>
        <v>46788</v>
      </c>
      <c r="G131" s="25">
        <f>IF(E131&lt;参数设置!$B$13,DATE(YEAR(EDATE(C131,E131+1)),MONTH(EDATE(C131,E131+1)),参数设置!$B$14),EDATE(C131,参数设置!$B$13))</f>
        <v>46817</v>
      </c>
      <c r="H131">
        <f>G131-F131</f>
        <v>29</v>
      </c>
      <c r="I131" s="21">
        <f>IF(E131=参数设置!$B$13,D131,0)</f>
        <v>0</v>
      </c>
      <c r="J131" s="21">
        <f>IF(M131=1,ROUND(D131*参数设置!$B$11*H131/参数设置!$B$12,参数设置!$B$15),0)</f>
        <v>62.21</v>
      </c>
      <c r="K131" s="21">
        <f>I131+J131</f>
        <v>62.21</v>
      </c>
      <c r="L131" s="25">
        <f>EDATE(C131,参数设置!$B$13)</f>
        <v>46914</v>
      </c>
      <c r="M131">
        <f>--(D131&gt;0)</f>
        <v>1</v>
      </c>
    </row>
    <row r="132" spans="1:13" ht="15" customHeight="1">
      <c r="A132">
        <v>11</v>
      </c>
      <c r="B132">
        <v>11</v>
      </c>
      <c r="C132" s="25">
        <f>INDEX(实际执行追踪!$A$7:$A$42,A132)+DAY(参数设置!$B$4)-1</f>
        <v>46548</v>
      </c>
      <c r="D132" s="21">
        <f>INDEX(实际执行追踪!$C$7:$C$42,A132)</f>
        <v>23400</v>
      </c>
      <c r="E132">
        <v>9</v>
      </c>
      <c r="F132" s="25">
        <f>IF(E132=1,C132,G131)</f>
        <v>46817</v>
      </c>
      <c r="G132" s="25">
        <f>IF(E132&lt;参数设置!$B$13,DATE(YEAR(EDATE(C132,E132+1)),MONTH(EDATE(C132,E132+1)),参数设置!$B$14),EDATE(C132,参数设置!$B$13))</f>
        <v>46848</v>
      </c>
      <c r="H132">
        <f>G132-F132</f>
        <v>31</v>
      </c>
      <c r="I132" s="21">
        <f>IF(E132=参数设置!$B$13,D132,0)</f>
        <v>0</v>
      </c>
      <c r="J132" s="21">
        <f>IF(M132=1,ROUND(D132*参数设置!$B$11*H132/参数设置!$B$12,参数设置!$B$15),0)</f>
        <v>66.5</v>
      </c>
      <c r="K132" s="21">
        <f>I132+J132</f>
        <v>66.5</v>
      </c>
      <c r="L132" s="25">
        <f>EDATE(C132,参数设置!$B$13)</f>
        <v>46914</v>
      </c>
      <c r="M132">
        <f>--(D132&gt;0)</f>
        <v>1</v>
      </c>
    </row>
    <row r="133" spans="1:13" ht="15" customHeight="1">
      <c r="A133">
        <v>11</v>
      </c>
      <c r="B133">
        <v>11</v>
      </c>
      <c r="C133" s="25">
        <f>INDEX(实际执行追踪!$A$7:$A$42,A133)+DAY(参数设置!$B$4)-1</f>
        <v>46548</v>
      </c>
      <c r="D133" s="21">
        <f>INDEX(实际执行追踪!$C$7:$C$42,A133)</f>
        <v>23400</v>
      </c>
      <c r="E133">
        <v>10</v>
      </c>
      <c r="F133" s="25">
        <f>IF(E133=1,C133,G132)</f>
        <v>46848</v>
      </c>
      <c r="G133" s="25">
        <f>IF(E133&lt;参数设置!$B$13,DATE(YEAR(EDATE(C133,E133+1)),MONTH(EDATE(C133,E133+1)),参数设置!$B$14),EDATE(C133,参数设置!$B$13))</f>
        <v>46878</v>
      </c>
      <c r="H133">
        <f>G133-F133</f>
        <v>30</v>
      </c>
      <c r="I133" s="21">
        <f>IF(E133=参数设置!$B$13,D133,0)</f>
        <v>0</v>
      </c>
      <c r="J133" s="21">
        <f>IF(M133=1,ROUND(D133*参数设置!$B$11*H133/参数设置!$B$12,参数设置!$B$15),0)</f>
        <v>64.349999999999994</v>
      </c>
      <c r="K133" s="21">
        <f>I133+J133</f>
        <v>64.349999999999994</v>
      </c>
      <c r="L133" s="25">
        <f>EDATE(C133,参数设置!$B$13)</f>
        <v>46914</v>
      </c>
      <c r="M133">
        <f>--(D133&gt;0)</f>
        <v>1</v>
      </c>
    </row>
    <row r="134" spans="1:13" ht="15" customHeight="1">
      <c r="A134">
        <v>11</v>
      </c>
      <c r="B134">
        <v>11</v>
      </c>
      <c r="C134" s="25">
        <f>INDEX(实际执行追踪!$A$7:$A$42,A134)+DAY(参数设置!$B$4)-1</f>
        <v>46548</v>
      </c>
      <c r="D134" s="21">
        <f>INDEX(实际执行追踪!$C$7:$C$42,A134)</f>
        <v>23400</v>
      </c>
      <c r="E134">
        <v>11</v>
      </c>
      <c r="F134" s="25">
        <f>IF(E134=1,C134,G133)</f>
        <v>46878</v>
      </c>
      <c r="G134" s="25">
        <f>IF(E134&lt;参数设置!$B$13,DATE(YEAR(EDATE(C134,E134+1)),MONTH(EDATE(C134,E134+1)),参数设置!$B$14),EDATE(C134,参数设置!$B$13))</f>
        <v>46909</v>
      </c>
      <c r="H134">
        <f>G134-F134</f>
        <v>31</v>
      </c>
      <c r="I134" s="21">
        <f>IF(E134=参数设置!$B$13,D134,0)</f>
        <v>0</v>
      </c>
      <c r="J134" s="21">
        <f>IF(M134=1,ROUND(D134*参数设置!$B$11*H134/参数设置!$B$12,参数设置!$B$15),0)</f>
        <v>66.5</v>
      </c>
      <c r="K134" s="21">
        <f>I134+J134</f>
        <v>66.5</v>
      </c>
      <c r="L134" s="25">
        <f>EDATE(C134,参数设置!$B$13)</f>
        <v>46914</v>
      </c>
      <c r="M134">
        <f>--(D134&gt;0)</f>
        <v>1</v>
      </c>
    </row>
    <row r="135" spans="1:13" ht="15" customHeight="1">
      <c r="A135">
        <v>11</v>
      </c>
      <c r="B135">
        <v>11</v>
      </c>
      <c r="C135" s="25">
        <f>INDEX(实际执行追踪!$A$7:$A$42,A135)+DAY(参数设置!$B$4)-1</f>
        <v>46548</v>
      </c>
      <c r="D135" s="21">
        <f>INDEX(实际执行追踪!$C$7:$C$42,A135)</f>
        <v>23400</v>
      </c>
      <c r="E135">
        <v>12</v>
      </c>
      <c r="F135" s="25">
        <f>IF(E135=1,C135,G134)</f>
        <v>46909</v>
      </c>
      <c r="G135" s="25">
        <f>IF(E135&lt;参数设置!$B$13,DATE(YEAR(EDATE(C135,E135+1)),MONTH(EDATE(C135,E135+1)),参数设置!$B$14),EDATE(C135,参数设置!$B$13))</f>
        <v>46914</v>
      </c>
      <c r="H135">
        <f>G135-F135</f>
        <v>5</v>
      </c>
      <c r="I135" s="21">
        <f>IF(E135=参数设置!$B$13,D135,0)</f>
        <v>23400</v>
      </c>
      <c r="J135" s="21">
        <f>IF(M135=1,ROUND(D135*参数设置!$B$11*H135/参数设置!$B$12,参数设置!$B$15),0)</f>
        <v>10.73</v>
      </c>
      <c r="K135" s="21">
        <f>I135+J135</f>
        <v>23410.73</v>
      </c>
      <c r="L135" s="25">
        <f>EDATE(C135,参数设置!$B$13)</f>
        <v>46914</v>
      </c>
      <c r="M135">
        <f>--(D135&gt;0)</f>
        <v>1</v>
      </c>
    </row>
    <row r="136" spans="1:13" ht="15" customHeight="1">
      <c r="A136">
        <v>12</v>
      </c>
      <c r="B136">
        <v>12</v>
      </c>
      <c r="C136" s="25">
        <f>INDEX(实际执行追踪!$A$7:$A$42,A136)+DAY(参数设置!$B$4)-1</f>
        <v>46578</v>
      </c>
      <c r="D136" s="21">
        <f>INDEX(实际执行追踪!$C$7:$C$42,A136)</f>
        <v>23400</v>
      </c>
      <c r="E136">
        <v>1</v>
      </c>
      <c r="F136" s="25">
        <f>IF(E136=1,C136,G135)</f>
        <v>46578</v>
      </c>
      <c r="G136" s="25">
        <f>IF(E136&lt;参数设置!$B$13,DATE(YEAR(EDATE(C136,E136+1)),MONTH(EDATE(C136,E136+1)),参数设置!$B$14),EDATE(C136,参数设置!$B$13))</f>
        <v>46635</v>
      </c>
      <c r="H136">
        <f>G136-F136</f>
        <v>57</v>
      </c>
      <c r="I136" s="21">
        <f>IF(E136=参数设置!$B$13,D136,0)</f>
        <v>0</v>
      </c>
      <c r="J136" s="21">
        <f>IF(M136=1,ROUND(D136*参数设置!$B$11*H136/参数设置!$B$12,参数设置!$B$15),0)</f>
        <v>122.27</v>
      </c>
      <c r="K136" s="21">
        <f>I136+J136</f>
        <v>122.27</v>
      </c>
      <c r="L136" s="25">
        <f>EDATE(C136,参数设置!$B$13)</f>
        <v>46944</v>
      </c>
      <c r="M136">
        <f>--(D136&gt;0)</f>
        <v>1</v>
      </c>
    </row>
    <row r="137" spans="1:13" ht="15" customHeight="1">
      <c r="A137">
        <v>12</v>
      </c>
      <c r="B137">
        <v>12</v>
      </c>
      <c r="C137" s="25">
        <f>INDEX(实际执行追踪!$A$7:$A$42,A137)+DAY(参数设置!$B$4)-1</f>
        <v>46578</v>
      </c>
      <c r="D137" s="21">
        <f>INDEX(实际执行追踪!$C$7:$C$42,A137)</f>
        <v>23400</v>
      </c>
      <c r="E137">
        <v>2</v>
      </c>
      <c r="F137" s="25">
        <f>IF(E137=1,C137,G136)</f>
        <v>46635</v>
      </c>
      <c r="G137" s="25">
        <f>IF(E137&lt;参数设置!$B$13,DATE(YEAR(EDATE(C137,E137+1)),MONTH(EDATE(C137,E137+1)),参数设置!$B$14),EDATE(C137,参数设置!$B$13))</f>
        <v>46665</v>
      </c>
      <c r="H137">
        <f>G137-F137</f>
        <v>30</v>
      </c>
      <c r="I137" s="21">
        <f>IF(E137=参数设置!$B$13,D137,0)</f>
        <v>0</v>
      </c>
      <c r="J137" s="21">
        <f>IF(M137=1,ROUND(D137*参数设置!$B$11*H137/参数设置!$B$12,参数设置!$B$15),0)</f>
        <v>64.349999999999994</v>
      </c>
      <c r="K137" s="21">
        <f>I137+J137</f>
        <v>64.349999999999994</v>
      </c>
      <c r="L137" s="25">
        <f>EDATE(C137,参数设置!$B$13)</f>
        <v>46944</v>
      </c>
      <c r="M137">
        <f>--(D137&gt;0)</f>
        <v>1</v>
      </c>
    </row>
    <row r="138" spans="1:13" ht="15" customHeight="1">
      <c r="A138">
        <v>12</v>
      </c>
      <c r="B138">
        <v>12</v>
      </c>
      <c r="C138" s="25">
        <f>INDEX(实际执行追踪!$A$7:$A$42,A138)+DAY(参数设置!$B$4)-1</f>
        <v>46578</v>
      </c>
      <c r="D138" s="21">
        <f>INDEX(实际执行追踪!$C$7:$C$42,A138)</f>
        <v>23400</v>
      </c>
      <c r="E138">
        <v>3</v>
      </c>
      <c r="F138" s="25">
        <f>IF(E138=1,C138,G137)</f>
        <v>46665</v>
      </c>
      <c r="G138" s="25">
        <f>IF(E138&lt;参数设置!$B$13,DATE(YEAR(EDATE(C138,E138+1)),MONTH(EDATE(C138,E138+1)),参数设置!$B$14),EDATE(C138,参数设置!$B$13))</f>
        <v>46696</v>
      </c>
      <c r="H138">
        <f>G138-F138</f>
        <v>31</v>
      </c>
      <c r="I138" s="21">
        <f>IF(E138=参数设置!$B$13,D138,0)</f>
        <v>0</v>
      </c>
      <c r="J138" s="21">
        <f>IF(M138=1,ROUND(D138*参数设置!$B$11*H138/参数设置!$B$12,参数设置!$B$15),0)</f>
        <v>66.5</v>
      </c>
      <c r="K138" s="21">
        <f>I138+J138</f>
        <v>66.5</v>
      </c>
      <c r="L138" s="25">
        <f>EDATE(C138,参数设置!$B$13)</f>
        <v>46944</v>
      </c>
      <c r="M138">
        <f>--(D138&gt;0)</f>
        <v>1</v>
      </c>
    </row>
    <row r="139" spans="1:13" ht="15" customHeight="1">
      <c r="A139">
        <v>12</v>
      </c>
      <c r="B139">
        <v>12</v>
      </c>
      <c r="C139" s="25">
        <f>INDEX(实际执行追踪!$A$7:$A$42,A139)+DAY(参数设置!$B$4)-1</f>
        <v>46578</v>
      </c>
      <c r="D139" s="21">
        <f>INDEX(实际执行追踪!$C$7:$C$42,A139)</f>
        <v>23400</v>
      </c>
      <c r="E139">
        <v>4</v>
      </c>
      <c r="F139" s="25">
        <f>IF(E139=1,C139,G138)</f>
        <v>46696</v>
      </c>
      <c r="G139" s="25">
        <f>IF(E139&lt;参数设置!$B$13,DATE(YEAR(EDATE(C139,E139+1)),MONTH(EDATE(C139,E139+1)),参数设置!$B$14),EDATE(C139,参数设置!$B$13))</f>
        <v>46726</v>
      </c>
      <c r="H139">
        <f>G139-F139</f>
        <v>30</v>
      </c>
      <c r="I139" s="21">
        <f>IF(E139=参数设置!$B$13,D139,0)</f>
        <v>0</v>
      </c>
      <c r="J139" s="21">
        <f>IF(M139=1,ROUND(D139*参数设置!$B$11*H139/参数设置!$B$12,参数设置!$B$15),0)</f>
        <v>64.349999999999994</v>
      </c>
      <c r="K139" s="21">
        <f>I139+J139</f>
        <v>64.349999999999994</v>
      </c>
      <c r="L139" s="25">
        <f>EDATE(C139,参数设置!$B$13)</f>
        <v>46944</v>
      </c>
      <c r="M139">
        <f>--(D139&gt;0)</f>
        <v>1</v>
      </c>
    </row>
    <row r="140" spans="1:13" ht="15" customHeight="1">
      <c r="A140">
        <v>12</v>
      </c>
      <c r="B140">
        <v>12</v>
      </c>
      <c r="C140" s="25">
        <f>INDEX(实际执行追踪!$A$7:$A$42,A140)+DAY(参数设置!$B$4)-1</f>
        <v>46578</v>
      </c>
      <c r="D140" s="21">
        <f>INDEX(实际执行追踪!$C$7:$C$42,A140)</f>
        <v>23400</v>
      </c>
      <c r="E140">
        <v>5</v>
      </c>
      <c r="F140" s="25">
        <f>IF(E140=1,C140,G139)</f>
        <v>46726</v>
      </c>
      <c r="G140" s="25">
        <f>IF(E140&lt;参数设置!$B$13,DATE(YEAR(EDATE(C140,E140+1)),MONTH(EDATE(C140,E140+1)),参数设置!$B$14),EDATE(C140,参数设置!$B$13))</f>
        <v>46757</v>
      </c>
      <c r="H140">
        <f>G140-F140</f>
        <v>31</v>
      </c>
      <c r="I140" s="21">
        <f>IF(E140=参数设置!$B$13,D140,0)</f>
        <v>0</v>
      </c>
      <c r="J140" s="21">
        <f>IF(M140=1,ROUND(D140*参数设置!$B$11*H140/参数设置!$B$12,参数设置!$B$15),0)</f>
        <v>66.5</v>
      </c>
      <c r="K140" s="21">
        <f>I140+J140</f>
        <v>66.5</v>
      </c>
      <c r="L140" s="25">
        <f>EDATE(C140,参数设置!$B$13)</f>
        <v>46944</v>
      </c>
      <c r="M140">
        <f>--(D140&gt;0)</f>
        <v>1</v>
      </c>
    </row>
    <row r="141" spans="1:13" ht="15" customHeight="1">
      <c r="A141">
        <v>12</v>
      </c>
      <c r="B141">
        <v>12</v>
      </c>
      <c r="C141" s="25">
        <f>INDEX(实际执行追踪!$A$7:$A$42,A141)+DAY(参数设置!$B$4)-1</f>
        <v>46578</v>
      </c>
      <c r="D141" s="21">
        <f>INDEX(实际执行追踪!$C$7:$C$42,A141)</f>
        <v>23400</v>
      </c>
      <c r="E141">
        <v>6</v>
      </c>
      <c r="F141" s="25">
        <f>IF(E141=1,C141,G140)</f>
        <v>46757</v>
      </c>
      <c r="G141" s="25">
        <f>IF(E141&lt;参数设置!$B$13,DATE(YEAR(EDATE(C141,E141+1)),MONTH(EDATE(C141,E141+1)),参数设置!$B$14),EDATE(C141,参数设置!$B$13))</f>
        <v>46788</v>
      </c>
      <c r="H141">
        <f>G141-F141</f>
        <v>31</v>
      </c>
      <c r="I141" s="21">
        <f>IF(E141=参数设置!$B$13,D141,0)</f>
        <v>0</v>
      </c>
      <c r="J141" s="21">
        <f>IF(M141=1,ROUND(D141*参数设置!$B$11*H141/参数设置!$B$12,参数设置!$B$15),0)</f>
        <v>66.5</v>
      </c>
      <c r="K141" s="21">
        <f>I141+J141</f>
        <v>66.5</v>
      </c>
      <c r="L141" s="25">
        <f>EDATE(C141,参数设置!$B$13)</f>
        <v>46944</v>
      </c>
      <c r="M141">
        <f>--(D141&gt;0)</f>
        <v>1</v>
      </c>
    </row>
    <row r="142" spans="1:13" ht="15" customHeight="1">
      <c r="A142">
        <v>12</v>
      </c>
      <c r="B142">
        <v>12</v>
      </c>
      <c r="C142" s="25">
        <f>INDEX(实际执行追踪!$A$7:$A$42,A142)+DAY(参数设置!$B$4)-1</f>
        <v>46578</v>
      </c>
      <c r="D142" s="21">
        <f>INDEX(实际执行追踪!$C$7:$C$42,A142)</f>
        <v>23400</v>
      </c>
      <c r="E142">
        <v>7</v>
      </c>
      <c r="F142" s="25">
        <f>IF(E142=1,C142,G141)</f>
        <v>46788</v>
      </c>
      <c r="G142" s="25">
        <f>IF(E142&lt;参数设置!$B$13,DATE(YEAR(EDATE(C142,E142+1)),MONTH(EDATE(C142,E142+1)),参数设置!$B$14),EDATE(C142,参数设置!$B$13))</f>
        <v>46817</v>
      </c>
      <c r="H142">
        <f>G142-F142</f>
        <v>29</v>
      </c>
      <c r="I142" s="21">
        <f>IF(E142=参数设置!$B$13,D142,0)</f>
        <v>0</v>
      </c>
      <c r="J142" s="21">
        <f>IF(M142=1,ROUND(D142*参数设置!$B$11*H142/参数设置!$B$12,参数设置!$B$15),0)</f>
        <v>62.21</v>
      </c>
      <c r="K142" s="21">
        <f>I142+J142</f>
        <v>62.21</v>
      </c>
      <c r="L142" s="25">
        <f>EDATE(C142,参数设置!$B$13)</f>
        <v>46944</v>
      </c>
      <c r="M142">
        <f>--(D142&gt;0)</f>
        <v>1</v>
      </c>
    </row>
    <row r="143" spans="1:13" ht="15" customHeight="1">
      <c r="A143">
        <v>12</v>
      </c>
      <c r="B143">
        <v>12</v>
      </c>
      <c r="C143" s="25">
        <f>INDEX(实际执行追踪!$A$7:$A$42,A143)+DAY(参数设置!$B$4)-1</f>
        <v>46578</v>
      </c>
      <c r="D143" s="21">
        <f>INDEX(实际执行追踪!$C$7:$C$42,A143)</f>
        <v>23400</v>
      </c>
      <c r="E143">
        <v>8</v>
      </c>
      <c r="F143" s="25">
        <f>IF(E143=1,C143,G142)</f>
        <v>46817</v>
      </c>
      <c r="G143" s="25">
        <f>IF(E143&lt;参数设置!$B$13,DATE(YEAR(EDATE(C143,E143+1)),MONTH(EDATE(C143,E143+1)),参数设置!$B$14),EDATE(C143,参数设置!$B$13))</f>
        <v>46848</v>
      </c>
      <c r="H143">
        <f>G143-F143</f>
        <v>31</v>
      </c>
      <c r="I143" s="21">
        <f>IF(E143=参数设置!$B$13,D143,0)</f>
        <v>0</v>
      </c>
      <c r="J143" s="21">
        <f>IF(M143=1,ROUND(D143*参数设置!$B$11*H143/参数设置!$B$12,参数设置!$B$15),0)</f>
        <v>66.5</v>
      </c>
      <c r="K143" s="21">
        <f>I143+J143</f>
        <v>66.5</v>
      </c>
      <c r="L143" s="25">
        <f>EDATE(C143,参数设置!$B$13)</f>
        <v>46944</v>
      </c>
      <c r="M143">
        <f>--(D143&gt;0)</f>
        <v>1</v>
      </c>
    </row>
    <row r="144" spans="1:13" ht="15" customHeight="1">
      <c r="A144">
        <v>12</v>
      </c>
      <c r="B144">
        <v>12</v>
      </c>
      <c r="C144" s="25">
        <f>INDEX(实际执行追踪!$A$7:$A$42,A144)+DAY(参数设置!$B$4)-1</f>
        <v>46578</v>
      </c>
      <c r="D144" s="21">
        <f>INDEX(实际执行追踪!$C$7:$C$42,A144)</f>
        <v>23400</v>
      </c>
      <c r="E144">
        <v>9</v>
      </c>
      <c r="F144" s="25">
        <f>IF(E144=1,C144,G143)</f>
        <v>46848</v>
      </c>
      <c r="G144" s="25">
        <f>IF(E144&lt;参数设置!$B$13,DATE(YEAR(EDATE(C144,E144+1)),MONTH(EDATE(C144,E144+1)),参数设置!$B$14),EDATE(C144,参数设置!$B$13))</f>
        <v>46878</v>
      </c>
      <c r="H144">
        <f>G144-F144</f>
        <v>30</v>
      </c>
      <c r="I144" s="21">
        <f>IF(E144=参数设置!$B$13,D144,0)</f>
        <v>0</v>
      </c>
      <c r="J144" s="21">
        <f>IF(M144=1,ROUND(D144*参数设置!$B$11*H144/参数设置!$B$12,参数设置!$B$15),0)</f>
        <v>64.349999999999994</v>
      </c>
      <c r="K144" s="21">
        <f>I144+J144</f>
        <v>64.349999999999994</v>
      </c>
      <c r="L144" s="25">
        <f>EDATE(C144,参数设置!$B$13)</f>
        <v>46944</v>
      </c>
      <c r="M144">
        <f>--(D144&gt;0)</f>
        <v>1</v>
      </c>
    </row>
    <row r="145" spans="1:13" ht="15" customHeight="1">
      <c r="A145">
        <v>12</v>
      </c>
      <c r="B145">
        <v>12</v>
      </c>
      <c r="C145" s="25">
        <f>INDEX(实际执行追踪!$A$7:$A$42,A145)+DAY(参数设置!$B$4)-1</f>
        <v>46578</v>
      </c>
      <c r="D145" s="21">
        <f>INDEX(实际执行追踪!$C$7:$C$42,A145)</f>
        <v>23400</v>
      </c>
      <c r="E145">
        <v>10</v>
      </c>
      <c r="F145" s="25">
        <f>IF(E145=1,C145,G144)</f>
        <v>46878</v>
      </c>
      <c r="G145" s="25">
        <f>IF(E145&lt;参数设置!$B$13,DATE(YEAR(EDATE(C145,E145+1)),MONTH(EDATE(C145,E145+1)),参数设置!$B$14),EDATE(C145,参数设置!$B$13))</f>
        <v>46909</v>
      </c>
      <c r="H145">
        <f>G145-F145</f>
        <v>31</v>
      </c>
      <c r="I145" s="21">
        <f>IF(E145=参数设置!$B$13,D145,0)</f>
        <v>0</v>
      </c>
      <c r="J145" s="21">
        <f>IF(M145=1,ROUND(D145*参数设置!$B$11*H145/参数设置!$B$12,参数设置!$B$15),0)</f>
        <v>66.5</v>
      </c>
      <c r="K145" s="21">
        <f>I145+J145</f>
        <v>66.5</v>
      </c>
      <c r="L145" s="25">
        <f>EDATE(C145,参数设置!$B$13)</f>
        <v>46944</v>
      </c>
      <c r="M145">
        <f>--(D145&gt;0)</f>
        <v>1</v>
      </c>
    </row>
    <row r="146" spans="1:13" ht="15" customHeight="1">
      <c r="A146">
        <v>12</v>
      </c>
      <c r="B146">
        <v>12</v>
      </c>
      <c r="C146" s="25">
        <f>INDEX(实际执行追踪!$A$7:$A$42,A146)+DAY(参数设置!$B$4)-1</f>
        <v>46578</v>
      </c>
      <c r="D146" s="21">
        <f>INDEX(实际执行追踪!$C$7:$C$42,A146)</f>
        <v>23400</v>
      </c>
      <c r="E146">
        <v>11</v>
      </c>
      <c r="F146" s="25">
        <f>IF(E146=1,C146,G145)</f>
        <v>46909</v>
      </c>
      <c r="G146" s="25">
        <f>IF(E146&lt;参数设置!$B$13,DATE(YEAR(EDATE(C146,E146+1)),MONTH(EDATE(C146,E146+1)),参数设置!$B$14),EDATE(C146,参数设置!$B$13))</f>
        <v>46939</v>
      </c>
      <c r="H146">
        <f>G146-F146</f>
        <v>30</v>
      </c>
      <c r="I146" s="21">
        <f>IF(E146=参数设置!$B$13,D146,0)</f>
        <v>0</v>
      </c>
      <c r="J146" s="21">
        <f>IF(M146=1,ROUND(D146*参数设置!$B$11*H146/参数设置!$B$12,参数设置!$B$15),0)</f>
        <v>64.349999999999994</v>
      </c>
      <c r="K146" s="21">
        <f>I146+J146</f>
        <v>64.349999999999994</v>
      </c>
      <c r="L146" s="25">
        <f>EDATE(C146,参数设置!$B$13)</f>
        <v>46944</v>
      </c>
      <c r="M146">
        <f>--(D146&gt;0)</f>
        <v>1</v>
      </c>
    </row>
    <row r="147" spans="1:13" ht="15" customHeight="1">
      <c r="A147">
        <v>12</v>
      </c>
      <c r="B147">
        <v>12</v>
      </c>
      <c r="C147" s="25">
        <f>INDEX(实际执行追踪!$A$7:$A$42,A147)+DAY(参数设置!$B$4)-1</f>
        <v>46578</v>
      </c>
      <c r="D147" s="21">
        <f>INDEX(实际执行追踪!$C$7:$C$42,A147)</f>
        <v>23400</v>
      </c>
      <c r="E147">
        <v>12</v>
      </c>
      <c r="F147" s="25">
        <f>IF(E147=1,C147,G146)</f>
        <v>46939</v>
      </c>
      <c r="G147" s="25">
        <f>IF(E147&lt;参数设置!$B$13,DATE(YEAR(EDATE(C147,E147+1)),MONTH(EDATE(C147,E147+1)),参数设置!$B$14),EDATE(C147,参数设置!$B$13))</f>
        <v>46944</v>
      </c>
      <c r="H147">
        <f>G147-F147</f>
        <v>5</v>
      </c>
      <c r="I147" s="21">
        <f>IF(E147=参数设置!$B$13,D147,0)</f>
        <v>23400</v>
      </c>
      <c r="J147" s="21">
        <f>IF(M147=1,ROUND(D147*参数设置!$B$11*H147/参数设置!$B$12,参数设置!$B$15),0)</f>
        <v>10.73</v>
      </c>
      <c r="K147" s="21">
        <f>I147+J147</f>
        <v>23410.73</v>
      </c>
      <c r="L147" s="25">
        <f>EDATE(C147,参数设置!$B$13)</f>
        <v>46944</v>
      </c>
      <c r="M147">
        <f>--(D147&gt;0)</f>
        <v>1</v>
      </c>
    </row>
    <row r="148" spans="1:13" ht="15" customHeight="1">
      <c r="A148">
        <v>13</v>
      </c>
      <c r="B148">
        <v>13</v>
      </c>
      <c r="C148" s="25">
        <f>INDEX(实际执行追踪!$A$7:$A$42,A148)+DAY(参数设置!$B$4)-1</f>
        <v>46609</v>
      </c>
      <c r="D148" s="21">
        <f>INDEX(实际执行追踪!$C$7:$C$42,A148)</f>
        <v>23400</v>
      </c>
      <c r="E148">
        <v>1</v>
      </c>
      <c r="F148" s="25">
        <f>IF(E148=1,C148,G147)</f>
        <v>46609</v>
      </c>
      <c r="G148" s="25">
        <f>IF(E148&lt;参数设置!$B$13,DATE(YEAR(EDATE(C148,E148+1)),MONTH(EDATE(C148,E148+1)),参数设置!$B$14),EDATE(C148,参数设置!$B$13))</f>
        <v>46665</v>
      </c>
      <c r="H148">
        <f>G148-F148</f>
        <v>56</v>
      </c>
      <c r="I148" s="21">
        <f>IF(E148=参数设置!$B$13,D148,0)</f>
        <v>0</v>
      </c>
      <c r="J148" s="21">
        <f>IF(M148=1,ROUND(D148*参数设置!$B$11*H148/参数设置!$B$12,参数设置!$B$15),0)</f>
        <v>120.12</v>
      </c>
      <c r="K148" s="21">
        <f>I148+J148</f>
        <v>120.12</v>
      </c>
      <c r="L148" s="25">
        <f>EDATE(C148,参数设置!$B$13)</f>
        <v>46975</v>
      </c>
      <c r="M148">
        <f>--(D148&gt;0)</f>
        <v>1</v>
      </c>
    </row>
    <row r="149" spans="1:13" ht="15" customHeight="1">
      <c r="A149">
        <v>13</v>
      </c>
      <c r="B149">
        <v>13</v>
      </c>
      <c r="C149" s="25">
        <f>INDEX(实际执行追踪!$A$7:$A$42,A149)+DAY(参数设置!$B$4)-1</f>
        <v>46609</v>
      </c>
      <c r="D149" s="21">
        <f>INDEX(实际执行追踪!$C$7:$C$42,A149)</f>
        <v>23400</v>
      </c>
      <c r="E149">
        <v>2</v>
      </c>
      <c r="F149" s="25">
        <f>IF(E149=1,C149,G148)</f>
        <v>46665</v>
      </c>
      <c r="G149" s="25">
        <f>IF(E149&lt;参数设置!$B$13,DATE(YEAR(EDATE(C149,E149+1)),MONTH(EDATE(C149,E149+1)),参数设置!$B$14),EDATE(C149,参数设置!$B$13))</f>
        <v>46696</v>
      </c>
      <c r="H149">
        <f>G149-F149</f>
        <v>31</v>
      </c>
      <c r="I149" s="21">
        <f>IF(E149=参数设置!$B$13,D149,0)</f>
        <v>0</v>
      </c>
      <c r="J149" s="21">
        <f>IF(M149=1,ROUND(D149*参数设置!$B$11*H149/参数设置!$B$12,参数设置!$B$15),0)</f>
        <v>66.5</v>
      </c>
      <c r="K149" s="21">
        <f>I149+J149</f>
        <v>66.5</v>
      </c>
      <c r="L149" s="25">
        <f>EDATE(C149,参数设置!$B$13)</f>
        <v>46975</v>
      </c>
      <c r="M149">
        <f>--(D149&gt;0)</f>
        <v>1</v>
      </c>
    </row>
    <row r="150" spans="1:13" ht="15" customHeight="1">
      <c r="A150">
        <v>13</v>
      </c>
      <c r="B150">
        <v>13</v>
      </c>
      <c r="C150" s="25">
        <f>INDEX(实际执行追踪!$A$7:$A$42,A150)+DAY(参数设置!$B$4)-1</f>
        <v>46609</v>
      </c>
      <c r="D150" s="21">
        <f>INDEX(实际执行追踪!$C$7:$C$42,A150)</f>
        <v>23400</v>
      </c>
      <c r="E150">
        <v>3</v>
      </c>
      <c r="F150" s="25">
        <f>IF(E150=1,C150,G149)</f>
        <v>46696</v>
      </c>
      <c r="G150" s="25">
        <f>IF(E150&lt;参数设置!$B$13,DATE(YEAR(EDATE(C150,E150+1)),MONTH(EDATE(C150,E150+1)),参数设置!$B$14),EDATE(C150,参数设置!$B$13))</f>
        <v>46726</v>
      </c>
      <c r="H150">
        <f>G150-F150</f>
        <v>30</v>
      </c>
      <c r="I150" s="21">
        <f>IF(E150=参数设置!$B$13,D150,0)</f>
        <v>0</v>
      </c>
      <c r="J150" s="21">
        <f>IF(M150=1,ROUND(D150*参数设置!$B$11*H150/参数设置!$B$12,参数设置!$B$15),0)</f>
        <v>64.349999999999994</v>
      </c>
      <c r="K150" s="21">
        <f>I150+J150</f>
        <v>64.349999999999994</v>
      </c>
      <c r="L150" s="25">
        <f>EDATE(C150,参数设置!$B$13)</f>
        <v>46975</v>
      </c>
      <c r="M150">
        <f>--(D150&gt;0)</f>
        <v>1</v>
      </c>
    </row>
    <row r="151" spans="1:13" ht="15" customHeight="1">
      <c r="A151">
        <v>13</v>
      </c>
      <c r="B151">
        <v>13</v>
      </c>
      <c r="C151" s="25">
        <f>INDEX(实际执行追踪!$A$7:$A$42,A151)+DAY(参数设置!$B$4)-1</f>
        <v>46609</v>
      </c>
      <c r="D151" s="21">
        <f>INDEX(实际执行追踪!$C$7:$C$42,A151)</f>
        <v>23400</v>
      </c>
      <c r="E151">
        <v>4</v>
      </c>
      <c r="F151" s="25">
        <f>IF(E151=1,C151,G150)</f>
        <v>46726</v>
      </c>
      <c r="G151" s="25">
        <f>IF(E151&lt;参数设置!$B$13,DATE(YEAR(EDATE(C151,E151+1)),MONTH(EDATE(C151,E151+1)),参数设置!$B$14),EDATE(C151,参数设置!$B$13))</f>
        <v>46757</v>
      </c>
      <c r="H151">
        <f>G151-F151</f>
        <v>31</v>
      </c>
      <c r="I151" s="21">
        <f>IF(E151=参数设置!$B$13,D151,0)</f>
        <v>0</v>
      </c>
      <c r="J151" s="21">
        <f>IF(M151=1,ROUND(D151*参数设置!$B$11*H151/参数设置!$B$12,参数设置!$B$15),0)</f>
        <v>66.5</v>
      </c>
      <c r="K151" s="21">
        <f>I151+J151</f>
        <v>66.5</v>
      </c>
      <c r="L151" s="25">
        <f>EDATE(C151,参数设置!$B$13)</f>
        <v>46975</v>
      </c>
      <c r="M151">
        <f>--(D151&gt;0)</f>
        <v>1</v>
      </c>
    </row>
    <row r="152" spans="1:13" ht="15" customHeight="1">
      <c r="A152">
        <v>13</v>
      </c>
      <c r="B152">
        <v>13</v>
      </c>
      <c r="C152" s="25">
        <f>INDEX(实际执行追踪!$A$7:$A$42,A152)+DAY(参数设置!$B$4)-1</f>
        <v>46609</v>
      </c>
      <c r="D152" s="21">
        <f>INDEX(实际执行追踪!$C$7:$C$42,A152)</f>
        <v>23400</v>
      </c>
      <c r="E152">
        <v>5</v>
      </c>
      <c r="F152" s="25">
        <f>IF(E152=1,C152,G151)</f>
        <v>46757</v>
      </c>
      <c r="G152" s="25">
        <f>IF(E152&lt;参数设置!$B$13,DATE(YEAR(EDATE(C152,E152+1)),MONTH(EDATE(C152,E152+1)),参数设置!$B$14),EDATE(C152,参数设置!$B$13))</f>
        <v>46788</v>
      </c>
      <c r="H152">
        <f>G152-F152</f>
        <v>31</v>
      </c>
      <c r="I152" s="21">
        <f>IF(E152=参数设置!$B$13,D152,0)</f>
        <v>0</v>
      </c>
      <c r="J152" s="21">
        <f>IF(M152=1,ROUND(D152*参数设置!$B$11*H152/参数设置!$B$12,参数设置!$B$15),0)</f>
        <v>66.5</v>
      </c>
      <c r="K152" s="21">
        <f>I152+J152</f>
        <v>66.5</v>
      </c>
      <c r="L152" s="25">
        <f>EDATE(C152,参数设置!$B$13)</f>
        <v>46975</v>
      </c>
      <c r="M152">
        <f>--(D152&gt;0)</f>
        <v>1</v>
      </c>
    </row>
    <row r="153" spans="1:13" ht="15" customHeight="1">
      <c r="A153">
        <v>13</v>
      </c>
      <c r="B153">
        <v>13</v>
      </c>
      <c r="C153" s="25">
        <f>INDEX(实际执行追踪!$A$7:$A$42,A153)+DAY(参数设置!$B$4)-1</f>
        <v>46609</v>
      </c>
      <c r="D153" s="21">
        <f>INDEX(实际执行追踪!$C$7:$C$42,A153)</f>
        <v>23400</v>
      </c>
      <c r="E153">
        <v>6</v>
      </c>
      <c r="F153" s="25">
        <f>IF(E153=1,C153,G152)</f>
        <v>46788</v>
      </c>
      <c r="G153" s="25">
        <f>IF(E153&lt;参数设置!$B$13,DATE(YEAR(EDATE(C153,E153+1)),MONTH(EDATE(C153,E153+1)),参数设置!$B$14),EDATE(C153,参数设置!$B$13))</f>
        <v>46817</v>
      </c>
      <c r="H153">
        <f>G153-F153</f>
        <v>29</v>
      </c>
      <c r="I153" s="21">
        <f>IF(E153=参数设置!$B$13,D153,0)</f>
        <v>0</v>
      </c>
      <c r="J153" s="21">
        <f>IF(M153=1,ROUND(D153*参数设置!$B$11*H153/参数设置!$B$12,参数设置!$B$15),0)</f>
        <v>62.21</v>
      </c>
      <c r="K153" s="21">
        <f>I153+J153</f>
        <v>62.21</v>
      </c>
      <c r="L153" s="25">
        <f>EDATE(C153,参数设置!$B$13)</f>
        <v>46975</v>
      </c>
      <c r="M153">
        <f>--(D153&gt;0)</f>
        <v>1</v>
      </c>
    </row>
    <row r="154" spans="1:13" ht="15" customHeight="1">
      <c r="A154">
        <v>13</v>
      </c>
      <c r="B154">
        <v>13</v>
      </c>
      <c r="C154" s="25">
        <f>INDEX(实际执行追踪!$A$7:$A$42,A154)+DAY(参数设置!$B$4)-1</f>
        <v>46609</v>
      </c>
      <c r="D154" s="21">
        <f>INDEX(实际执行追踪!$C$7:$C$42,A154)</f>
        <v>23400</v>
      </c>
      <c r="E154">
        <v>7</v>
      </c>
      <c r="F154" s="25">
        <f>IF(E154=1,C154,G153)</f>
        <v>46817</v>
      </c>
      <c r="G154" s="25">
        <f>IF(E154&lt;参数设置!$B$13,DATE(YEAR(EDATE(C154,E154+1)),MONTH(EDATE(C154,E154+1)),参数设置!$B$14),EDATE(C154,参数设置!$B$13))</f>
        <v>46848</v>
      </c>
      <c r="H154">
        <f>G154-F154</f>
        <v>31</v>
      </c>
      <c r="I154" s="21">
        <f>IF(E154=参数设置!$B$13,D154,0)</f>
        <v>0</v>
      </c>
      <c r="J154" s="21">
        <f>IF(M154=1,ROUND(D154*参数设置!$B$11*H154/参数设置!$B$12,参数设置!$B$15),0)</f>
        <v>66.5</v>
      </c>
      <c r="K154" s="21">
        <f>I154+J154</f>
        <v>66.5</v>
      </c>
      <c r="L154" s="25">
        <f>EDATE(C154,参数设置!$B$13)</f>
        <v>46975</v>
      </c>
      <c r="M154">
        <f>--(D154&gt;0)</f>
        <v>1</v>
      </c>
    </row>
    <row r="155" spans="1:13" ht="15" customHeight="1">
      <c r="A155">
        <v>13</v>
      </c>
      <c r="B155">
        <v>13</v>
      </c>
      <c r="C155" s="25">
        <f>INDEX(实际执行追踪!$A$7:$A$42,A155)+DAY(参数设置!$B$4)-1</f>
        <v>46609</v>
      </c>
      <c r="D155" s="21">
        <f>INDEX(实际执行追踪!$C$7:$C$42,A155)</f>
        <v>23400</v>
      </c>
      <c r="E155">
        <v>8</v>
      </c>
      <c r="F155" s="25">
        <f>IF(E155=1,C155,G154)</f>
        <v>46848</v>
      </c>
      <c r="G155" s="25">
        <f>IF(E155&lt;参数设置!$B$13,DATE(YEAR(EDATE(C155,E155+1)),MONTH(EDATE(C155,E155+1)),参数设置!$B$14),EDATE(C155,参数设置!$B$13))</f>
        <v>46878</v>
      </c>
      <c r="H155">
        <f>G155-F155</f>
        <v>30</v>
      </c>
      <c r="I155" s="21">
        <f>IF(E155=参数设置!$B$13,D155,0)</f>
        <v>0</v>
      </c>
      <c r="J155" s="21">
        <f>IF(M155=1,ROUND(D155*参数设置!$B$11*H155/参数设置!$B$12,参数设置!$B$15),0)</f>
        <v>64.349999999999994</v>
      </c>
      <c r="K155" s="21">
        <f>I155+J155</f>
        <v>64.349999999999994</v>
      </c>
      <c r="L155" s="25">
        <f>EDATE(C155,参数设置!$B$13)</f>
        <v>46975</v>
      </c>
      <c r="M155">
        <f>--(D155&gt;0)</f>
        <v>1</v>
      </c>
    </row>
    <row r="156" spans="1:13" ht="15" customHeight="1">
      <c r="A156">
        <v>13</v>
      </c>
      <c r="B156">
        <v>13</v>
      </c>
      <c r="C156" s="25">
        <f>INDEX(实际执行追踪!$A$7:$A$42,A156)+DAY(参数设置!$B$4)-1</f>
        <v>46609</v>
      </c>
      <c r="D156" s="21">
        <f>INDEX(实际执行追踪!$C$7:$C$42,A156)</f>
        <v>23400</v>
      </c>
      <c r="E156">
        <v>9</v>
      </c>
      <c r="F156" s="25">
        <f>IF(E156=1,C156,G155)</f>
        <v>46878</v>
      </c>
      <c r="G156" s="25">
        <f>IF(E156&lt;参数设置!$B$13,DATE(YEAR(EDATE(C156,E156+1)),MONTH(EDATE(C156,E156+1)),参数设置!$B$14),EDATE(C156,参数设置!$B$13))</f>
        <v>46909</v>
      </c>
      <c r="H156">
        <f>G156-F156</f>
        <v>31</v>
      </c>
      <c r="I156" s="21">
        <f>IF(E156=参数设置!$B$13,D156,0)</f>
        <v>0</v>
      </c>
      <c r="J156" s="21">
        <f>IF(M156=1,ROUND(D156*参数设置!$B$11*H156/参数设置!$B$12,参数设置!$B$15),0)</f>
        <v>66.5</v>
      </c>
      <c r="K156" s="21">
        <f>I156+J156</f>
        <v>66.5</v>
      </c>
      <c r="L156" s="25">
        <f>EDATE(C156,参数设置!$B$13)</f>
        <v>46975</v>
      </c>
      <c r="M156">
        <f>--(D156&gt;0)</f>
        <v>1</v>
      </c>
    </row>
    <row r="157" spans="1:13" ht="15" customHeight="1">
      <c r="A157">
        <v>13</v>
      </c>
      <c r="B157">
        <v>13</v>
      </c>
      <c r="C157" s="25">
        <f>INDEX(实际执行追踪!$A$7:$A$42,A157)+DAY(参数设置!$B$4)-1</f>
        <v>46609</v>
      </c>
      <c r="D157" s="21">
        <f>INDEX(实际执行追踪!$C$7:$C$42,A157)</f>
        <v>23400</v>
      </c>
      <c r="E157">
        <v>10</v>
      </c>
      <c r="F157" s="25">
        <f>IF(E157=1,C157,G156)</f>
        <v>46909</v>
      </c>
      <c r="G157" s="25">
        <f>IF(E157&lt;参数设置!$B$13,DATE(YEAR(EDATE(C157,E157+1)),MONTH(EDATE(C157,E157+1)),参数设置!$B$14),EDATE(C157,参数设置!$B$13))</f>
        <v>46939</v>
      </c>
      <c r="H157">
        <f>G157-F157</f>
        <v>30</v>
      </c>
      <c r="I157" s="21">
        <f>IF(E157=参数设置!$B$13,D157,0)</f>
        <v>0</v>
      </c>
      <c r="J157" s="21">
        <f>IF(M157=1,ROUND(D157*参数设置!$B$11*H157/参数设置!$B$12,参数设置!$B$15),0)</f>
        <v>64.349999999999994</v>
      </c>
      <c r="K157" s="21">
        <f>I157+J157</f>
        <v>64.349999999999994</v>
      </c>
      <c r="L157" s="25">
        <f>EDATE(C157,参数设置!$B$13)</f>
        <v>46975</v>
      </c>
      <c r="M157">
        <f>--(D157&gt;0)</f>
        <v>1</v>
      </c>
    </row>
    <row r="158" spans="1:13" ht="15" customHeight="1">
      <c r="A158">
        <v>13</v>
      </c>
      <c r="B158">
        <v>13</v>
      </c>
      <c r="C158" s="25">
        <f>INDEX(实际执行追踪!$A$7:$A$42,A158)+DAY(参数设置!$B$4)-1</f>
        <v>46609</v>
      </c>
      <c r="D158" s="21">
        <f>INDEX(实际执行追踪!$C$7:$C$42,A158)</f>
        <v>23400</v>
      </c>
      <c r="E158">
        <v>11</v>
      </c>
      <c r="F158" s="25">
        <f>IF(E158=1,C158,G157)</f>
        <v>46939</v>
      </c>
      <c r="G158" s="25">
        <f>IF(E158&lt;参数设置!$B$13,DATE(YEAR(EDATE(C158,E158+1)),MONTH(EDATE(C158,E158+1)),参数设置!$B$14),EDATE(C158,参数设置!$B$13))</f>
        <v>46970</v>
      </c>
      <c r="H158">
        <f>G158-F158</f>
        <v>31</v>
      </c>
      <c r="I158" s="21">
        <f>IF(E158=参数设置!$B$13,D158,0)</f>
        <v>0</v>
      </c>
      <c r="J158" s="21">
        <f>IF(M158=1,ROUND(D158*参数设置!$B$11*H158/参数设置!$B$12,参数设置!$B$15),0)</f>
        <v>66.5</v>
      </c>
      <c r="K158" s="21">
        <f>I158+J158</f>
        <v>66.5</v>
      </c>
      <c r="L158" s="25">
        <f>EDATE(C158,参数设置!$B$13)</f>
        <v>46975</v>
      </c>
      <c r="M158">
        <f>--(D158&gt;0)</f>
        <v>1</v>
      </c>
    </row>
    <row r="159" spans="1:13" ht="15" customHeight="1">
      <c r="A159">
        <v>13</v>
      </c>
      <c r="B159">
        <v>13</v>
      </c>
      <c r="C159" s="25">
        <f>INDEX(实际执行追踪!$A$7:$A$42,A159)+DAY(参数设置!$B$4)-1</f>
        <v>46609</v>
      </c>
      <c r="D159" s="21">
        <f>INDEX(实际执行追踪!$C$7:$C$42,A159)</f>
        <v>23400</v>
      </c>
      <c r="E159">
        <v>12</v>
      </c>
      <c r="F159" s="25">
        <f>IF(E159=1,C159,G158)</f>
        <v>46970</v>
      </c>
      <c r="G159" s="25">
        <f>IF(E159&lt;参数设置!$B$13,DATE(YEAR(EDATE(C159,E159+1)),MONTH(EDATE(C159,E159+1)),参数设置!$B$14),EDATE(C159,参数设置!$B$13))</f>
        <v>46975</v>
      </c>
      <c r="H159">
        <f>G159-F159</f>
        <v>5</v>
      </c>
      <c r="I159" s="21">
        <f>IF(E159=参数设置!$B$13,D159,0)</f>
        <v>23400</v>
      </c>
      <c r="J159" s="21">
        <f>IF(M159=1,ROUND(D159*参数设置!$B$11*H159/参数设置!$B$12,参数设置!$B$15),0)</f>
        <v>10.73</v>
      </c>
      <c r="K159" s="21">
        <f>I159+J159</f>
        <v>23410.73</v>
      </c>
      <c r="L159" s="25">
        <f>EDATE(C159,参数设置!$B$13)</f>
        <v>46975</v>
      </c>
      <c r="M159">
        <f>--(D159&gt;0)</f>
        <v>1</v>
      </c>
    </row>
    <row r="160" spans="1:13" ht="15" customHeight="1">
      <c r="A160">
        <v>14</v>
      </c>
      <c r="B160">
        <v>14</v>
      </c>
      <c r="C160" s="25">
        <f>INDEX(实际执行追踪!$A$7:$A$42,A160)+DAY(参数设置!$B$4)-1</f>
        <v>46640</v>
      </c>
      <c r="D160" s="21">
        <f>INDEX(实际执行追踪!$C$7:$C$42,A160)</f>
        <v>23400</v>
      </c>
      <c r="E160">
        <v>1</v>
      </c>
      <c r="F160" s="25">
        <f>IF(E160=1,C160,G159)</f>
        <v>46640</v>
      </c>
      <c r="G160" s="25">
        <f>IF(E160&lt;参数设置!$B$13,DATE(YEAR(EDATE(C160,E160+1)),MONTH(EDATE(C160,E160+1)),参数设置!$B$14),EDATE(C160,参数设置!$B$13))</f>
        <v>46696</v>
      </c>
      <c r="H160">
        <f>G160-F160</f>
        <v>56</v>
      </c>
      <c r="I160" s="21">
        <f>IF(E160=参数设置!$B$13,D160,0)</f>
        <v>0</v>
      </c>
      <c r="J160" s="21">
        <f>IF(M160=1,ROUND(D160*参数设置!$B$11*H160/参数设置!$B$12,参数设置!$B$15),0)</f>
        <v>120.12</v>
      </c>
      <c r="K160" s="21">
        <f>I160+J160</f>
        <v>120.12</v>
      </c>
      <c r="L160" s="25">
        <f>EDATE(C160,参数设置!$B$13)</f>
        <v>47006</v>
      </c>
      <c r="M160">
        <f>--(D160&gt;0)</f>
        <v>1</v>
      </c>
    </row>
    <row r="161" spans="1:13" ht="15" customHeight="1">
      <c r="A161">
        <v>14</v>
      </c>
      <c r="B161">
        <v>14</v>
      </c>
      <c r="C161" s="25">
        <f>INDEX(实际执行追踪!$A$7:$A$42,A161)+DAY(参数设置!$B$4)-1</f>
        <v>46640</v>
      </c>
      <c r="D161" s="21">
        <f>INDEX(实际执行追踪!$C$7:$C$42,A161)</f>
        <v>23400</v>
      </c>
      <c r="E161">
        <v>2</v>
      </c>
      <c r="F161" s="25">
        <f>IF(E161=1,C161,G160)</f>
        <v>46696</v>
      </c>
      <c r="G161" s="25">
        <f>IF(E161&lt;参数设置!$B$13,DATE(YEAR(EDATE(C161,E161+1)),MONTH(EDATE(C161,E161+1)),参数设置!$B$14),EDATE(C161,参数设置!$B$13))</f>
        <v>46726</v>
      </c>
      <c r="H161">
        <f>G161-F161</f>
        <v>30</v>
      </c>
      <c r="I161" s="21">
        <f>IF(E161=参数设置!$B$13,D161,0)</f>
        <v>0</v>
      </c>
      <c r="J161" s="21">
        <f>IF(M161=1,ROUND(D161*参数设置!$B$11*H161/参数设置!$B$12,参数设置!$B$15),0)</f>
        <v>64.349999999999994</v>
      </c>
      <c r="K161" s="21">
        <f>I161+J161</f>
        <v>64.349999999999994</v>
      </c>
      <c r="L161" s="25">
        <f>EDATE(C161,参数设置!$B$13)</f>
        <v>47006</v>
      </c>
      <c r="M161">
        <f>--(D161&gt;0)</f>
        <v>1</v>
      </c>
    </row>
    <row r="162" spans="1:13" ht="15" customHeight="1">
      <c r="A162">
        <v>14</v>
      </c>
      <c r="B162">
        <v>14</v>
      </c>
      <c r="C162" s="25">
        <f>INDEX(实际执行追踪!$A$7:$A$42,A162)+DAY(参数设置!$B$4)-1</f>
        <v>46640</v>
      </c>
      <c r="D162" s="21">
        <f>INDEX(实际执行追踪!$C$7:$C$42,A162)</f>
        <v>23400</v>
      </c>
      <c r="E162">
        <v>3</v>
      </c>
      <c r="F162" s="25">
        <f>IF(E162=1,C162,G161)</f>
        <v>46726</v>
      </c>
      <c r="G162" s="25">
        <f>IF(E162&lt;参数设置!$B$13,DATE(YEAR(EDATE(C162,E162+1)),MONTH(EDATE(C162,E162+1)),参数设置!$B$14),EDATE(C162,参数设置!$B$13))</f>
        <v>46757</v>
      </c>
      <c r="H162">
        <f>G162-F162</f>
        <v>31</v>
      </c>
      <c r="I162" s="21">
        <f>IF(E162=参数设置!$B$13,D162,0)</f>
        <v>0</v>
      </c>
      <c r="J162" s="21">
        <f>IF(M162=1,ROUND(D162*参数设置!$B$11*H162/参数设置!$B$12,参数设置!$B$15),0)</f>
        <v>66.5</v>
      </c>
      <c r="K162" s="21">
        <f>I162+J162</f>
        <v>66.5</v>
      </c>
      <c r="L162" s="25">
        <f>EDATE(C162,参数设置!$B$13)</f>
        <v>47006</v>
      </c>
      <c r="M162">
        <f>--(D162&gt;0)</f>
        <v>1</v>
      </c>
    </row>
    <row r="163" spans="1:13" ht="15" customHeight="1">
      <c r="A163">
        <v>14</v>
      </c>
      <c r="B163">
        <v>14</v>
      </c>
      <c r="C163" s="25">
        <f>INDEX(实际执行追踪!$A$7:$A$42,A163)+DAY(参数设置!$B$4)-1</f>
        <v>46640</v>
      </c>
      <c r="D163" s="21">
        <f>INDEX(实际执行追踪!$C$7:$C$42,A163)</f>
        <v>23400</v>
      </c>
      <c r="E163">
        <v>4</v>
      </c>
      <c r="F163" s="25">
        <f>IF(E163=1,C163,G162)</f>
        <v>46757</v>
      </c>
      <c r="G163" s="25">
        <f>IF(E163&lt;参数设置!$B$13,DATE(YEAR(EDATE(C163,E163+1)),MONTH(EDATE(C163,E163+1)),参数设置!$B$14),EDATE(C163,参数设置!$B$13))</f>
        <v>46788</v>
      </c>
      <c r="H163">
        <f>G163-F163</f>
        <v>31</v>
      </c>
      <c r="I163" s="21">
        <f>IF(E163=参数设置!$B$13,D163,0)</f>
        <v>0</v>
      </c>
      <c r="J163" s="21">
        <f>IF(M163=1,ROUND(D163*参数设置!$B$11*H163/参数设置!$B$12,参数设置!$B$15),0)</f>
        <v>66.5</v>
      </c>
      <c r="K163" s="21">
        <f>I163+J163</f>
        <v>66.5</v>
      </c>
      <c r="L163" s="25">
        <f>EDATE(C163,参数设置!$B$13)</f>
        <v>47006</v>
      </c>
      <c r="M163">
        <f>--(D163&gt;0)</f>
        <v>1</v>
      </c>
    </row>
    <row r="164" spans="1:13" ht="15" customHeight="1">
      <c r="A164">
        <v>14</v>
      </c>
      <c r="B164">
        <v>14</v>
      </c>
      <c r="C164" s="25">
        <f>INDEX(实际执行追踪!$A$7:$A$42,A164)+DAY(参数设置!$B$4)-1</f>
        <v>46640</v>
      </c>
      <c r="D164" s="21">
        <f>INDEX(实际执行追踪!$C$7:$C$42,A164)</f>
        <v>23400</v>
      </c>
      <c r="E164">
        <v>5</v>
      </c>
      <c r="F164" s="25">
        <f>IF(E164=1,C164,G163)</f>
        <v>46788</v>
      </c>
      <c r="G164" s="25">
        <f>IF(E164&lt;参数设置!$B$13,DATE(YEAR(EDATE(C164,E164+1)),MONTH(EDATE(C164,E164+1)),参数设置!$B$14),EDATE(C164,参数设置!$B$13))</f>
        <v>46817</v>
      </c>
      <c r="H164">
        <f>G164-F164</f>
        <v>29</v>
      </c>
      <c r="I164" s="21">
        <f>IF(E164=参数设置!$B$13,D164,0)</f>
        <v>0</v>
      </c>
      <c r="J164" s="21">
        <f>IF(M164=1,ROUND(D164*参数设置!$B$11*H164/参数设置!$B$12,参数设置!$B$15),0)</f>
        <v>62.21</v>
      </c>
      <c r="K164" s="21">
        <f>I164+J164</f>
        <v>62.21</v>
      </c>
      <c r="L164" s="25">
        <f>EDATE(C164,参数设置!$B$13)</f>
        <v>47006</v>
      </c>
      <c r="M164">
        <f>--(D164&gt;0)</f>
        <v>1</v>
      </c>
    </row>
    <row r="165" spans="1:13" ht="15" customHeight="1">
      <c r="A165">
        <v>14</v>
      </c>
      <c r="B165">
        <v>14</v>
      </c>
      <c r="C165" s="25">
        <f>INDEX(实际执行追踪!$A$7:$A$42,A165)+DAY(参数设置!$B$4)-1</f>
        <v>46640</v>
      </c>
      <c r="D165" s="21">
        <f>INDEX(实际执行追踪!$C$7:$C$42,A165)</f>
        <v>23400</v>
      </c>
      <c r="E165">
        <v>6</v>
      </c>
      <c r="F165" s="25">
        <f>IF(E165=1,C165,G164)</f>
        <v>46817</v>
      </c>
      <c r="G165" s="25">
        <f>IF(E165&lt;参数设置!$B$13,DATE(YEAR(EDATE(C165,E165+1)),MONTH(EDATE(C165,E165+1)),参数设置!$B$14),EDATE(C165,参数设置!$B$13))</f>
        <v>46848</v>
      </c>
      <c r="H165">
        <f>G165-F165</f>
        <v>31</v>
      </c>
      <c r="I165" s="21">
        <f>IF(E165=参数设置!$B$13,D165,0)</f>
        <v>0</v>
      </c>
      <c r="J165" s="21">
        <f>IF(M165=1,ROUND(D165*参数设置!$B$11*H165/参数设置!$B$12,参数设置!$B$15),0)</f>
        <v>66.5</v>
      </c>
      <c r="K165" s="21">
        <f>I165+J165</f>
        <v>66.5</v>
      </c>
      <c r="L165" s="25">
        <f>EDATE(C165,参数设置!$B$13)</f>
        <v>47006</v>
      </c>
      <c r="M165">
        <f>--(D165&gt;0)</f>
        <v>1</v>
      </c>
    </row>
    <row r="166" spans="1:13" ht="15" customHeight="1">
      <c r="A166">
        <v>14</v>
      </c>
      <c r="B166">
        <v>14</v>
      </c>
      <c r="C166" s="25">
        <f>INDEX(实际执行追踪!$A$7:$A$42,A166)+DAY(参数设置!$B$4)-1</f>
        <v>46640</v>
      </c>
      <c r="D166" s="21">
        <f>INDEX(实际执行追踪!$C$7:$C$42,A166)</f>
        <v>23400</v>
      </c>
      <c r="E166">
        <v>7</v>
      </c>
      <c r="F166" s="25">
        <f>IF(E166=1,C166,G165)</f>
        <v>46848</v>
      </c>
      <c r="G166" s="25">
        <f>IF(E166&lt;参数设置!$B$13,DATE(YEAR(EDATE(C166,E166+1)),MONTH(EDATE(C166,E166+1)),参数设置!$B$14),EDATE(C166,参数设置!$B$13))</f>
        <v>46878</v>
      </c>
      <c r="H166">
        <f>G166-F166</f>
        <v>30</v>
      </c>
      <c r="I166" s="21">
        <f>IF(E166=参数设置!$B$13,D166,0)</f>
        <v>0</v>
      </c>
      <c r="J166" s="21">
        <f>IF(M166=1,ROUND(D166*参数设置!$B$11*H166/参数设置!$B$12,参数设置!$B$15),0)</f>
        <v>64.349999999999994</v>
      </c>
      <c r="K166" s="21">
        <f>I166+J166</f>
        <v>64.349999999999994</v>
      </c>
      <c r="L166" s="25">
        <f>EDATE(C166,参数设置!$B$13)</f>
        <v>47006</v>
      </c>
      <c r="M166">
        <f>--(D166&gt;0)</f>
        <v>1</v>
      </c>
    </row>
    <row r="167" spans="1:13" ht="15" customHeight="1">
      <c r="A167">
        <v>14</v>
      </c>
      <c r="B167">
        <v>14</v>
      </c>
      <c r="C167" s="25">
        <f>INDEX(实际执行追踪!$A$7:$A$42,A167)+DAY(参数设置!$B$4)-1</f>
        <v>46640</v>
      </c>
      <c r="D167" s="21">
        <f>INDEX(实际执行追踪!$C$7:$C$42,A167)</f>
        <v>23400</v>
      </c>
      <c r="E167">
        <v>8</v>
      </c>
      <c r="F167" s="25">
        <f>IF(E167=1,C167,G166)</f>
        <v>46878</v>
      </c>
      <c r="G167" s="25">
        <f>IF(E167&lt;参数设置!$B$13,DATE(YEAR(EDATE(C167,E167+1)),MONTH(EDATE(C167,E167+1)),参数设置!$B$14),EDATE(C167,参数设置!$B$13))</f>
        <v>46909</v>
      </c>
      <c r="H167">
        <f>G167-F167</f>
        <v>31</v>
      </c>
      <c r="I167" s="21">
        <f>IF(E167=参数设置!$B$13,D167,0)</f>
        <v>0</v>
      </c>
      <c r="J167" s="21">
        <f>IF(M167=1,ROUND(D167*参数设置!$B$11*H167/参数设置!$B$12,参数设置!$B$15),0)</f>
        <v>66.5</v>
      </c>
      <c r="K167" s="21">
        <f>I167+J167</f>
        <v>66.5</v>
      </c>
      <c r="L167" s="25">
        <f>EDATE(C167,参数设置!$B$13)</f>
        <v>47006</v>
      </c>
      <c r="M167">
        <f>--(D167&gt;0)</f>
        <v>1</v>
      </c>
    </row>
    <row r="168" spans="1:13" ht="15" customHeight="1">
      <c r="A168">
        <v>14</v>
      </c>
      <c r="B168">
        <v>14</v>
      </c>
      <c r="C168" s="25">
        <f>INDEX(实际执行追踪!$A$7:$A$42,A168)+DAY(参数设置!$B$4)-1</f>
        <v>46640</v>
      </c>
      <c r="D168" s="21">
        <f>INDEX(实际执行追踪!$C$7:$C$42,A168)</f>
        <v>23400</v>
      </c>
      <c r="E168">
        <v>9</v>
      </c>
      <c r="F168" s="25">
        <f>IF(E168=1,C168,G167)</f>
        <v>46909</v>
      </c>
      <c r="G168" s="25">
        <f>IF(E168&lt;参数设置!$B$13,DATE(YEAR(EDATE(C168,E168+1)),MONTH(EDATE(C168,E168+1)),参数设置!$B$14),EDATE(C168,参数设置!$B$13))</f>
        <v>46939</v>
      </c>
      <c r="H168">
        <f>G168-F168</f>
        <v>30</v>
      </c>
      <c r="I168" s="21">
        <f>IF(E168=参数设置!$B$13,D168,0)</f>
        <v>0</v>
      </c>
      <c r="J168" s="21">
        <f>IF(M168=1,ROUND(D168*参数设置!$B$11*H168/参数设置!$B$12,参数设置!$B$15),0)</f>
        <v>64.349999999999994</v>
      </c>
      <c r="K168" s="21">
        <f>I168+J168</f>
        <v>64.349999999999994</v>
      </c>
      <c r="L168" s="25">
        <f>EDATE(C168,参数设置!$B$13)</f>
        <v>47006</v>
      </c>
      <c r="M168">
        <f>--(D168&gt;0)</f>
        <v>1</v>
      </c>
    </row>
    <row r="169" spans="1:13" ht="15" customHeight="1">
      <c r="A169">
        <v>14</v>
      </c>
      <c r="B169">
        <v>14</v>
      </c>
      <c r="C169" s="25">
        <f>INDEX(实际执行追踪!$A$7:$A$42,A169)+DAY(参数设置!$B$4)-1</f>
        <v>46640</v>
      </c>
      <c r="D169" s="21">
        <f>INDEX(实际执行追踪!$C$7:$C$42,A169)</f>
        <v>23400</v>
      </c>
      <c r="E169">
        <v>10</v>
      </c>
      <c r="F169" s="25">
        <f>IF(E169=1,C169,G168)</f>
        <v>46939</v>
      </c>
      <c r="G169" s="25">
        <f>IF(E169&lt;参数设置!$B$13,DATE(YEAR(EDATE(C169,E169+1)),MONTH(EDATE(C169,E169+1)),参数设置!$B$14),EDATE(C169,参数设置!$B$13))</f>
        <v>46970</v>
      </c>
      <c r="H169">
        <f>G169-F169</f>
        <v>31</v>
      </c>
      <c r="I169" s="21">
        <f>IF(E169=参数设置!$B$13,D169,0)</f>
        <v>0</v>
      </c>
      <c r="J169" s="21">
        <f>IF(M169=1,ROUND(D169*参数设置!$B$11*H169/参数设置!$B$12,参数设置!$B$15),0)</f>
        <v>66.5</v>
      </c>
      <c r="K169" s="21">
        <f>I169+J169</f>
        <v>66.5</v>
      </c>
      <c r="L169" s="25">
        <f>EDATE(C169,参数设置!$B$13)</f>
        <v>47006</v>
      </c>
      <c r="M169">
        <f>--(D169&gt;0)</f>
        <v>1</v>
      </c>
    </row>
    <row r="170" spans="1:13" ht="15" customHeight="1">
      <c r="A170">
        <v>14</v>
      </c>
      <c r="B170">
        <v>14</v>
      </c>
      <c r="C170" s="25">
        <f>INDEX(实际执行追踪!$A$7:$A$42,A170)+DAY(参数设置!$B$4)-1</f>
        <v>46640</v>
      </c>
      <c r="D170" s="21">
        <f>INDEX(实际执行追踪!$C$7:$C$42,A170)</f>
        <v>23400</v>
      </c>
      <c r="E170">
        <v>11</v>
      </c>
      <c r="F170" s="25">
        <f>IF(E170=1,C170,G169)</f>
        <v>46970</v>
      </c>
      <c r="G170" s="25">
        <f>IF(E170&lt;参数设置!$B$13,DATE(YEAR(EDATE(C170,E170+1)),MONTH(EDATE(C170,E170+1)),参数设置!$B$14),EDATE(C170,参数设置!$B$13))</f>
        <v>47001</v>
      </c>
      <c r="H170">
        <f>G170-F170</f>
        <v>31</v>
      </c>
      <c r="I170" s="21">
        <f>IF(E170=参数设置!$B$13,D170,0)</f>
        <v>0</v>
      </c>
      <c r="J170" s="21">
        <f>IF(M170=1,ROUND(D170*参数设置!$B$11*H170/参数设置!$B$12,参数设置!$B$15),0)</f>
        <v>66.5</v>
      </c>
      <c r="K170" s="21">
        <f>I170+J170</f>
        <v>66.5</v>
      </c>
      <c r="L170" s="25">
        <f>EDATE(C170,参数设置!$B$13)</f>
        <v>47006</v>
      </c>
      <c r="M170">
        <f>--(D170&gt;0)</f>
        <v>1</v>
      </c>
    </row>
    <row r="171" spans="1:13" ht="15" customHeight="1">
      <c r="A171">
        <v>14</v>
      </c>
      <c r="B171">
        <v>14</v>
      </c>
      <c r="C171" s="25">
        <f>INDEX(实际执行追踪!$A$7:$A$42,A171)+DAY(参数设置!$B$4)-1</f>
        <v>46640</v>
      </c>
      <c r="D171" s="21">
        <f>INDEX(实际执行追踪!$C$7:$C$42,A171)</f>
        <v>23400</v>
      </c>
      <c r="E171">
        <v>12</v>
      </c>
      <c r="F171" s="25">
        <f>IF(E171=1,C171,G170)</f>
        <v>47001</v>
      </c>
      <c r="G171" s="25">
        <f>IF(E171&lt;参数设置!$B$13,DATE(YEAR(EDATE(C171,E171+1)),MONTH(EDATE(C171,E171+1)),参数设置!$B$14),EDATE(C171,参数设置!$B$13))</f>
        <v>47006</v>
      </c>
      <c r="H171">
        <f>G171-F171</f>
        <v>5</v>
      </c>
      <c r="I171" s="21">
        <f>IF(E171=参数设置!$B$13,D171,0)</f>
        <v>23400</v>
      </c>
      <c r="J171" s="21">
        <f>IF(M171=1,ROUND(D171*参数设置!$B$11*H171/参数设置!$B$12,参数设置!$B$15),0)</f>
        <v>10.73</v>
      </c>
      <c r="K171" s="21">
        <f>I171+J171</f>
        <v>23410.73</v>
      </c>
      <c r="L171" s="25">
        <f>EDATE(C171,参数设置!$B$13)</f>
        <v>47006</v>
      </c>
      <c r="M171">
        <f>--(D171&gt;0)</f>
        <v>1</v>
      </c>
    </row>
    <row r="172" spans="1:13" ht="15" customHeight="1">
      <c r="A172">
        <v>15</v>
      </c>
      <c r="B172">
        <v>15</v>
      </c>
      <c r="C172" s="25">
        <f>INDEX(实际执行追踪!$A$7:$A$42,A172)+DAY(参数设置!$B$4)-1</f>
        <v>46670</v>
      </c>
      <c r="D172" s="21">
        <f>INDEX(实际执行追踪!$C$7:$C$42,A172)</f>
        <v>23400</v>
      </c>
      <c r="E172">
        <v>1</v>
      </c>
      <c r="F172" s="25">
        <f>IF(E172=1,C172,G171)</f>
        <v>46670</v>
      </c>
      <c r="G172" s="25">
        <f>IF(E172&lt;参数设置!$B$13,DATE(YEAR(EDATE(C172,E172+1)),MONTH(EDATE(C172,E172+1)),参数设置!$B$14),EDATE(C172,参数设置!$B$13))</f>
        <v>46726</v>
      </c>
      <c r="H172">
        <f>G172-F172</f>
        <v>56</v>
      </c>
      <c r="I172" s="21">
        <f>IF(E172=参数设置!$B$13,D172,0)</f>
        <v>0</v>
      </c>
      <c r="J172" s="21">
        <f>IF(M172=1,ROUND(D172*参数设置!$B$11*H172/参数设置!$B$12,参数设置!$B$15),0)</f>
        <v>120.12</v>
      </c>
      <c r="K172" s="21">
        <f>I172+J172</f>
        <v>120.12</v>
      </c>
      <c r="L172" s="25">
        <f>EDATE(C172,参数设置!$B$13)</f>
        <v>47036</v>
      </c>
      <c r="M172">
        <f>--(D172&gt;0)</f>
        <v>1</v>
      </c>
    </row>
    <row r="173" spans="1:13" ht="15" customHeight="1">
      <c r="A173">
        <v>15</v>
      </c>
      <c r="B173">
        <v>15</v>
      </c>
      <c r="C173" s="25">
        <f>INDEX(实际执行追踪!$A$7:$A$42,A173)+DAY(参数设置!$B$4)-1</f>
        <v>46670</v>
      </c>
      <c r="D173" s="21">
        <f>INDEX(实际执行追踪!$C$7:$C$42,A173)</f>
        <v>23400</v>
      </c>
      <c r="E173">
        <v>2</v>
      </c>
      <c r="F173" s="25">
        <f>IF(E173=1,C173,G172)</f>
        <v>46726</v>
      </c>
      <c r="G173" s="25">
        <f>IF(E173&lt;参数设置!$B$13,DATE(YEAR(EDATE(C173,E173+1)),MONTH(EDATE(C173,E173+1)),参数设置!$B$14),EDATE(C173,参数设置!$B$13))</f>
        <v>46757</v>
      </c>
      <c r="H173">
        <f>G173-F173</f>
        <v>31</v>
      </c>
      <c r="I173" s="21">
        <f>IF(E173=参数设置!$B$13,D173,0)</f>
        <v>0</v>
      </c>
      <c r="J173" s="21">
        <f>IF(M173=1,ROUND(D173*参数设置!$B$11*H173/参数设置!$B$12,参数设置!$B$15),0)</f>
        <v>66.5</v>
      </c>
      <c r="K173" s="21">
        <f>I173+J173</f>
        <v>66.5</v>
      </c>
      <c r="L173" s="25">
        <f>EDATE(C173,参数设置!$B$13)</f>
        <v>47036</v>
      </c>
      <c r="M173">
        <f>--(D173&gt;0)</f>
        <v>1</v>
      </c>
    </row>
    <row r="174" spans="1:13" ht="15" customHeight="1">
      <c r="A174">
        <v>15</v>
      </c>
      <c r="B174">
        <v>15</v>
      </c>
      <c r="C174" s="25">
        <f>INDEX(实际执行追踪!$A$7:$A$42,A174)+DAY(参数设置!$B$4)-1</f>
        <v>46670</v>
      </c>
      <c r="D174" s="21">
        <f>INDEX(实际执行追踪!$C$7:$C$42,A174)</f>
        <v>23400</v>
      </c>
      <c r="E174">
        <v>3</v>
      </c>
      <c r="F174" s="25">
        <f>IF(E174=1,C174,G173)</f>
        <v>46757</v>
      </c>
      <c r="G174" s="25">
        <f>IF(E174&lt;参数设置!$B$13,DATE(YEAR(EDATE(C174,E174+1)),MONTH(EDATE(C174,E174+1)),参数设置!$B$14),EDATE(C174,参数设置!$B$13))</f>
        <v>46788</v>
      </c>
      <c r="H174">
        <f>G174-F174</f>
        <v>31</v>
      </c>
      <c r="I174" s="21">
        <f>IF(E174=参数设置!$B$13,D174,0)</f>
        <v>0</v>
      </c>
      <c r="J174" s="21">
        <f>IF(M174=1,ROUND(D174*参数设置!$B$11*H174/参数设置!$B$12,参数设置!$B$15),0)</f>
        <v>66.5</v>
      </c>
      <c r="K174" s="21">
        <f>I174+J174</f>
        <v>66.5</v>
      </c>
      <c r="L174" s="25">
        <f>EDATE(C174,参数设置!$B$13)</f>
        <v>47036</v>
      </c>
      <c r="M174">
        <f>--(D174&gt;0)</f>
        <v>1</v>
      </c>
    </row>
    <row r="175" spans="1:13" ht="15" customHeight="1">
      <c r="A175">
        <v>15</v>
      </c>
      <c r="B175">
        <v>15</v>
      </c>
      <c r="C175" s="25">
        <f>INDEX(实际执行追踪!$A$7:$A$42,A175)+DAY(参数设置!$B$4)-1</f>
        <v>46670</v>
      </c>
      <c r="D175" s="21">
        <f>INDEX(实际执行追踪!$C$7:$C$42,A175)</f>
        <v>23400</v>
      </c>
      <c r="E175">
        <v>4</v>
      </c>
      <c r="F175" s="25">
        <f>IF(E175=1,C175,G174)</f>
        <v>46788</v>
      </c>
      <c r="G175" s="25">
        <f>IF(E175&lt;参数设置!$B$13,DATE(YEAR(EDATE(C175,E175+1)),MONTH(EDATE(C175,E175+1)),参数设置!$B$14),EDATE(C175,参数设置!$B$13))</f>
        <v>46817</v>
      </c>
      <c r="H175">
        <f>G175-F175</f>
        <v>29</v>
      </c>
      <c r="I175" s="21">
        <f>IF(E175=参数设置!$B$13,D175,0)</f>
        <v>0</v>
      </c>
      <c r="J175" s="21">
        <f>IF(M175=1,ROUND(D175*参数设置!$B$11*H175/参数设置!$B$12,参数设置!$B$15),0)</f>
        <v>62.21</v>
      </c>
      <c r="K175" s="21">
        <f>I175+J175</f>
        <v>62.21</v>
      </c>
      <c r="L175" s="25">
        <f>EDATE(C175,参数设置!$B$13)</f>
        <v>47036</v>
      </c>
      <c r="M175">
        <f>--(D175&gt;0)</f>
        <v>1</v>
      </c>
    </row>
    <row r="176" spans="1:13" ht="15" customHeight="1">
      <c r="A176">
        <v>15</v>
      </c>
      <c r="B176">
        <v>15</v>
      </c>
      <c r="C176" s="25">
        <f>INDEX(实际执行追踪!$A$7:$A$42,A176)+DAY(参数设置!$B$4)-1</f>
        <v>46670</v>
      </c>
      <c r="D176" s="21">
        <f>INDEX(实际执行追踪!$C$7:$C$42,A176)</f>
        <v>23400</v>
      </c>
      <c r="E176">
        <v>5</v>
      </c>
      <c r="F176" s="25">
        <f>IF(E176=1,C176,G175)</f>
        <v>46817</v>
      </c>
      <c r="G176" s="25">
        <f>IF(E176&lt;参数设置!$B$13,DATE(YEAR(EDATE(C176,E176+1)),MONTH(EDATE(C176,E176+1)),参数设置!$B$14),EDATE(C176,参数设置!$B$13))</f>
        <v>46848</v>
      </c>
      <c r="H176">
        <f>G176-F176</f>
        <v>31</v>
      </c>
      <c r="I176" s="21">
        <f>IF(E176=参数设置!$B$13,D176,0)</f>
        <v>0</v>
      </c>
      <c r="J176" s="21">
        <f>IF(M176=1,ROUND(D176*参数设置!$B$11*H176/参数设置!$B$12,参数设置!$B$15),0)</f>
        <v>66.5</v>
      </c>
      <c r="K176" s="21">
        <f>I176+J176</f>
        <v>66.5</v>
      </c>
      <c r="L176" s="25">
        <f>EDATE(C176,参数设置!$B$13)</f>
        <v>47036</v>
      </c>
      <c r="M176">
        <f>--(D176&gt;0)</f>
        <v>1</v>
      </c>
    </row>
    <row r="177" spans="1:13" ht="15" customHeight="1">
      <c r="A177">
        <v>15</v>
      </c>
      <c r="B177">
        <v>15</v>
      </c>
      <c r="C177" s="25">
        <f>INDEX(实际执行追踪!$A$7:$A$42,A177)+DAY(参数设置!$B$4)-1</f>
        <v>46670</v>
      </c>
      <c r="D177" s="21">
        <f>INDEX(实际执行追踪!$C$7:$C$42,A177)</f>
        <v>23400</v>
      </c>
      <c r="E177">
        <v>6</v>
      </c>
      <c r="F177" s="25">
        <f>IF(E177=1,C177,G176)</f>
        <v>46848</v>
      </c>
      <c r="G177" s="25">
        <f>IF(E177&lt;参数设置!$B$13,DATE(YEAR(EDATE(C177,E177+1)),MONTH(EDATE(C177,E177+1)),参数设置!$B$14),EDATE(C177,参数设置!$B$13))</f>
        <v>46878</v>
      </c>
      <c r="H177">
        <f>G177-F177</f>
        <v>30</v>
      </c>
      <c r="I177" s="21">
        <f>IF(E177=参数设置!$B$13,D177,0)</f>
        <v>0</v>
      </c>
      <c r="J177" s="21">
        <f>IF(M177=1,ROUND(D177*参数设置!$B$11*H177/参数设置!$B$12,参数设置!$B$15),0)</f>
        <v>64.349999999999994</v>
      </c>
      <c r="K177" s="21">
        <f>I177+J177</f>
        <v>64.349999999999994</v>
      </c>
      <c r="L177" s="25">
        <f>EDATE(C177,参数设置!$B$13)</f>
        <v>47036</v>
      </c>
      <c r="M177">
        <f>--(D177&gt;0)</f>
        <v>1</v>
      </c>
    </row>
    <row r="178" spans="1:13" ht="15" customHeight="1">
      <c r="A178">
        <v>15</v>
      </c>
      <c r="B178">
        <v>15</v>
      </c>
      <c r="C178" s="25">
        <f>INDEX(实际执行追踪!$A$7:$A$42,A178)+DAY(参数设置!$B$4)-1</f>
        <v>46670</v>
      </c>
      <c r="D178" s="21">
        <f>INDEX(实际执行追踪!$C$7:$C$42,A178)</f>
        <v>23400</v>
      </c>
      <c r="E178">
        <v>7</v>
      </c>
      <c r="F178" s="25">
        <f>IF(E178=1,C178,G177)</f>
        <v>46878</v>
      </c>
      <c r="G178" s="25">
        <f>IF(E178&lt;参数设置!$B$13,DATE(YEAR(EDATE(C178,E178+1)),MONTH(EDATE(C178,E178+1)),参数设置!$B$14),EDATE(C178,参数设置!$B$13))</f>
        <v>46909</v>
      </c>
      <c r="H178">
        <f>G178-F178</f>
        <v>31</v>
      </c>
      <c r="I178" s="21">
        <f>IF(E178=参数设置!$B$13,D178,0)</f>
        <v>0</v>
      </c>
      <c r="J178" s="21">
        <f>IF(M178=1,ROUND(D178*参数设置!$B$11*H178/参数设置!$B$12,参数设置!$B$15),0)</f>
        <v>66.5</v>
      </c>
      <c r="K178" s="21">
        <f>I178+J178</f>
        <v>66.5</v>
      </c>
      <c r="L178" s="25">
        <f>EDATE(C178,参数设置!$B$13)</f>
        <v>47036</v>
      </c>
      <c r="M178">
        <f>--(D178&gt;0)</f>
        <v>1</v>
      </c>
    </row>
    <row r="179" spans="1:13" ht="15" customHeight="1">
      <c r="A179">
        <v>15</v>
      </c>
      <c r="B179">
        <v>15</v>
      </c>
      <c r="C179" s="25">
        <f>INDEX(实际执行追踪!$A$7:$A$42,A179)+DAY(参数设置!$B$4)-1</f>
        <v>46670</v>
      </c>
      <c r="D179" s="21">
        <f>INDEX(实际执行追踪!$C$7:$C$42,A179)</f>
        <v>23400</v>
      </c>
      <c r="E179">
        <v>8</v>
      </c>
      <c r="F179" s="25">
        <f>IF(E179=1,C179,G178)</f>
        <v>46909</v>
      </c>
      <c r="G179" s="25">
        <f>IF(E179&lt;参数设置!$B$13,DATE(YEAR(EDATE(C179,E179+1)),MONTH(EDATE(C179,E179+1)),参数设置!$B$14),EDATE(C179,参数设置!$B$13))</f>
        <v>46939</v>
      </c>
      <c r="H179">
        <f>G179-F179</f>
        <v>30</v>
      </c>
      <c r="I179" s="21">
        <f>IF(E179=参数设置!$B$13,D179,0)</f>
        <v>0</v>
      </c>
      <c r="J179" s="21">
        <f>IF(M179=1,ROUND(D179*参数设置!$B$11*H179/参数设置!$B$12,参数设置!$B$15),0)</f>
        <v>64.349999999999994</v>
      </c>
      <c r="K179" s="21">
        <f>I179+J179</f>
        <v>64.349999999999994</v>
      </c>
      <c r="L179" s="25">
        <f>EDATE(C179,参数设置!$B$13)</f>
        <v>47036</v>
      </c>
      <c r="M179">
        <f>--(D179&gt;0)</f>
        <v>1</v>
      </c>
    </row>
    <row r="180" spans="1:13" ht="15" customHeight="1">
      <c r="A180">
        <v>15</v>
      </c>
      <c r="B180">
        <v>15</v>
      </c>
      <c r="C180" s="25">
        <f>INDEX(实际执行追踪!$A$7:$A$42,A180)+DAY(参数设置!$B$4)-1</f>
        <v>46670</v>
      </c>
      <c r="D180" s="21">
        <f>INDEX(实际执行追踪!$C$7:$C$42,A180)</f>
        <v>23400</v>
      </c>
      <c r="E180">
        <v>9</v>
      </c>
      <c r="F180" s="25">
        <f>IF(E180=1,C180,G179)</f>
        <v>46939</v>
      </c>
      <c r="G180" s="25">
        <f>IF(E180&lt;参数设置!$B$13,DATE(YEAR(EDATE(C180,E180+1)),MONTH(EDATE(C180,E180+1)),参数设置!$B$14),EDATE(C180,参数设置!$B$13))</f>
        <v>46970</v>
      </c>
      <c r="H180">
        <f>G180-F180</f>
        <v>31</v>
      </c>
      <c r="I180" s="21">
        <f>IF(E180=参数设置!$B$13,D180,0)</f>
        <v>0</v>
      </c>
      <c r="J180" s="21">
        <f>IF(M180=1,ROUND(D180*参数设置!$B$11*H180/参数设置!$B$12,参数设置!$B$15),0)</f>
        <v>66.5</v>
      </c>
      <c r="K180" s="21">
        <f>I180+J180</f>
        <v>66.5</v>
      </c>
      <c r="L180" s="25">
        <f>EDATE(C180,参数设置!$B$13)</f>
        <v>47036</v>
      </c>
      <c r="M180">
        <f>--(D180&gt;0)</f>
        <v>1</v>
      </c>
    </row>
    <row r="181" spans="1:13" ht="15" customHeight="1">
      <c r="A181">
        <v>15</v>
      </c>
      <c r="B181">
        <v>15</v>
      </c>
      <c r="C181" s="25">
        <f>INDEX(实际执行追踪!$A$7:$A$42,A181)+DAY(参数设置!$B$4)-1</f>
        <v>46670</v>
      </c>
      <c r="D181" s="21">
        <f>INDEX(实际执行追踪!$C$7:$C$42,A181)</f>
        <v>23400</v>
      </c>
      <c r="E181">
        <v>10</v>
      </c>
      <c r="F181" s="25">
        <f>IF(E181=1,C181,G180)</f>
        <v>46970</v>
      </c>
      <c r="G181" s="25">
        <f>IF(E181&lt;参数设置!$B$13,DATE(YEAR(EDATE(C181,E181+1)),MONTH(EDATE(C181,E181+1)),参数设置!$B$14),EDATE(C181,参数设置!$B$13))</f>
        <v>47001</v>
      </c>
      <c r="H181">
        <f>G181-F181</f>
        <v>31</v>
      </c>
      <c r="I181" s="21">
        <f>IF(E181=参数设置!$B$13,D181,0)</f>
        <v>0</v>
      </c>
      <c r="J181" s="21">
        <f>IF(M181=1,ROUND(D181*参数设置!$B$11*H181/参数设置!$B$12,参数设置!$B$15),0)</f>
        <v>66.5</v>
      </c>
      <c r="K181" s="21">
        <f>I181+J181</f>
        <v>66.5</v>
      </c>
      <c r="L181" s="25">
        <f>EDATE(C181,参数设置!$B$13)</f>
        <v>47036</v>
      </c>
      <c r="M181">
        <f>--(D181&gt;0)</f>
        <v>1</v>
      </c>
    </row>
    <row r="182" spans="1:13" ht="15" customHeight="1">
      <c r="A182">
        <v>15</v>
      </c>
      <c r="B182">
        <v>15</v>
      </c>
      <c r="C182" s="25">
        <f>INDEX(实际执行追踪!$A$7:$A$42,A182)+DAY(参数设置!$B$4)-1</f>
        <v>46670</v>
      </c>
      <c r="D182" s="21">
        <f>INDEX(实际执行追踪!$C$7:$C$42,A182)</f>
        <v>23400</v>
      </c>
      <c r="E182">
        <v>11</v>
      </c>
      <c r="F182" s="25">
        <f>IF(E182=1,C182,G181)</f>
        <v>47001</v>
      </c>
      <c r="G182" s="25">
        <f>IF(E182&lt;参数设置!$B$13,DATE(YEAR(EDATE(C182,E182+1)),MONTH(EDATE(C182,E182+1)),参数设置!$B$14),EDATE(C182,参数设置!$B$13))</f>
        <v>47031</v>
      </c>
      <c r="H182">
        <f>G182-F182</f>
        <v>30</v>
      </c>
      <c r="I182" s="21">
        <f>IF(E182=参数设置!$B$13,D182,0)</f>
        <v>0</v>
      </c>
      <c r="J182" s="21">
        <f>IF(M182=1,ROUND(D182*参数设置!$B$11*H182/参数设置!$B$12,参数设置!$B$15),0)</f>
        <v>64.349999999999994</v>
      </c>
      <c r="K182" s="21">
        <f>I182+J182</f>
        <v>64.349999999999994</v>
      </c>
      <c r="L182" s="25">
        <f>EDATE(C182,参数设置!$B$13)</f>
        <v>47036</v>
      </c>
      <c r="M182">
        <f>--(D182&gt;0)</f>
        <v>1</v>
      </c>
    </row>
    <row r="183" spans="1:13" ht="15" customHeight="1">
      <c r="A183">
        <v>15</v>
      </c>
      <c r="B183">
        <v>15</v>
      </c>
      <c r="C183" s="25">
        <f>INDEX(实际执行追踪!$A$7:$A$42,A183)+DAY(参数设置!$B$4)-1</f>
        <v>46670</v>
      </c>
      <c r="D183" s="21">
        <f>INDEX(实际执行追踪!$C$7:$C$42,A183)</f>
        <v>23400</v>
      </c>
      <c r="E183">
        <v>12</v>
      </c>
      <c r="F183" s="25">
        <f>IF(E183=1,C183,G182)</f>
        <v>47031</v>
      </c>
      <c r="G183" s="25">
        <f>IF(E183&lt;参数设置!$B$13,DATE(YEAR(EDATE(C183,E183+1)),MONTH(EDATE(C183,E183+1)),参数设置!$B$14),EDATE(C183,参数设置!$B$13))</f>
        <v>47036</v>
      </c>
      <c r="H183">
        <f>G183-F183</f>
        <v>5</v>
      </c>
      <c r="I183" s="21">
        <f>IF(E183=参数设置!$B$13,D183,0)</f>
        <v>23400</v>
      </c>
      <c r="J183" s="21">
        <f>IF(M183=1,ROUND(D183*参数设置!$B$11*H183/参数设置!$B$12,参数设置!$B$15),0)</f>
        <v>10.73</v>
      </c>
      <c r="K183" s="21">
        <f>I183+J183</f>
        <v>23410.73</v>
      </c>
      <c r="L183" s="25">
        <f>EDATE(C183,参数设置!$B$13)</f>
        <v>47036</v>
      </c>
      <c r="M183">
        <f>--(D183&gt;0)</f>
        <v>1</v>
      </c>
    </row>
    <row r="184" spans="1:13" ht="15" customHeight="1">
      <c r="A184">
        <v>16</v>
      </c>
      <c r="B184">
        <v>16</v>
      </c>
      <c r="C184" s="25">
        <f>INDEX(实际执行追踪!$A$7:$A$42,A184)+DAY(参数设置!$B$4)-1</f>
        <v>46701</v>
      </c>
      <c r="D184" s="21">
        <f>INDEX(实际执行追踪!$C$7:$C$42,A184)</f>
        <v>23400</v>
      </c>
      <c r="E184">
        <v>1</v>
      </c>
      <c r="F184" s="25">
        <f>IF(E184=1,C184,G183)</f>
        <v>46701</v>
      </c>
      <c r="G184" s="25">
        <f>IF(E184&lt;参数设置!$B$13,DATE(YEAR(EDATE(C184,E184+1)),MONTH(EDATE(C184,E184+1)),参数设置!$B$14),EDATE(C184,参数设置!$B$13))</f>
        <v>46757</v>
      </c>
      <c r="H184">
        <f>G184-F184</f>
        <v>56</v>
      </c>
      <c r="I184" s="21">
        <f>IF(E184=参数设置!$B$13,D184,0)</f>
        <v>0</v>
      </c>
      <c r="J184" s="21">
        <f>IF(M184=1,ROUND(D184*参数设置!$B$11*H184/参数设置!$B$12,参数设置!$B$15),0)</f>
        <v>120.12</v>
      </c>
      <c r="K184" s="21">
        <f>I184+J184</f>
        <v>120.12</v>
      </c>
      <c r="L184" s="25">
        <f>EDATE(C184,参数设置!$B$13)</f>
        <v>47067</v>
      </c>
      <c r="M184">
        <f>--(D184&gt;0)</f>
        <v>1</v>
      </c>
    </row>
    <row r="185" spans="1:13" ht="15" customHeight="1">
      <c r="A185">
        <v>16</v>
      </c>
      <c r="B185">
        <v>16</v>
      </c>
      <c r="C185" s="25">
        <f>INDEX(实际执行追踪!$A$7:$A$42,A185)+DAY(参数设置!$B$4)-1</f>
        <v>46701</v>
      </c>
      <c r="D185" s="21">
        <f>INDEX(实际执行追踪!$C$7:$C$42,A185)</f>
        <v>23400</v>
      </c>
      <c r="E185">
        <v>2</v>
      </c>
      <c r="F185" s="25">
        <f>IF(E185=1,C185,G184)</f>
        <v>46757</v>
      </c>
      <c r="G185" s="25">
        <f>IF(E185&lt;参数设置!$B$13,DATE(YEAR(EDATE(C185,E185+1)),MONTH(EDATE(C185,E185+1)),参数设置!$B$14),EDATE(C185,参数设置!$B$13))</f>
        <v>46788</v>
      </c>
      <c r="H185">
        <f>G185-F185</f>
        <v>31</v>
      </c>
      <c r="I185" s="21">
        <f>IF(E185=参数设置!$B$13,D185,0)</f>
        <v>0</v>
      </c>
      <c r="J185" s="21">
        <f>IF(M185=1,ROUND(D185*参数设置!$B$11*H185/参数设置!$B$12,参数设置!$B$15),0)</f>
        <v>66.5</v>
      </c>
      <c r="K185" s="21">
        <f>I185+J185</f>
        <v>66.5</v>
      </c>
      <c r="L185" s="25">
        <f>EDATE(C185,参数设置!$B$13)</f>
        <v>47067</v>
      </c>
      <c r="M185">
        <f>--(D185&gt;0)</f>
        <v>1</v>
      </c>
    </row>
    <row r="186" spans="1:13" ht="15" customHeight="1">
      <c r="A186">
        <v>16</v>
      </c>
      <c r="B186">
        <v>16</v>
      </c>
      <c r="C186" s="25">
        <f>INDEX(实际执行追踪!$A$7:$A$42,A186)+DAY(参数设置!$B$4)-1</f>
        <v>46701</v>
      </c>
      <c r="D186" s="21">
        <f>INDEX(实际执行追踪!$C$7:$C$42,A186)</f>
        <v>23400</v>
      </c>
      <c r="E186">
        <v>3</v>
      </c>
      <c r="F186" s="25">
        <f>IF(E186=1,C186,G185)</f>
        <v>46788</v>
      </c>
      <c r="G186" s="25">
        <f>IF(E186&lt;参数设置!$B$13,DATE(YEAR(EDATE(C186,E186+1)),MONTH(EDATE(C186,E186+1)),参数设置!$B$14),EDATE(C186,参数设置!$B$13))</f>
        <v>46817</v>
      </c>
      <c r="H186">
        <f>G186-F186</f>
        <v>29</v>
      </c>
      <c r="I186" s="21">
        <f>IF(E186=参数设置!$B$13,D186,0)</f>
        <v>0</v>
      </c>
      <c r="J186" s="21">
        <f>IF(M186=1,ROUND(D186*参数设置!$B$11*H186/参数设置!$B$12,参数设置!$B$15),0)</f>
        <v>62.21</v>
      </c>
      <c r="K186" s="21">
        <f>I186+J186</f>
        <v>62.21</v>
      </c>
      <c r="L186" s="25">
        <f>EDATE(C186,参数设置!$B$13)</f>
        <v>47067</v>
      </c>
      <c r="M186">
        <f>--(D186&gt;0)</f>
        <v>1</v>
      </c>
    </row>
    <row r="187" spans="1:13" ht="15" customHeight="1">
      <c r="A187">
        <v>16</v>
      </c>
      <c r="B187">
        <v>16</v>
      </c>
      <c r="C187" s="25">
        <f>INDEX(实际执行追踪!$A$7:$A$42,A187)+DAY(参数设置!$B$4)-1</f>
        <v>46701</v>
      </c>
      <c r="D187" s="21">
        <f>INDEX(实际执行追踪!$C$7:$C$42,A187)</f>
        <v>23400</v>
      </c>
      <c r="E187">
        <v>4</v>
      </c>
      <c r="F187" s="25">
        <f>IF(E187=1,C187,G186)</f>
        <v>46817</v>
      </c>
      <c r="G187" s="25">
        <f>IF(E187&lt;参数设置!$B$13,DATE(YEAR(EDATE(C187,E187+1)),MONTH(EDATE(C187,E187+1)),参数设置!$B$14),EDATE(C187,参数设置!$B$13))</f>
        <v>46848</v>
      </c>
      <c r="H187">
        <f>G187-F187</f>
        <v>31</v>
      </c>
      <c r="I187" s="21">
        <f>IF(E187=参数设置!$B$13,D187,0)</f>
        <v>0</v>
      </c>
      <c r="J187" s="21">
        <f>IF(M187=1,ROUND(D187*参数设置!$B$11*H187/参数设置!$B$12,参数设置!$B$15),0)</f>
        <v>66.5</v>
      </c>
      <c r="K187" s="21">
        <f>I187+J187</f>
        <v>66.5</v>
      </c>
      <c r="L187" s="25">
        <f>EDATE(C187,参数设置!$B$13)</f>
        <v>47067</v>
      </c>
      <c r="M187">
        <f>--(D187&gt;0)</f>
        <v>1</v>
      </c>
    </row>
    <row r="188" spans="1:13" ht="15" customHeight="1">
      <c r="A188">
        <v>16</v>
      </c>
      <c r="B188">
        <v>16</v>
      </c>
      <c r="C188" s="25">
        <f>INDEX(实际执行追踪!$A$7:$A$42,A188)+DAY(参数设置!$B$4)-1</f>
        <v>46701</v>
      </c>
      <c r="D188" s="21">
        <f>INDEX(实际执行追踪!$C$7:$C$42,A188)</f>
        <v>23400</v>
      </c>
      <c r="E188">
        <v>5</v>
      </c>
      <c r="F188" s="25">
        <f>IF(E188=1,C188,G187)</f>
        <v>46848</v>
      </c>
      <c r="G188" s="25">
        <f>IF(E188&lt;参数设置!$B$13,DATE(YEAR(EDATE(C188,E188+1)),MONTH(EDATE(C188,E188+1)),参数设置!$B$14),EDATE(C188,参数设置!$B$13))</f>
        <v>46878</v>
      </c>
      <c r="H188">
        <f>G188-F188</f>
        <v>30</v>
      </c>
      <c r="I188" s="21">
        <f>IF(E188=参数设置!$B$13,D188,0)</f>
        <v>0</v>
      </c>
      <c r="J188" s="21">
        <f>IF(M188=1,ROUND(D188*参数设置!$B$11*H188/参数设置!$B$12,参数设置!$B$15),0)</f>
        <v>64.349999999999994</v>
      </c>
      <c r="K188" s="21">
        <f>I188+J188</f>
        <v>64.349999999999994</v>
      </c>
      <c r="L188" s="25">
        <f>EDATE(C188,参数设置!$B$13)</f>
        <v>47067</v>
      </c>
      <c r="M188">
        <f>--(D188&gt;0)</f>
        <v>1</v>
      </c>
    </row>
    <row r="189" spans="1:13" ht="15" customHeight="1">
      <c r="A189">
        <v>16</v>
      </c>
      <c r="B189">
        <v>16</v>
      </c>
      <c r="C189" s="25">
        <f>INDEX(实际执行追踪!$A$7:$A$42,A189)+DAY(参数设置!$B$4)-1</f>
        <v>46701</v>
      </c>
      <c r="D189" s="21">
        <f>INDEX(实际执行追踪!$C$7:$C$42,A189)</f>
        <v>23400</v>
      </c>
      <c r="E189">
        <v>6</v>
      </c>
      <c r="F189" s="25">
        <f>IF(E189=1,C189,G188)</f>
        <v>46878</v>
      </c>
      <c r="G189" s="25">
        <f>IF(E189&lt;参数设置!$B$13,DATE(YEAR(EDATE(C189,E189+1)),MONTH(EDATE(C189,E189+1)),参数设置!$B$14),EDATE(C189,参数设置!$B$13))</f>
        <v>46909</v>
      </c>
      <c r="H189">
        <f>G189-F189</f>
        <v>31</v>
      </c>
      <c r="I189" s="21">
        <f>IF(E189=参数设置!$B$13,D189,0)</f>
        <v>0</v>
      </c>
      <c r="J189" s="21">
        <f>IF(M189=1,ROUND(D189*参数设置!$B$11*H189/参数设置!$B$12,参数设置!$B$15),0)</f>
        <v>66.5</v>
      </c>
      <c r="K189" s="21">
        <f>I189+J189</f>
        <v>66.5</v>
      </c>
      <c r="L189" s="25">
        <f>EDATE(C189,参数设置!$B$13)</f>
        <v>47067</v>
      </c>
      <c r="M189">
        <f>--(D189&gt;0)</f>
        <v>1</v>
      </c>
    </row>
    <row r="190" spans="1:13" ht="15" customHeight="1">
      <c r="A190">
        <v>16</v>
      </c>
      <c r="B190">
        <v>16</v>
      </c>
      <c r="C190" s="25">
        <f>INDEX(实际执行追踪!$A$7:$A$42,A190)+DAY(参数设置!$B$4)-1</f>
        <v>46701</v>
      </c>
      <c r="D190" s="21">
        <f>INDEX(实际执行追踪!$C$7:$C$42,A190)</f>
        <v>23400</v>
      </c>
      <c r="E190">
        <v>7</v>
      </c>
      <c r="F190" s="25">
        <f>IF(E190=1,C190,G189)</f>
        <v>46909</v>
      </c>
      <c r="G190" s="25">
        <f>IF(E190&lt;参数设置!$B$13,DATE(YEAR(EDATE(C190,E190+1)),MONTH(EDATE(C190,E190+1)),参数设置!$B$14),EDATE(C190,参数设置!$B$13))</f>
        <v>46939</v>
      </c>
      <c r="H190">
        <f>G190-F190</f>
        <v>30</v>
      </c>
      <c r="I190" s="21">
        <f>IF(E190=参数设置!$B$13,D190,0)</f>
        <v>0</v>
      </c>
      <c r="J190" s="21">
        <f>IF(M190=1,ROUND(D190*参数设置!$B$11*H190/参数设置!$B$12,参数设置!$B$15),0)</f>
        <v>64.349999999999994</v>
      </c>
      <c r="K190" s="21">
        <f>I190+J190</f>
        <v>64.349999999999994</v>
      </c>
      <c r="L190" s="25">
        <f>EDATE(C190,参数设置!$B$13)</f>
        <v>47067</v>
      </c>
      <c r="M190">
        <f>--(D190&gt;0)</f>
        <v>1</v>
      </c>
    </row>
    <row r="191" spans="1:13" ht="15" customHeight="1">
      <c r="A191">
        <v>16</v>
      </c>
      <c r="B191">
        <v>16</v>
      </c>
      <c r="C191" s="25">
        <f>INDEX(实际执行追踪!$A$7:$A$42,A191)+DAY(参数设置!$B$4)-1</f>
        <v>46701</v>
      </c>
      <c r="D191" s="21">
        <f>INDEX(实际执行追踪!$C$7:$C$42,A191)</f>
        <v>23400</v>
      </c>
      <c r="E191">
        <v>8</v>
      </c>
      <c r="F191" s="25">
        <f>IF(E191=1,C191,G190)</f>
        <v>46939</v>
      </c>
      <c r="G191" s="25">
        <f>IF(E191&lt;参数设置!$B$13,DATE(YEAR(EDATE(C191,E191+1)),MONTH(EDATE(C191,E191+1)),参数设置!$B$14),EDATE(C191,参数设置!$B$13))</f>
        <v>46970</v>
      </c>
      <c r="H191">
        <f>G191-F191</f>
        <v>31</v>
      </c>
      <c r="I191" s="21">
        <f>IF(E191=参数设置!$B$13,D191,0)</f>
        <v>0</v>
      </c>
      <c r="J191" s="21">
        <f>IF(M191=1,ROUND(D191*参数设置!$B$11*H191/参数设置!$B$12,参数设置!$B$15),0)</f>
        <v>66.5</v>
      </c>
      <c r="K191" s="21">
        <f>I191+J191</f>
        <v>66.5</v>
      </c>
      <c r="L191" s="25">
        <f>EDATE(C191,参数设置!$B$13)</f>
        <v>47067</v>
      </c>
      <c r="M191">
        <f>--(D191&gt;0)</f>
        <v>1</v>
      </c>
    </row>
    <row r="192" spans="1:13" ht="15" customHeight="1">
      <c r="A192">
        <v>16</v>
      </c>
      <c r="B192">
        <v>16</v>
      </c>
      <c r="C192" s="25">
        <f>INDEX(实际执行追踪!$A$7:$A$42,A192)+DAY(参数设置!$B$4)-1</f>
        <v>46701</v>
      </c>
      <c r="D192" s="21">
        <f>INDEX(实际执行追踪!$C$7:$C$42,A192)</f>
        <v>23400</v>
      </c>
      <c r="E192">
        <v>9</v>
      </c>
      <c r="F192" s="25">
        <f>IF(E192=1,C192,G191)</f>
        <v>46970</v>
      </c>
      <c r="G192" s="25">
        <f>IF(E192&lt;参数设置!$B$13,DATE(YEAR(EDATE(C192,E192+1)),MONTH(EDATE(C192,E192+1)),参数设置!$B$14),EDATE(C192,参数设置!$B$13))</f>
        <v>47001</v>
      </c>
      <c r="H192">
        <f>G192-F192</f>
        <v>31</v>
      </c>
      <c r="I192" s="21">
        <f>IF(E192=参数设置!$B$13,D192,0)</f>
        <v>0</v>
      </c>
      <c r="J192" s="21">
        <f>IF(M192=1,ROUND(D192*参数设置!$B$11*H192/参数设置!$B$12,参数设置!$B$15),0)</f>
        <v>66.5</v>
      </c>
      <c r="K192" s="21">
        <f>I192+J192</f>
        <v>66.5</v>
      </c>
      <c r="L192" s="25">
        <f>EDATE(C192,参数设置!$B$13)</f>
        <v>47067</v>
      </c>
      <c r="M192">
        <f>--(D192&gt;0)</f>
        <v>1</v>
      </c>
    </row>
    <row r="193" spans="1:13" ht="15" customHeight="1">
      <c r="A193">
        <v>16</v>
      </c>
      <c r="B193">
        <v>16</v>
      </c>
      <c r="C193" s="25">
        <f>INDEX(实际执行追踪!$A$7:$A$42,A193)+DAY(参数设置!$B$4)-1</f>
        <v>46701</v>
      </c>
      <c r="D193" s="21">
        <f>INDEX(实际执行追踪!$C$7:$C$42,A193)</f>
        <v>23400</v>
      </c>
      <c r="E193">
        <v>10</v>
      </c>
      <c r="F193" s="25">
        <f>IF(E193=1,C193,G192)</f>
        <v>47001</v>
      </c>
      <c r="G193" s="25">
        <f>IF(E193&lt;参数设置!$B$13,DATE(YEAR(EDATE(C193,E193+1)),MONTH(EDATE(C193,E193+1)),参数设置!$B$14),EDATE(C193,参数设置!$B$13))</f>
        <v>47031</v>
      </c>
      <c r="H193">
        <f>G193-F193</f>
        <v>30</v>
      </c>
      <c r="I193" s="21">
        <f>IF(E193=参数设置!$B$13,D193,0)</f>
        <v>0</v>
      </c>
      <c r="J193" s="21">
        <f>IF(M193=1,ROUND(D193*参数设置!$B$11*H193/参数设置!$B$12,参数设置!$B$15),0)</f>
        <v>64.349999999999994</v>
      </c>
      <c r="K193" s="21">
        <f>I193+J193</f>
        <v>64.349999999999994</v>
      </c>
      <c r="L193" s="25">
        <f>EDATE(C193,参数设置!$B$13)</f>
        <v>47067</v>
      </c>
      <c r="M193">
        <f>--(D193&gt;0)</f>
        <v>1</v>
      </c>
    </row>
    <row r="194" spans="1:13" ht="15" customHeight="1">
      <c r="A194">
        <v>16</v>
      </c>
      <c r="B194">
        <v>16</v>
      </c>
      <c r="C194" s="25">
        <f>INDEX(实际执行追踪!$A$7:$A$42,A194)+DAY(参数设置!$B$4)-1</f>
        <v>46701</v>
      </c>
      <c r="D194" s="21">
        <f>INDEX(实际执行追踪!$C$7:$C$42,A194)</f>
        <v>23400</v>
      </c>
      <c r="E194">
        <v>11</v>
      </c>
      <c r="F194" s="25">
        <f>IF(E194=1,C194,G193)</f>
        <v>47031</v>
      </c>
      <c r="G194" s="25">
        <f>IF(E194&lt;参数设置!$B$13,DATE(YEAR(EDATE(C194,E194+1)),MONTH(EDATE(C194,E194+1)),参数设置!$B$14),EDATE(C194,参数设置!$B$13))</f>
        <v>47062</v>
      </c>
      <c r="H194">
        <f>G194-F194</f>
        <v>31</v>
      </c>
      <c r="I194" s="21">
        <f>IF(E194=参数设置!$B$13,D194,0)</f>
        <v>0</v>
      </c>
      <c r="J194" s="21">
        <f>IF(M194=1,ROUND(D194*参数设置!$B$11*H194/参数设置!$B$12,参数设置!$B$15),0)</f>
        <v>66.5</v>
      </c>
      <c r="K194" s="21">
        <f>I194+J194</f>
        <v>66.5</v>
      </c>
      <c r="L194" s="25">
        <f>EDATE(C194,参数设置!$B$13)</f>
        <v>47067</v>
      </c>
      <c r="M194">
        <f>--(D194&gt;0)</f>
        <v>1</v>
      </c>
    </row>
    <row r="195" spans="1:13" ht="15" customHeight="1">
      <c r="A195">
        <v>16</v>
      </c>
      <c r="B195">
        <v>16</v>
      </c>
      <c r="C195" s="25">
        <f>INDEX(实际执行追踪!$A$7:$A$42,A195)+DAY(参数设置!$B$4)-1</f>
        <v>46701</v>
      </c>
      <c r="D195" s="21">
        <f>INDEX(实际执行追踪!$C$7:$C$42,A195)</f>
        <v>23400</v>
      </c>
      <c r="E195">
        <v>12</v>
      </c>
      <c r="F195" s="25">
        <f>IF(E195=1,C195,G194)</f>
        <v>47062</v>
      </c>
      <c r="G195" s="25">
        <f>IF(E195&lt;参数设置!$B$13,DATE(YEAR(EDATE(C195,E195+1)),MONTH(EDATE(C195,E195+1)),参数设置!$B$14),EDATE(C195,参数设置!$B$13))</f>
        <v>47067</v>
      </c>
      <c r="H195">
        <f>G195-F195</f>
        <v>5</v>
      </c>
      <c r="I195" s="21">
        <f>IF(E195=参数设置!$B$13,D195,0)</f>
        <v>23400</v>
      </c>
      <c r="J195" s="21">
        <f>IF(M195=1,ROUND(D195*参数设置!$B$11*H195/参数设置!$B$12,参数设置!$B$15),0)</f>
        <v>10.73</v>
      </c>
      <c r="K195" s="21">
        <f>I195+J195</f>
        <v>23410.73</v>
      </c>
      <c r="L195" s="25">
        <f>EDATE(C195,参数设置!$B$13)</f>
        <v>47067</v>
      </c>
      <c r="M195">
        <f>--(D195&gt;0)</f>
        <v>1</v>
      </c>
    </row>
    <row r="196" spans="1:13" ht="15" customHeight="1">
      <c r="A196">
        <v>17</v>
      </c>
      <c r="B196">
        <v>17</v>
      </c>
      <c r="C196" s="25">
        <f>INDEX(实际执行追踪!$A$7:$A$42,A196)+DAY(参数设置!$B$4)-1</f>
        <v>46731</v>
      </c>
      <c r="D196" s="21">
        <f>INDEX(实际执行追踪!$C$7:$C$42,A196)</f>
        <v>23400</v>
      </c>
      <c r="E196">
        <v>1</v>
      </c>
      <c r="F196" s="25">
        <f>IF(E196=1,C196,G195)</f>
        <v>46731</v>
      </c>
      <c r="G196" s="25">
        <f>IF(E196&lt;参数设置!$B$13,DATE(YEAR(EDATE(C196,E196+1)),MONTH(EDATE(C196,E196+1)),参数设置!$B$14),EDATE(C196,参数设置!$B$13))</f>
        <v>46788</v>
      </c>
      <c r="H196">
        <f>G196-F196</f>
        <v>57</v>
      </c>
      <c r="I196" s="21">
        <f>IF(E196=参数设置!$B$13,D196,0)</f>
        <v>0</v>
      </c>
      <c r="J196" s="21">
        <f>IF(M196=1,ROUND(D196*参数设置!$B$11*H196/参数设置!$B$12,参数设置!$B$15),0)</f>
        <v>122.27</v>
      </c>
      <c r="K196" s="21">
        <f>I196+J196</f>
        <v>122.27</v>
      </c>
      <c r="L196" s="25">
        <f>EDATE(C196,参数设置!$B$13)</f>
        <v>47097</v>
      </c>
      <c r="M196">
        <f>--(D196&gt;0)</f>
        <v>1</v>
      </c>
    </row>
    <row r="197" spans="1:13" ht="15" customHeight="1">
      <c r="A197">
        <v>17</v>
      </c>
      <c r="B197">
        <v>17</v>
      </c>
      <c r="C197" s="25">
        <f>INDEX(实际执行追踪!$A$7:$A$42,A197)+DAY(参数设置!$B$4)-1</f>
        <v>46731</v>
      </c>
      <c r="D197" s="21">
        <f>INDEX(实际执行追踪!$C$7:$C$42,A197)</f>
        <v>23400</v>
      </c>
      <c r="E197">
        <v>2</v>
      </c>
      <c r="F197" s="25">
        <f>IF(E197=1,C197,G196)</f>
        <v>46788</v>
      </c>
      <c r="G197" s="25">
        <f>IF(E197&lt;参数设置!$B$13,DATE(YEAR(EDATE(C197,E197+1)),MONTH(EDATE(C197,E197+1)),参数设置!$B$14),EDATE(C197,参数设置!$B$13))</f>
        <v>46817</v>
      </c>
      <c r="H197">
        <f>G197-F197</f>
        <v>29</v>
      </c>
      <c r="I197" s="21">
        <f>IF(E197=参数设置!$B$13,D197,0)</f>
        <v>0</v>
      </c>
      <c r="J197" s="21">
        <f>IF(M197=1,ROUND(D197*参数设置!$B$11*H197/参数设置!$B$12,参数设置!$B$15),0)</f>
        <v>62.21</v>
      </c>
      <c r="K197" s="21">
        <f>I197+J197</f>
        <v>62.21</v>
      </c>
      <c r="L197" s="25">
        <f>EDATE(C197,参数设置!$B$13)</f>
        <v>47097</v>
      </c>
      <c r="M197">
        <f>--(D197&gt;0)</f>
        <v>1</v>
      </c>
    </row>
    <row r="198" spans="1:13" ht="15" customHeight="1">
      <c r="A198">
        <v>17</v>
      </c>
      <c r="B198">
        <v>17</v>
      </c>
      <c r="C198" s="25">
        <f>INDEX(实际执行追踪!$A$7:$A$42,A198)+DAY(参数设置!$B$4)-1</f>
        <v>46731</v>
      </c>
      <c r="D198" s="21">
        <f>INDEX(实际执行追踪!$C$7:$C$42,A198)</f>
        <v>23400</v>
      </c>
      <c r="E198">
        <v>3</v>
      </c>
      <c r="F198" s="25">
        <f>IF(E198=1,C198,G197)</f>
        <v>46817</v>
      </c>
      <c r="G198" s="25">
        <f>IF(E198&lt;参数设置!$B$13,DATE(YEAR(EDATE(C198,E198+1)),MONTH(EDATE(C198,E198+1)),参数设置!$B$14),EDATE(C198,参数设置!$B$13))</f>
        <v>46848</v>
      </c>
      <c r="H198">
        <f>G198-F198</f>
        <v>31</v>
      </c>
      <c r="I198" s="21">
        <f>IF(E198=参数设置!$B$13,D198,0)</f>
        <v>0</v>
      </c>
      <c r="J198" s="21">
        <f>IF(M198=1,ROUND(D198*参数设置!$B$11*H198/参数设置!$B$12,参数设置!$B$15),0)</f>
        <v>66.5</v>
      </c>
      <c r="K198" s="21">
        <f>I198+J198</f>
        <v>66.5</v>
      </c>
      <c r="L198" s="25">
        <f>EDATE(C198,参数设置!$B$13)</f>
        <v>47097</v>
      </c>
      <c r="M198">
        <f>--(D198&gt;0)</f>
        <v>1</v>
      </c>
    </row>
    <row r="199" spans="1:13" ht="15" customHeight="1">
      <c r="A199">
        <v>17</v>
      </c>
      <c r="B199">
        <v>17</v>
      </c>
      <c r="C199" s="25">
        <f>INDEX(实际执行追踪!$A$7:$A$42,A199)+DAY(参数设置!$B$4)-1</f>
        <v>46731</v>
      </c>
      <c r="D199" s="21">
        <f>INDEX(实际执行追踪!$C$7:$C$42,A199)</f>
        <v>23400</v>
      </c>
      <c r="E199">
        <v>4</v>
      </c>
      <c r="F199" s="25">
        <f>IF(E199=1,C199,G198)</f>
        <v>46848</v>
      </c>
      <c r="G199" s="25">
        <f>IF(E199&lt;参数设置!$B$13,DATE(YEAR(EDATE(C199,E199+1)),MONTH(EDATE(C199,E199+1)),参数设置!$B$14),EDATE(C199,参数设置!$B$13))</f>
        <v>46878</v>
      </c>
      <c r="H199">
        <f>G199-F199</f>
        <v>30</v>
      </c>
      <c r="I199" s="21">
        <f>IF(E199=参数设置!$B$13,D199,0)</f>
        <v>0</v>
      </c>
      <c r="J199" s="21">
        <f>IF(M199=1,ROUND(D199*参数设置!$B$11*H199/参数设置!$B$12,参数设置!$B$15),0)</f>
        <v>64.349999999999994</v>
      </c>
      <c r="K199" s="21">
        <f>I199+J199</f>
        <v>64.349999999999994</v>
      </c>
      <c r="L199" s="25">
        <f>EDATE(C199,参数设置!$B$13)</f>
        <v>47097</v>
      </c>
      <c r="M199">
        <f>--(D199&gt;0)</f>
        <v>1</v>
      </c>
    </row>
    <row r="200" spans="1:13" ht="15" customHeight="1">
      <c r="A200">
        <v>17</v>
      </c>
      <c r="B200">
        <v>17</v>
      </c>
      <c r="C200" s="25">
        <f>INDEX(实际执行追踪!$A$7:$A$42,A200)+DAY(参数设置!$B$4)-1</f>
        <v>46731</v>
      </c>
      <c r="D200" s="21">
        <f>INDEX(实际执行追踪!$C$7:$C$42,A200)</f>
        <v>23400</v>
      </c>
      <c r="E200">
        <v>5</v>
      </c>
      <c r="F200" s="25">
        <f>IF(E200=1,C200,G199)</f>
        <v>46878</v>
      </c>
      <c r="G200" s="25">
        <f>IF(E200&lt;参数设置!$B$13,DATE(YEAR(EDATE(C200,E200+1)),MONTH(EDATE(C200,E200+1)),参数设置!$B$14),EDATE(C200,参数设置!$B$13))</f>
        <v>46909</v>
      </c>
      <c r="H200">
        <f>G200-F200</f>
        <v>31</v>
      </c>
      <c r="I200" s="21">
        <f>IF(E200=参数设置!$B$13,D200,0)</f>
        <v>0</v>
      </c>
      <c r="J200" s="21">
        <f>IF(M200=1,ROUND(D200*参数设置!$B$11*H200/参数设置!$B$12,参数设置!$B$15),0)</f>
        <v>66.5</v>
      </c>
      <c r="K200" s="21">
        <f>I200+J200</f>
        <v>66.5</v>
      </c>
      <c r="L200" s="25">
        <f>EDATE(C200,参数设置!$B$13)</f>
        <v>47097</v>
      </c>
      <c r="M200">
        <f>--(D200&gt;0)</f>
        <v>1</v>
      </c>
    </row>
    <row r="201" spans="1:13" ht="15" customHeight="1">
      <c r="A201">
        <v>17</v>
      </c>
      <c r="B201">
        <v>17</v>
      </c>
      <c r="C201" s="25">
        <f>INDEX(实际执行追踪!$A$7:$A$42,A201)+DAY(参数设置!$B$4)-1</f>
        <v>46731</v>
      </c>
      <c r="D201" s="21">
        <f>INDEX(实际执行追踪!$C$7:$C$42,A201)</f>
        <v>23400</v>
      </c>
      <c r="E201">
        <v>6</v>
      </c>
      <c r="F201" s="25">
        <f>IF(E201=1,C201,G200)</f>
        <v>46909</v>
      </c>
      <c r="G201" s="25">
        <f>IF(E201&lt;参数设置!$B$13,DATE(YEAR(EDATE(C201,E201+1)),MONTH(EDATE(C201,E201+1)),参数设置!$B$14),EDATE(C201,参数设置!$B$13))</f>
        <v>46939</v>
      </c>
      <c r="H201">
        <f>G201-F201</f>
        <v>30</v>
      </c>
      <c r="I201" s="21">
        <f>IF(E201=参数设置!$B$13,D201,0)</f>
        <v>0</v>
      </c>
      <c r="J201" s="21">
        <f>IF(M201=1,ROUND(D201*参数设置!$B$11*H201/参数设置!$B$12,参数设置!$B$15),0)</f>
        <v>64.349999999999994</v>
      </c>
      <c r="K201" s="21">
        <f>I201+J201</f>
        <v>64.349999999999994</v>
      </c>
      <c r="L201" s="25">
        <f>EDATE(C201,参数设置!$B$13)</f>
        <v>47097</v>
      </c>
      <c r="M201">
        <f>--(D201&gt;0)</f>
        <v>1</v>
      </c>
    </row>
    <row r="202" spans="1:13" ht="15" customHeight="1">
      <c r="A202">
        <v>17</v>
      </c>
      <c r="B202">
        <v>17</v>
      </c>
      <c r="C202" s="25">
        <f>INDEX(实际执行追踪!$A$7:$A$42,A202)+DAY(参数设置!$B$4)-1</f>
        <v>46731</v>
      </c>
      <c r="D202" s="21">
        <f>INDEX(实际执行追踪!$C$7:$C$42,A202)</f>
        <v>23400</v>
      </c>
      <c r="E202">
        <v>7</v>
      </c>
      <c r="F202" s="25">
        <f>IF(E202=1,C202,G201)</f>
        <v>46939</v>
      </c>
      <c r="G202" s="25">
        <f>IF(E202&lt;参数设置!$B$13,DATE(YEAR(EDATE(C202,E202+1)),MONTH(EDATE(C202,E202+1)),参数设置!$B$14),EDATE(C202,参数设置!$B$13))</f>
        <v>46970</v>
      </c>
      <c r="H202">
        <f>G202-F202</f>
        <v>31</v>
      </c>
      <c r="I202" s="21">
        <f>IF(E202=参数设置!$B$13,D202,0)</f>
        <v>0</v>
      </c>
      <c r="J202" s="21">
        <f>IF(M202=1,ROUND(D202*参数设置!$B$11*H202/参数设置!$B$12,参数设置!$B$15),0)</f>
        <v>66.5</v>
      </c>
      <c r="K202" s="21">
        <f>I202+J202</f>
        <v>66.5</v>
      </c>
      <c r="L202" s="25">
        <f>EDATE(C202,参数设置!$B$13)</f>
        <v>47097</v>
      </c>
      <c r="M202">
        <f>--(D202&gt;0)</f>
        <v>1</v>
      </c>
    </row>
    <row r="203" spans="1:13" ht="15" customHeight="1">
      <c r="A203">
        <v>17</v>
      </c>
      <c r="B203">
        <v>17</v>
      </c>
      <c r="C203" s="25">
        <f>INDEX(实际执行追踪!$A$7:$A$42,A203)+DAY(参数设置!$B$4)-1</f>
        <v>46731</v>
      </c>
      <c r="D203" s="21">
        <f>INDEX(实际执行追踪!$C$7:$C$42,A203)</f>
        <v>23400</v>
      </c>
      <c r="E203">
        <v>8</v>
      </c>
      <c r="F203" s="25">
        <f>IF(E203=1,C203,G202)</f>
        <v>46970</v>
      </c>
      <c r="G203" s="25">
        <f>IF(E203&lt;参数设置!$B$13,DATE(YEAR(EDATE(C203,E203+1)),MONTH(EDATE(C203,E203+1)),参数设置!$B$14),EDATE(C203,参数设置!$B$13))</f>
        <v>47001</v>
      </c>
      <c r="H203">
        <f>G203-F203</f>
        <v>31</v>
      </c>
      <c r="I203" s="21">
        <f>IF(E203=参数设置!$B$13,D203,0)</f>
        <v>0</v>
      </c>
      <c r="J203" s="21">
        <f>IF(M203=1,ROUND(D203*参数设置!$B$11*H203/参数设置!$B$12,参数设置!$B$15),0)</f>
        <v>66.5</v>
      </c>
      <c r="K203" s="21">
        <f>I203+J203</f>
        <v>66.5</v>
      </c>
      <c r="L203" s="25">
        <f>EDATE(C203,参数设置!$B$13)</f>
        <v>47097</v>
      </c>
      <c r="M203">
        <f>--(D203&gt;0)</f>
        <v>1</v>
      </c>
    </row>
    <row r="204" spans="1:13" ht="15" customHeight="1">
      <c r="A204">
        <v>17</v>
      </c>
      <c r="B204">
        <v>17</v>
      </c>
      <c r="C204" s="25">
        <f>INDEX(实际执行追踪!$A$7:$A$42,A204)+DAY(参数设置!$B$4)-1</f>
        <v>46731</v>
      </c>
      <c r="D204" s="21">
        <f>INDEX(实际执行追踪!$C$7:$C$42,A204)</f>
        <v>23400</v>
      </c>
      <c r="E204">
        <v>9</v>
      </c>
      <c r="F204" s="25">
        <f>IF(E204=1,C204,G203)</f>
        <v>47001</v>
      </c>
      <c r="G204" s="25">
        <f>IF(E204&lt;参数设置!$B$13,DATE(YEAR(EDATE(C204,E204+1)),MONTH(EDATE(C204,E204+1)),参数设置!$B$14),EDATE(C204,参数设置!$B$13))</f>
        <v>47031</v>
      </c>
      <c r="H204">
        <f>G204-F204</f>
        <v>30</v>
      </c>
      <c r="I204" s="21">
        <f>IF(E204=参数设置!$B$13,D204,0)</f>
        <v>0</v>
      </c>
      <c r="J204" s="21">
        <f>IF(M204=1,ROUND(D204*参数设置!$B$11*H204/参数设置!$B$12,参数设置!$B$15),0)</f>
        <v>64.349999999999994</v>
      </c>
      <c r="K204" s="21">
        <f>I204+J204</f>
        <v>64.349999999999994</v>
      </c>
      <c r="L204" s="25">
        <f>EDATE(C204,参数设置!$B$13)</f>
        <v>47097</v>
      </c>
      <c r="M204">
        <f>--(D204&gt;0)</f>
        <v>1</v>
      </c>
    </row>
    <row r="205" spans="1:13" ht="15" customHeight="1">
      <c r="A205">
        <v>17</v>
      </c>
      <c r="B205">
        <v>17</v>
      </c>
      <c r="C205" s="25">
        <f>INDEX(实际执行追踪!$A$7:$A$42,A205)+DAY(参数设置!$B$4)-1</f>
        <v>46731</v>
      </c>
      <c r="D205" s="21">
        <f>INDEX(实际执行追踪!$C$7:$C$42,A205)</f>
        <v>23400</v>
      </c>
      <c r="E205">
        <v>10</v>
      </c>
      <c r="F205" s="25">
        <f>IF(E205=1,C205,G204)</f>
        <v>47031</v>
      </c>
      <c r="G205" s="25">
        <f>IF(E205&lt;参数设置!$B$13,DATE(YEAR(EDATE(C205,E205+1)),MONTH(EDATE(C205,E205+1)),参数设置!$B$14),EDATE(C205,参数设置!$B$13))</f>
        <v>47062</v>
      </c>
      <c r="H205">
        <f>G205-F205</f>
        <v>31</v>
      </c>
      <c r="I205" s="21">
        <f>IF(E205=参数设置!$B$13,D205,0)</f>
        <v>0</v>
      </c>
      <c r="J205" s="21">
        <f>IF(M205=1,ROUND(D205*参数设置!$B$11*H205/参数设置!$B$12,参数设置!$B$15),0)</f>
        <v>66.5</v>
      </c>
      <c r="K205" s="21">
        <f>I205+J205</f>
        <v>66.5</v>
      </c>
      <c r="L205" s="25">
        <f>EDATE(C205,参数设置!$B$13)</f>
        <v>47097</v>
      </c>
      <c r="M205">
        <f>--(D205&gt;0)</f>
        <v>1</v>
      </c>
    </row>
    <row r="206" spans="1:13" ht="15" customHeight="1">
      <c r="A206">
        <v>17</v>
      </c>
      <c r="B206">
        <v>17</v>
      </c>
      <c r="C206" s="25">
        <f>INDEX(实际执行追踪!$A$7:$A$42,A206)+DAY(参数设置!$B$4)-1</f>
        <v>46731</v>
      </c>
      <c r="D206" s="21">
        <f>INDEX(实际执行追踪!$C$7:$C$42,A206)</f>
        <v>23400</v>
      </c>
      <c r="E206">
        <v>11</v>
      </c>
      <c r="F206" s="25">
        <f>IF(E206=1,C206,G205)</f>
        <v>47062</v>
      </c>
      <c r="G206" s="25">
        <f>IF(E206&lt;参数设置!$B$13,DATE(YEAR(EDATE(C206,E206+1)),MONTH(EDATE(C206,E206+1)),参数设置!$B$14),EDATE(C206,参数设置!$B$13))</f>
        <v>47092</v>
      </c>
      <c r="H206">
        <f>G206-F206</f>
        <v>30</v>
      </c>
      <c r="I206" s="21">
        <f>IF(E206=参数设置!$B$13,D206,0)</f>
        <v>0</v>
      </c>
      <c r="J206" s="21">
        <f>IF(M206=1,ROUND(D206*参数设置!$B$11*H206/参数设置!$B$12,参数设置!$B$15),0)</f>
        <v>64.349999999999994</v>
      </c>
      <c r="K206" s="21">
        <f>I206+J206</f>
        <v>64.349999999999994</v>
      </c>
      <c r="L206" s="25">
        <f>EDATE(C206,参数设置!$B$13)</f>
        <v>47097</v>
      </c>
      <c r="M206">
        <f>--(D206&gt;0)</f>
        <v>1</v>
      </c>
    </row>
    <row r="207" spans="1:13" ht="15" customHeight="1">
      <c r="A207">
        <v>17</v>
      </c>
      <c r="B207">
        <v>17</v>
      </c>
      <c r="C207" s="25">
        <f>INDEX(实际执行追踪!$A$7:$A$42,A207)+DAY(参数设置!$B$4)-1</f>
        <v>46731</v>
      </c>
      <c r="D207" s="21">
        <f>INDEX(实际执行追踪!$C$7:$C$42,A207)</f>
        <v>23400</v>
      </c>
      <c r="E207">
        <v>12</v>
      </c>
      <c r="F207" s="25">
        <f>IF(E207=1,C207,G206)</f>
        <v>47092</v>
      </c>
      <c r="G207" s="25">
        <f>IF(E207&lt;参数设置!$B$13,DATE(YEAR(EDATE(C207,E207+1)),MONTH(EDATE(C207,E207+1)),参数设置!$B$14),EDATE(C207,参数设置!$B$13))</f>
        <v>47097</v>
      </c>
      <c r="H207">
        <f>G207-F207</f>
        <v>5</v>
      </c>
      <c r="I207" s="21">
        <f>IF(E207=参数设置!$B$13,D207,0)</f>
        <v>23400</v>
      </c>
      <c r="J207" s="21">
        <f>IF(M207=1,ROUND(D207*参数设置!$B$11*H207/参数设置!$B$12,参数设置!$B$15),0)</f>
        <v>10.73</v>
      </c>
      <c r="K207" s="21">
        <f>I207+J207</f>
        <v>23410.73</v>
      </c>
      <c r="L207" s="25">
        <f>EDATE(C207,参数设置!$B$13)</f>
        <v>47097</v>
      </c>
      <c r="M207">
        <f>--(D207&gt;0)</f>
        <v>1</v>
      </c>
    </row>
    <row r="208" spans="1:13" ht="15" customHeight="1">
      <c r="A208">
        <v>18</v>
      </c>
      <c r="B208">
        <v>18</v>
      </c>
      <c r="C208" s="25">
        <f>INDEX(实际执行追踪!$A$7:$A$42,A208)+DAY(参数设置!$B$4)-1</f>
        <v>46762</v>
      </c>
      <c r="D208" s="21">
        <f>INDEX(实际执行追踪!$C$7:$C$42,A208)</f>
        <v>23400</v>
      </c>
      <c r="E208">
        <v>1</v>
      </c>
      <c r="F208" s="25">
        <f>IF(E208=1,C208,G207)</f>
        <v>46762</v>
      </c>
      <c r="G208" s="25">
        <f>IF(E208&lt;参数设置!$B$13,DATE(YEAR(EDATE(C208,E208+1)),MONTH(EDATE(C208,E208+1)),参数设置!$B$14),EDATE(C208,参数设置!$B$13))</f>
        <v>46817</v>
      </c>
      <c r="H208">
        <f>G208-F208</f>
        <v>55</v>
      </c>
      <c r="I208" s="21">
        <f>IF(E208=参数设置!$B$13,D208,0)</f>
        <v>0</v>
      </c>
      <c r="J208" s="21">
        <f>IF(M208=1,ROUND(D208*参数设置!$B$11*H208/参数设置!$B$12,参数设置!$B$15),0)</f>
        <v>117.98</v>
      </c>
      <c r="K208" s="21">
        <f>I208+J208</f>
        <v>117.98</v>
      </c>
      <c r="L208" s="25">
        <f>EDATE(C208,参数设置!$B$13)</f>
        <v>47128</v>
      </c>
      <c r="M208">
        <f>--(D208&gt;0)</f>
        <v>1</v>
      </c>
    </row>
    <row r="209" spans="1:13" ht="15" customHeight="1">
      <c r="A209">
        <v>18</v>
      </c>
      <c r="B209">
        <v>18</v>
      </c>
      <c r="C209" s="25">
        <f>INDEX(实际执行追踪!$A$7:$A$42,A209)+DAY(参数设置!$B$4)-1</f>
        <v>46762</v>
      </c>
      <c r="D209" s="21">
        <f>INDEX(实际执行追踪!$C$7:$C$42,A209)</f>
        <v>23400</v>
      </c>
      <c r="E209">
        <v>2</v>
      </c>
      <c r="F209" s="25">
        <f>IF(E209=1,C209,G208)</f>
        <v>46817</v>
      </c>
      <c r="G209" s="25">
        <f>IF(E209&lt;参数设置!$B$13,DATE(YEAR(EDATE(C209,E209+1)),MONTH(EDATE(C209,E209+1)),参数设置!$B$14),EDATE(C209,参数设置!$B$13))</f>
        <v>46848</v>
      </c>
      <c r="H209">
        <f>G209-F209</f>
        <v>31</v>
      </c>
      <c r="I209" s="21">
        <f>IF(E209=参数设置!$B$13,D209,0)</f>
        <v>0</v>
      </c>
      <c r="J209" s="21">
        <f>IF(M209=1,ROUND(D209*参数设置!$B$11*H209/参数设置!$B$12,参数设置!$B$15),0)</f>
        <v>66.5</v>
      </c>
      <c r="K209" s="21">
        <f>I209+J209</f>
        <v>66.5</v>
      </c>
      <c r="L209" s="25">
        <f>EDATE(C209,参数设置!$B$13)</f>
        <v>47128</v>
      </c>
      <c r="M209">
        <f>--(D209&gt;0)</f>
        <v>1</v>
      </c>
    </row>
    <row r="210" spans="1:13" ht="15" customHeight="1">
      <c r="A210">
        <v>18</v>
      </c>
      <c r="B210">
        <v>18</v>
      </c>
      <c r="C210" s="25">
        <f>INDEX(实际执行追踪!$A$7:$A$42,A210)+DAY(参数设置!$B$4)-1</f>
        <v>46762</v>
      </c>
      <c r="D210" s="21">
        <f>INDEX(实际执行追踪!$C$7:$C$42,A210)</f>
        <v>23400</v>
      </c>
      <c r="E210">
        <v>3</v>
      </c>
      <c r="F210" s="25">
        <f>IF(E210=1,C210,G209)</f>
        <v>46848</v>
      </c>
      <c r="G210" s="25">
        <f>IF(E210&lt;参数设置!$B$13,DATE(YEAR(EDATE(C210,E210+1)),MONTH(EDATE(C210,E210+1)),参数设置!$B$14),EDATE(C210,参数设置!$B$13))</f>
        <v>46878</v>
      </c>
      <c r="H210">
        <f>G210-F210</f>
        <v>30</v>
      </c>
      <c r="I210" s="21">
        <f>IF(E210=参数设置!$B$13,D210,0)</f>
        <v>0</v>
      </c>
      <c r="J210" s="21">
        <f>IF(M210=1,ROUND(D210*参数设置!$B$11*H210/参数设置!$B$12,参数设置!$B$15),0)</f>
        <v>64.349999999999994</v>
      </c>
      <c r="K210" s="21">
        <f>I210+J210</f>
        <v>64.349999999999994</v>
      </c>
      <c r="L210" s="25">
        <f>EDATE(C210,参数设置!$B$13)</f>
        <v>47128</v>
      </c>
      <c r="M210">
        <f>--(D210&gt;0)</f>
        <v>1</v>
      </c>
    </row>
    <row r="211" spans="1:13" ht="15" customHeight="1">
      <c r="A211">
        <v>18</v>
      </c>
      <c r="B211">
        <v>18</v>
      </c>
      <c r="C211" s="25">
        <f>INDEX(实际执行追踪!$A$7:$A$42,A211)+DAY(参数设置!$B$4)-1</f>
        <v>46762</v>
      </c>
      <c r="D211" s="21">
        <f>INDEX(实际执行追踪!$C$7:$C$42,A211)</f>
        <v>23400</v>
      </c>
      <c r="E211">
        <v>4</v>
      </c>
      <c r="F211" s="25">
        <f>IF(E211=1,C211,G210)</f>
        <v>46878</v>
      </c>
      <c r="G211" s="25">
        <f>IF(E211&lt;参数设置!$B$13,DATE(YEAR(EDATE(C211,E211+1)),MONTH(EDATE(C211,E211+1)),参数设置!$B$14),EDATE(C211,参数设置!$B$13))</f>
        <v>46909</v>
      </c>
      <c r="H211">
        <f>G211-F211</f>
        <v>31</v>
      </c>
      <c r="I211" s="21">
        <f>IF(E211=参数设置!$B$13,D211,0)</f>
        <v>0</v>
      </c>
      <c r="J211" s="21">
        <f>IF(M211=1,ROUND(D211*参数设置!$B$11*H211/参数设置!$B$12,参数设置!$B$15),0)</f>
        <v>66.5</v>
      </c>
      <c r="K211" s="21">
        <f>I211+J211</f>
        <v>66.5</v>
      </c>
      <c r="L211" s="25">
        <f>EDATE(C211,参数设置!$B$13)</f>
        <v>47128</v>
      </c>
      <c r="M211">
        <f>--(D211&gt;0)</f>
        <v>1</v>
      </c>
    </row>
    <row r="212" spans="1:13" ht="15" customHeight="1">
      <c r="A212">
        <v>18</v>
      </c>
      <c r="B212">
        <v>18</v>
      </c>
      <c r="C212" s="25">
        <f>INDEX(实际执行追踪!$A$7:$A$42,A212)+DAY(参数设置!$B$4)-1</f>
        <v>46762</v>
      </c>
      <c r="D212" s="21">
        <f>INDEX(实际执行追踪!$C$7:$C$42,A212)</f>
        <v>23400</v>
      </c>
      <c r="E212">
        <v>5</v>
      </c>
      <c r="F212" s="25">
        <f>IF(E212=1,C212,G211)</f>
        <v>46909</v>
      </c>
      <c r="G212" s="25">
        <f>IF(E212&lt;参数设置!$B$13,DATE(YEAR(EDATE(C212,E212+1)),MONTH(EDATE(C212,E212+1)),参数设置!$B$14),EDATE(C212,参数设置!$B$13))</f>
        <v>46939</v>
      </c>
      <c r="H212">
        <f>G212-F212</f>
        <v>30</v>
      </c>
      <c r="I212" s="21">
        <f>IF(E212=参数设置!$B$13,D212,0)</f>
        <v>0</v>
      </c>
      <c r="J212" s="21">
        <f>IF(M212=1,ROUND(D212*参数设置!$B$11*H212/参数设置!$B$12,参数设置!$B$15),0)</f>
        <v>64.349999999999994</v>
      </c>
      <c r="K212" s="21">
        <f>I212+J212</f>
        <v>64.349999999999994</v>
      </c>
      <c r="L212" s="25">
        <f>EDATE(C212,参数设置!$B$13)</f>
        <v>47128</v>
      </c>
      <c r="M212">
        <f>--(D212&gt;0)</f>
        <v>1</v>
      </c>
    </row>
    <row r="213" spans="1:13" ht="15" customHeight="1">
      <c r="A213">
        <v>18</v>
      </c>
      <c r="B213">
        <v>18</v>
      </c>
      <c r="C213" s="25">
        <f>INDEX(实际执行追踪!$A$7:$A$42,A213)+DAY(参数设置!$B$4)-1</f>
        <v>46762</v>
      </c>
      <c r="D213" s="21">
        <f>INDEX(实际执行追踪!$C$7:$C$42,A213)</f>
        <v>23400</v>
      </c>
      <c r="E213">
        <v>6</v>
      </c>
      <c r="F213" s="25">
        <f>IF(E213=1,C213,G212)</f>
        <v>46939</v>
      </c>
      <c r="G213" s="25">
        <f>IF(E213&lt;参数设置!$B$13,DATE(YEAR(EDATE(C213,E213+1)),MONTH(EDATE(C213,E213+1)),参数设置!$B$14),EDATE(C213,参数设置!$B$13))</f>
        <v>46970</v>
      </c>
      <c r="H213">
        <f>G213-F213</f>
        <v>31</v>
      </c>
      <c r="I213" s="21">
        <f>IF(E213=参数设置!$B$13,D213,0)</f>
        <v>0</v>
      </c>
      <c r="J213" s="21">
        <f>IF(M213=1,ROUND(D213*参数设置!$B$11*H213/参数设置!$B$12,参数设置!$B$15),0)</f>
        <v>66.5</v>
      </c>
      <c r="K213" s="21">
        <f>I213+J213</f>
        <v>66.5</v>
      </c>
      <c r="L213" s="25">
        <f>EDATE(C213,参数设置!$B$13)</f>
        <v>47128</v>
      </c>
      <c r="M213">
        <f>--(D213&gt;0)</f>
        <v>1</v>
      </c>
    </row>
    <row r="214" spans="1:13" ht="15" customHeight="1">
      <c r="A214">
        <v>18</v>
      </c>
      <c r="B214">
        <v>18</v>
      </c>
      <c r="C214" s="25">
        <f>INDEX(实际执行追踪!$A$7:$A$42,A214)+DAY(参数设置!$B$4)-1</f>
        <v>46762</v>
      </c>
      <c r="D214" s="21">
        <f>INDEX(实际执行追踪!$C$7:$C$42,A214)</f>
        <v>23400</v>
      </c>
      <c r="E214">
        <v>7</v>
      </c>
      <c r="F214" s="25">
        <f>IF(E214=1,C214,G213)</f>
        <v>46970</v>
      </c>
      <c r="G214" s="25">
        <f>IF(E214&lt;参数设置!$B$13,DATE(YEAR(EDATE(C214,E214+1)),MONTH(EDATE(C214,E214+1)),参数设置!$B$14),EDATE(C214,参数设置!$B$13))</f>
        <v>47001</v>
      </c>
      <c r="H214">
        <f>G214-F214</f>
        <v>31</v>
      </c>
      <c r="I214" s="21">
        <f>IF(E214=参数设置!$B$13,D214,0)</f>
        <v>0</v>
      </c>
      <c r="J214" s="21">
        <f>IF(M214=1,ROUND(D214*参数设置!$B$11*H214/参数设置!$B$12,参数设置!$B$15),0)</f>
        <v>66.5</v>
      </c>
      <c r="K214" s="21">
        <f>I214+J214</f>
        <v>66.5</v>
      </c>
      <c r="L214" s="25">
        <f>EDATE(C214,参数设置!$B$13)</f>
        <v>47128</v>
      </c>
      <c r="M214">
        <f>--(D214&gt;0)</f>
        <v>1</v>
      </c>
    </row>
    <row r="215" spans="1:13" ht="15" customHeight="1">
      <c r="A215">
        <v>18</v>
      </c>
      <c r="B215">
        <v>18</v>
      </c>
      <c r="C215" s="25">
        <f>INDEX(实际执行追踪!$A$7:$A$42,A215)+DAY(参数设置!$B$4)-1</f>
        <v>46762</v>
      </c>
      <c r="D215" s="21">
        <f>INDEX(实际执行追踪!$C$7:$C$42,A215)</f>
        <v>23400</v>
      </c>
      <c r="E215">
        <v>8</v>
      </c>
      <c r="F215" s="25">
        <f>IF(E215=1,C215,G214)</f>
        <v>47001</v>
      </c>
      <c r="G215" s="25">
        <f>IF(E215&lt;参数设置!$B$13,DATE(YEAR(EDATE(C215,E215+1)),MONTH(EDATE(C215,E215+1)),参数设置!$B$14),EDATE(C215,参数设置!$B$13))</f>
        <v>47031</v>
      </c>
      <c r="H215">
        <f>G215-F215</f>
        <v>30</v>
      </c>
      <c r="I215" s="21">
        <f>IF(E215=参数设置!$B$13,D215,0)</f>
        <v>0</v>
      </c>
      <c r="J215" s="21">
        <f>IF(M215=1,ROUND(D215*参数设置!$B$11*H215/参数设置!$B$12,参数设置!$B$15),0)</f>
        <v>64.349999999999994</v>
      </c>
      <c r="K215" s="21">
        <f>I215+J215</f>
        <v>64.349999999999994</v>
      </c>
      <c r="L215" s="25">
        <f>EDATE(C215,参数设置!$B$13)</f>
        <v>47128</v>
      </c>
      <c r="M215">
        <f>--(D215&gt;0)</f>
        <v>1</v>
      </c>
    </row>
    <row r="216" spans="1:13" ht="15" customHeight="1">
      <c r="A216">
        <v>18</v>
      </c>
      <c r="B216">
        <v>18</v>
      </c>
      <c r="C216" s="25">
        <f>INDEX(实际执行追踪!$A$7:$A$42,A216)+DAY(参数设置!$B$4)-1</f>
        <v>46762</v>
      </c>
      <c r="D216" s="21">
        <f>INDEX(实际执行追踪!$C$7:$C$42,A216)</f>
        <v>23400</v>
      </c>
      <c r="E216">
        <v>9</v>
      </c>
      <c r="F216" s="25">
        <f>IF(E216=1,C216,G215)</f>
        <v>47031</v>
      </c>
      <c r="G216" s="25">
        <f>IF(E216&lt;参数设置!$B$13,DATE(YEAR(EDATE(C216,E216+1)),MONTH(EDATE(C216,E216+1)),参数设置!$B$14),EDATE(C216,参数设置!$B$13))</f>
        <v>47062</v>
      </c>
      <c r="H216">
        <f>G216-F216</f>
        <v>31</v>
      </c>
      <c r="I216" s="21">
        <f>IF(E216=参数设置!$B$13,D216,0)</f>
        <v>0</v>
      </c>
      <c r="J216" s="21">
        <f>IF(M216=1,ROUND(D216*参数设置!$B$11*H216/参数设置!$B$12,参数设置!$B$15),0)</f>
        <v>66.5</v>
      </c>
      <c r="K216" s="21">
        <f>I216+J216</f>
        <v>66.5</v>
      </c>
      <c r="L216" s="25">
        <f>EDATE(C216,参数设置!$B$13)</f>
        <v>47128</v>
      </c>
      <c r="M216">
        <f>--(D216&gt;0)</f>
        <v>1</v>
      </c>
    </row>
    <row r="217" spans="1:13" ht="15" customHeight="1">
      <c r="A217">
        <v>18</v>
      </c>
      <c r="B217">
        <v>18</v>
      </c>
      <c r="C217" s="25">
        <f>INDEX(实际执行追踪!$A$7:$A$42,A217)+DAY(参数设置!$B$4)-1</f>
        <v>46762</v>
      </c>
      <c r="D217" s="21">
        <f>INDEX(实际执行追踪!$C$7:$C$42,A217)</f>
        <v>23400</v>
      </c>
      <c r="E217">
        <v>10</v>
      </c>
      <c r="F217" s="25">
        <f>IF(E217=1,C217,G216)</f>
        <v>47062</v>
      </c>
      <c r="G217" s="25">
        <f>IF(E217&lt;参数设置!$B$13,DATE(YEAR(EDATE(C217,E217+1)),MONTH(EDATE(C217,E217+1)),参数设置!$B$14),EDATE(C217,参数设置!$B$13))</f>
        <v>47092</v>
      </c>
      <c r="H217">
        <f>G217-F217</f>
        <v>30</v>
      </c>
      <c r="I217" s="21">
        <f>IF(E217=参数设置!$B$13,D217,0)</f>
        <v>0</v>
      </c>
      <c r="J217" s="21">
        <f>IF(M217=1,ROUND(D217*参数设置!$B$11*H217/参数设置!$B$12,参数设置!$B$15),0)</f>
        <v>64.349999999999994</v>
      </c>
      <c r="K217" s="21">
        <f>I217+J217</f>
        <v>64.349999999999994</v>
      </c>
      <c r="L217" s="25">
        <f>EDATE(C217,参数设置!$B$13)</f>
        <v>47128</v>
      </c>
      <c r="M217">
        <f>--(D217&gt;0)</f>
        <v>1</v>
      </c>
    </row>
    <row r="218" spans="1:13" ht="15" customHeight="1">
      <c r="A218">
        <v>18</v>
      </c>
      <c r="B218">
        <v>18</v>
      </c>
      <c r="C218" s="25">
        <f>INDEX(实际执行追踪!$A$7:$A$42,A218)+DAY(参数设置!$B$4)-1</f>
        <v>46762</v>
      </c>
      <c r="D218" s="21">
        <f>INDEX(实际执行追踪!$C$7:$C$42,A218)</f>
        <v>23400</v>
      </c>
      <c r="E218">
        <v>11</v>
      </c>
      <c r="F218" s="25">
        <f>IF(E218=1,C218,G217)</f>
        <v>47092</v>
      </c>
      <c r="G218" s="25">
        <f>IF(E218&lt;参数设置!$B$13,DATE(YEAR(EDATE(C218,E218+1)),MONTH(EDATE(C218,E218+1)),参数设置!$B$14),EDATE(C218,参数设置!$B$13))</f>
        <v>47123</v>
      </c>
      <c r="H218">
        <f>G218-F218</f>
        <v>31</v>
      </c>
      <c r="I218" s="21">
        <f>IF(E218=参数设置!$B$13,D218,0)</f>
        <v>0</v>
      </c>
      <c r="J218" s="21">
        <f>IF(M218=1,ROUND(D218*参数设置!$B$11*H218/参数设置!$B$12,参数设置!$B$15),0)</f>
        <v>66.5</v>
      </c>
      <c r="K218" s="21">
        <f>I218+J218</f>
        <v>66.5</v>
      </c>
      <c r="L218" s="25">
        <f>EDATE(C218,参数设置!$B$13)</f>
        <v>47128</v>
      </c>
      <c r="M218">
        <f>--(D218&gt;0)</f>
        <v>1</v>
      </c>
    </row>
    <row r="219" spans="1:13" ht="15" customHeight="1">
      <c r="A219">
        <v>18</v>
      </c>
      <c r="B219">
        <v>18</v>
      </c>
      <c r="C219" s="25">
        <f>INDEX(实际执行追踪!$A$7:$A$42,A219)+DAY(参数设置!$B$4)-1</f>
        <v>46762</v>
      </c>
      <c r="D219" s="21">
        <f>INDEX(实际执行追踪!$C$7:$C$42,A219)</f>
        <v>23400</v>
      </c>
      <c r="E219">
        <v>12</v>
      </c>
      <c r="F219" s="25">
        <f>IF(E219=1,C219,G218)</f>
        <v>47123</v>
      </c>
      <c r="G219" s="25">
        <f>IF(E219&lt;参数设置!$B$13,DATE(YEAR(EDATE(C219,E219+1)),MONTH(EDATE(C219,E219+1)),参数设置!$B$14),EDATE(C219,参数设置!$B$13))</f>
        <v>47128</v>
      </c>
      <c r="H219">
        <f>G219-F219</f>
        <v>5</v>
      </c>
      <c r="I219" s="21">
        <f>IF(E219=参数设置!$B$13,D219,0)</f>
        <v>23400</v>
      </c>
      <c r="J219" s="21">
        <f>IF(M219=1,ROUND(D219*参数设置!$B$11*H219/参数设置!$B$12,参数设置!$B$15),0)</f>
        <v>10.73</v>
      </c>
      <c r="K219" s="21">
        <f>I219+J219</f>
        <v>23410.73</v>
      </c>
      <c r="L219" s="25">
        <f>EDATE(C219,参数设置!$B$13)</f>
        <v>47128</v>
      </c>
      <c r="M219">
        <f>--(D219&gt;0)</f>
        <v>1</v>
      </c>
    </row>
    <row r="220" spans="1:13" ht="15" customHeight="1">
      <c r="A220">
        <v>19</v>
      </c>
      <c r="B220">
        <v>19</v>
      </c>
      <c r="C220" s="25">
        <f>INDEX(实际执行追踪!$A$7:$A$42,A220)+DAY(参数设置!$B$4)-1</f>
        <v>46793</v>
      </c>
      <c r="D220" s="21">
        <f>INDEX(实际执行追踪!$C$7:$C$42,A220)</f>
        <v>23400</v>
      </c>
      <c r="E220">
        <v>1</v>
      </c>
      <c r="F220" s="25">
        <f>IF(E220=1,C220,G219)</f>
        <v>46793</v>
      </c>
      <c r="G220" s="25">
        <f>IF(E220&lt;参数设置!$B$13,DATE(YEAR(EDATE(C220,E220+1)),MONTH(EDATE(C220,E220+1)),参数设置!$B$14),EDATE(C220,参数设置!$B$13))</f>
        <v>46848</v>
      </c>
      <c r="H220">
        <f>G220-F220</f>
        <v>55</v>
      </c>
      <c r="I220" s="21">
        <f>IF(E220=参数设置!$B$13,D220,0)</f>
        <v>0</v>
      </c>
      <c r="J220" s="21">
        <f>IF(M220=1,ROUND(D220*参数设置!$B$11*H220/参数设置!$B$12,参数设置!$B$15),0)</f>
        <v>117.98</v>
      </c>
      <c r="K220" s="21">
        <f>I220+J220</f>
        <v>117.98</v>
      </c>
      <c r="L220" s="25">
        <f>EDATE(C220,参数设置!$B$13)</f>
        <v>47159</v>
      </c>
      <c r="M220">
        <f>--(D220&gt;0)</f>
        <v>1</v>
      </c>
    </row>
    <row r="221" spans="1:13" ht="15" customHeight="1">
      <c r="A221">
        <v>19</v>
      </c>
      <c r="B221">
        <v>19</v>
      </c>
      <c r="C221" s="25">
        <f>INDEX(实际执行追踪!$A$7:$A$42,A221)+DAY(参数设置!$B$4)-1</f>
        <v>46793</v>
      </c>
      <c r="D221" s="21">
        <f>INDEX(实际执行追踪!$C$7:$C$42,A221)</f>
        <v>23400</v>
      </c>
      <c r="E221">
        <v>2</v>
      </c>
      <c r="F221" s="25">
        <f>IF(E221=1,C221,G220)</f>
        <v>46848</v>
      </c>
      <c r="G221" s="25">
        <f>IF(E221&lt;参数设置!$B$13,DATE(YEAR(EDATE(C221,E221+1)),MONTH(EDATE(C221,E221+1)),参数设置!$B$14),EDATE(C221,参数设置!$B$13))</f>
        <v>46878</v>
      </c>
      <c r="H221">
        <f>G221-F221</f>
        <v>30</v>
      </c>
      <c r="I221" s="21">
        <f>IF(E221=参数设置!$B$13,D221,0)</f>
        <v>0</v>
      </c>
      <c r="J221" s="21">
        <f>IF(M221=1,ROUND(D221*参数设置!$B$11*H221/参数设置!$B$12,参数设置!$B$15),0)</f>
        <v>64.349999999999994</v>
      </c>
      <c r="K221" s="21">
        <f>I221+J221</f>
        <v>64.349999999999994</v>
      </c>
      <c r="L221" s="25">
        <f>EDATE(C221,参数设置!$B$13)</f>
        <v>47159</v>
      </c>
      <c r="M221">
        <f>--(D221&gt;0)</f>
        <v>1</v>
      </c>
    </row>
    <row r="222" spans="1:13" ht="15" customHeight="1">
      <c r="A222">
        <v>19</v>
      </c>
      <c r="B222">
        <v>19</v>
      </c>
      <c r="C222" s="25">
        <f>INDEX(实际执行追踪!$A$7:$A$42,A222)+DAY(参数设置!$B$4)-1</f>
        <v>46793</v>
      </c>
      <c r="D222" s="21">
        <f>INDEX(实际执行追踪!$C$7:$C$42,A222)</f>
        <v>23400</v>
      </c>
      <c r="E222">
        <v>3</v>
      </c>
      <c r="F222" s="25">
        <f>IF(E222=1,C222,G221)</f>
        <v>46878</v>
      </c>
      <c r="G222" s="25">
        <f>IF(E222&lt;参数设置!$B$13,DATE(YEAR(EDATE(C222,E222+1)),MONTH(EDATE(C222,E222+1)),参数设置!$B$14),EDATE(C222,参数设置!$B$13))</f>
        <v>46909</v>
      </c>
      <c r="H222">
        <f>G222-F222</f>
        <v>31</v>
      </c>
      <c r="I222" s="21">
        <f>IF(E222=参数设置!$B$13,D222,0)</f>
        <v>0</v>
      </c>
      <c r="J222" s="21">
        <f>IF(M222=1,ROUND(D222*参数设置!$B$11*H222/参数设置!$B$12,参数设置!$B$15),0)</f>
        <v>66.5</v>
      </c>
      <c r="K222" s="21">
        <f>I222+J222</f>
        <v>66.5</v>
      </c>
      <c r="L222" s="25">
        <f>EDATE(C222,参数设置!$B$13)</f>
        <v>47159</v>
      </c>
      <c r="M222">
        <f>--(D222&gt;0)</f>
        <v>1</v>
      </c>
    </row>
    <row r="223" spans="1:13" ht="15" customHeight="1">
      <c r="A223">
        <v>19</v>
      </c>
      <c r="B223">
        <v>19</v>
      </c>
      <c r="C223" s="25">
        <f>INDEX(实际执行追踪!$A$7:$A$42,A223)+DAY(参数设置!$B$4)-1</f>
        <v>46793</v>
      </c>
      <c r="D223" s="21">
        <f>INDEX(实际执行追踪!$C$7:$C$42,A223)</f>
        <v>23400</v>
      </c>
      <c r="E223">
        <v>4</v>
      </c>
      <c r="F223" s="25">
        <f>IF(E223=1,C223,G222)</f>
        <v>46909</v>
      </c>
      <c r="G223" s="25">
        <f>IF(E223&lt;参数设置!$B$13,DATE(YEAR(EDATE(C223,E223+1)),MONTH(EDATE(C223,E223+1)),参数设置!$B$14),EDATE(C223,参数设置!$B$13))</f>
        <v>46939</v>
      </c>
      <c r="H223">
        <f>G223-F223</f>
        <v>30</v>
      </c>
      <c r="I223" s="21">
        <f>IF(E223=参数设置!$B$13,D223,0)</f>
        <v>0</v>
      </c>
      <c r="J223" s="21">
        <f>IF(M223=1,ROUND(D223*参数设置!$B$11*H223/参数设置!$B$12,参数设置!$B$15),0)</f>
        <v>64.349999999999994</v>
      </c>
      <c r="K223" s="21">
        <f>I223+J223</f>
        <v>64.349999999999994</v>
      </c>
      <c r="L223" s="25">
        <f>EDATE(C223,参数设置!$B$13)</f>
        <v>47159</v>
      </c>
      <c r="M223">
        <f>--(D223&gt;0)</f>
        <v>1</v>
      </c>
    </row>
    <row r="224" spans="1:13" ht="15" customHeight="1">
      <c r="A224">
        <v>19</v>
      </c>
      <c r="B224">
        <v>19</v>
      </c>
      <c r="C224" s="25">
        <f>INDEX(实际执行追踪!$A$7:$A$42,A224)+DAY(参数设置!$B$4)-1</f>
        <v>46793</v>
      </c>
      <c r="D224" s="21">
        <f>INDEX(实际执行追踪!$C$7:$C$42,A224)</f>
        <v>23400</v>
      </c>
      <c r="E224">
        <v>5</v>
      </c>
      <c r="F224" s="25">
        <f>IF(E224=1,C224,G223)</f>
        <v>46939</v>
      </c>
      <c r="G224" s="25">
        <f>IF(E224&lt;参数设置!$B$13,DATE(YEAR(EDATE(C224,E224+1)),MONTH(EDATE(C224,E224+1)),参数设置!$B$14),EDATE(C224,参数设置!$B$13))</f>
        <v>46970</v>
      </c>
      <c r="H224">
        <f>G224-F224</f>
        <v>31</v>
      </c>
      <c r="I224" s="21">
        <f>IF(E224=参数设置!$B$13,D224,0)</f>
        <v>0</v>
      </c>
      <c r="J224" s="21">
        <f>IF(M224=1,ROUND(D224*参数设置!$B$11*H224/参数设置!$B$12,参数设置!$B$15),0)</f>
        <v>66.5</v>
      </c>
      <c r="K224" s="21">
        <f>I224+J224</f>
        <v>66.5</v>
      </c>
      <c r="L224" s="25">
        <f>EDATE(C224,参数设置!$B$13)</f>
        <v>47159</v>
      </c>
      <c r="M224">
        <f>--(D224&gt;0)</f>
        <v>1</v>
      </c>
    </row>
    <row r="225" spans="1:13" ht="15" customHeight="1">
      <c r="A225">
        <v>19</v>
      </c>
      <c r="B225">
        <v>19</v>
      </c>
      <c r="C225" s="25">
        <f>INDEX(实际执行追踪!$A$7:$A$42,A225)+DAY(参数设置!$B$4)-1</f>
        <v>46793</v>
      </c>
      <c r="D225" s="21">
        <f>INDEX(实际执行追踪!$C$7:$C$42,A225)</f>
        <v>23400</v>
      </c>
      <c r="E225">
        <v>6</v>
      </c>
      <c r="F225" s="25">
        <f>IF(E225=1,C225,G224)</f>
        <v>46970</v>
      </c>
      <c r="G225" s="25">
        <f>IF(E225&lt;参数设置!$B$13,DATE(YEAR(EDATE(C225,E225+1)),MONTH(EDATE(C225,E225+1)),参数设置!$B$14),EDATE(C225,参数设置!$B$13))</f>
        <v>47001</v>
      </c>
      <c r="H225">
        <f>G225-F225</f>
        <v>31</v>
      </c>
      <c r="I225" s="21">
        <f>IF(E225=参数设置!$B$13,D225,0)</f>
        <v>0</v>
      </c>
      <c r="J225" s="21">
        <f>IF(M225=1,ROUND(D225*参数设置!$B$11*H225/参数设置!$B$12,参数设置!$B$15),0)</f>
        <v>66.5</v>
      </c>
      <c r="K225" s="21">
        <f>I225+J225</f>
        <v>66.5</v>
      </c>
      <c r="L225" s="25">
        <f>EDATE(C225,参数设置!$B$13)</f>
        <v>47159</v>
      </c>
      <c r="M225">
        <f>--(D225&gt;0)</f>
        <v>1</v>
      </c>
    </row>
    <row r="226" spans="1:13" ht="15" customHeight="1">
      <c r="A226">
        <v>19</v>
      </c>
      <c r="B226">
        <v>19</v>
      </c>
      <c r="C226" s="25">
        <f>INDEX(实际执行追踪!$A$7:$A$42,A226)+DAY(参数设置!$B$4)-1</f>
        <v>46793</v>
      </c>
      <c r="D226" s="21">
        <f>INDEX(实际执行追踪!$C$7:$C$42,A226)</f>
        <v>23400</v>
      </c>
      <c r="E226">
        <v>7</v>
      </c>
      <c r="F226" s="25">
        <f>IF(E226=1,C226,G225)</f>
        <v>47001</v>
      </c>
      <c r="G226" s="25">
        <f>IF(E226&lt;参数设置!$B$13,DATE(YEAR(EDATE(C226,E226+1)),MONTH(EDATE(C226,E226+1)),参数设置!$B$14),EDATE(C226,参数设置!$B$13))</f>
        <v>47031</v>
      </c>
      <c r="H226">
        <f>G226-F226</f>
        <v>30</v>
      </c>
      <c r="I226" s="21">
        <f>IF(E226=参数设置!$B$13,D226,0)</f>
        <v>0</v>
      </c>
      <c r="J226" s="21">
        <f>IF(M226=1,ROUND(D226*参数设置!$B$11*H226/参数设置!$B$12,参数设置!$B$15),0)</f>
        <v>64.349999999999994</v>
      </c>
      <c r="K226" s="21">
        <f>I226+J226</f>
        <v>64.349999999999994</v>
      </c>
      <c r="L226" s="25">
        <f>EDATE(C226,参数设置!$B$13)</f>
        <v>47159</v>
      </c>
      <c r="M226">
        <f>--(D226&gt;0)</f>
        <v>1</v>
      </c>
    </row>
    <row r="227" spans="1:13" ht="15" customHeight="1">
      <c r="A227">
        <v>19</v>
      </c>
      <c r="B227">
        <v>19</v>
      </c>
      <c r="C227" s="25">
        <f>INDEX(实际执行追踪!$A$7:$A$42,A227)+DAY(参数设置!$B$4)-1</f>
        <v>46793</v>
      </c>
      <c r="D227" s="21">
        <f>INDEX(实际执行追踪!$C$7:$C$42,A227)</f>
        <v>23400</v>
      </c>
      <c r="E227">
        <v>8</v>
      </c>
      <c r="F227" s="25">
        <f>IF(E227=1,C227,G226)</f>
        <v>47031</v>
      </c>
      <c r="G227" s="25">
        <f>IF(E227&lt;参数设置!$B$13,DATE(YEAR(EDATE(C227,E227+1)),MONTH(EDATE(C227,E227+1)),参数设置!$B$14),EDATE(C227,参数设置!$B$13))</f>
        <v>47062</v>
      </c>
      <c r="H227">
        <f>G227-F227</f>
        <v>31</v>
      </c>
      <c r="I227" s="21">
        <f>IF(E227=参数设置!$B$13,D227,0)</f>
        <v>0</v>
      </c>
      <c r="J227" s="21">
        <f>IF(M227=1,ROUND(D227*参数设置!$B$11*H227/参数设置!$B$12,参数设置!$B$15),0)</f>
        <v>66.5</v>
      </c>
      <c r="K227" s="21">
        <f>I227+J227</f>
        <v>66.5</v>
      </c>
      <c r="L227" s="25">
        <f>EDATE(C227,参数设置!$B$13)</f>
        <v>47159</v>
      </c>
      <c r="M227">
        <f>--(D227&gt;0)</f>
        <v>1</v>
      </c>
    </row>
    <row r="228" spans="1:13" ht="15" customHeight="1">
      <c r="A228">
        <v>19</v>
      </c>
      <c r="B228">
        <v>19</v>
      </c>
      <c r="C228" s="25">
        <f>INDEX(实际执行追踪!$A$7:$A$42,A228)+DAY(参数设置!$B$4)-1</f>
        <v>46793</v>
      </c>
      <c r="D228" s="21">
        <f>INDEX(实际执行追踪!$C$7:$C$42,A228)</f>
        <v>23400</v>
      </c>
      <c r="E228">
        <v>9</v>
      </c>
      <c r="F228" s="25">
        <f>IF(E228=1,C228,G227)</f>
        <v>47062</v>
      </c>
      <c r="G228" s="25">
        <f>IF(E228&lt;参数设置!$B$13,DATE(YEAR(EDATE(C228,E228+1)),MONTH(EDATE(C228,E228+1)),参数设置!$B$14),EDATE(C228,参数设置!$B$13))</f>
        <v>47092</v>
      </c>
      <c r="H228">
        <f>G228-F228</f>
        <v>30</v>
      </c>
      <c r="I228" s="21">
        <f>IF(E228=参数设置!$B$13,D228,0)</f>
        <v>0</v>
      </c>
      <c r="J228" s="21">
        <f>IF(M228=1,ROUND(D228*参数设置!$B$11*H228/参数设置!$B$12,参数设置!$B$15),0)</f>
        <v>64.349999999999994</v>
      </c>
      <c r="K228" s="21">
        <f>I228+J228</f>
        <v>64.349999999999994</v>
      </c>
      <c r="L228" s="25">
        <f>EDATE(C228,参数设置!$B$13)</f>
        <v>47159</v>
      </c>
      <c r="M228">
        <f>--(D228&gt;0)</f>
        <v>1</v>
      </c>
    </row>
    <row r="229" spans="1:13" ht="15" customHeight="1">
      <c r="A229">
        <v>19</v>
      </c>
      <c r="B229">
        <v>19</v>
      </c>
      <c r="C229" s="25">
        <f>INDEX(实际执行追踪!$A$7:$A$42,A229)+DAY(参数设置!$B$4)-1</f>
        <v>46793</v>
      </c>
      <c r="D229" s="21">
        <f>INDEX(实际执行追踪!$C$7:$C$42,A229)</f>
        <v>23400</v>
      </c>
      <c r="E229">
        <v>10</v>
      </c>
      <c r="F229" s="25">
        <f>IF(E229=1,C229,G228)</f>
        <v>47092</v>
      </c>
      <c r="G229" s="25">
        <f>IF(E229&lt;参数设置!$B$13,DATE(YEAR(EDATE(C229,E229+1)),MONTH(EDATE(C229,E229+1)),参数设置!$B$14),EDATE(C229,参数设置!$B$13))</f>
        <v>47123</v>
      </c>
      <c r="H229">
        <f>G229-F229</f>
        <v>31</v>
      </c>
      <c r="I229" s="21">
        <f>IF(E229=参数设置!$B$13,D229,0)</f>
        <v>0</v>
      </c>
      <c r="J229" s="21">
        <f>IF(M229=1,ROUND(D229*参数设置!$B$11*H229/参数设置!$B$12,参数设置!$B$15),0)</f>
        <v>66.5</v>
      </c>
      <c r="K229" s="21">
        <f>I229+J229</f>
        <v>66.5</v>
      </c>
      <c r="L229" s="25">
        <f>EDATE(C229,参数设置!$B$13)</f>
        <v>47159</v>
      </c>
      <c r="M229">
        <f>--(D229&gt;0)</f>
        <v>1</v>
      </c>
    </row>
    <row r="230" spans="1:13" ht="15" customHeight="1">
      <c r="A230">
        <v>19</v>
      </c>
      <c r="B230">
        <v>19</v>
      </c>
      <c r="C230" s="25">
        <f>INDEX(实际执行追踪!$A$7:$A$42,A230)+DAY(参数设置!$B$4)-1</f>
        <v>46793</v>
      </c>
      <c r="D230" s="21">
        <f>INDEX(实际执行追踪!$C$7:$C$42,A230)</f>
        <v>23400</v>
      </c>
      <c r="E230">
        <v>11</v>
      </c>
      <c r="F230" s="25">
        <f>IF(E230=1,C230,G229)</f>
        <v>47123</v>
      </c>
      <c r="G230" s="25">
        <f>IF(E230&lt;参数设置!$B$13,DATE(YEAR(EDATE(C230,E230+1)),MONTH(EDATE(C230,E230+1)),参数设置!$B$14),EDATE(C230,参数设置!$B$13))</f>
        <v>47154</v>
      </c>
      <c r="H230">
        <f>G230-F230</f>
        <v>31</v>
      </c>
      <c r="I230" s="21">
        <f>IF(E230=参数设置!$B$13,D230,0)</f>
        <v>0</v>
      </c>
      <c r="J230" s="21">
        <f>IF(M230=1,ROUND(D230*参数设置!$B$11*H230/参数设置!$B$12,参数设置!$B$15),0)</f>
        <v>66.5</v>
      </c>
      <c r="K230" s="21">
        <f>I230+J230</f>
        <v>66.5</v>
      </c>
      <c r="L230" s="25">
        <f>EDATE(C230,参数设置!$B$13)</f>
        <v>47159</v>
      </c>
      <c r="M230">
        <f>--(D230&gt;0)</f>
        <v>1</v>
      </c>
    </row>
    <row r="231" spans="1:13" ht="15" customHeight="1">
      <c r="A231">
        <v>19</v>
      </c>
      <c r="B231">
        <v>19</v>
      </c>
      <c r="C231" s="25">
        <f>INDEX(实际执行追踪!$A$7:$A$42,A231)+DAY(参数设置!$B$4)-1</f>
        <v>46793</v>
      </c>
      <c r="D231" s="21">
        <f>INDEX(实际执行追踪!$C$7:$C$42,A231)</f>
        <v>23400</v>
      </c>
      <c r="E231">
        <v>12</v>
      </c>
      <c r="F231" s="25">
        <f>IF(E231=1,C231,G230)</f>
        <v>47154</v>
      </c>
      <c r="G231" s="25">
        <f>IF(E231&lt;参数设置!$B$13,DATE(YEAR(EDATE(C231,E231+1)),MONTH(EDATE(C231,E231+1)),参数设置!$B$14),EDATE(C231,参数设置!$B$13))</f>
        <v>47159</v>
      </c>
      <c r="H231">
        <f>G231-F231</f>
        <v>5</v>
      </c>
      <c r="I231" s="21">
        <f>IF(E231=参数设置!$B$13,D231,0)</f>
        <v>23400</v>
      </c>
      <c r="J231" s="21">
        <f>IF(M231=1,ROUND(D231*参数设置!$B$11*H231/参数设置!$B$12,参数设置!$B$15),0)</f>
        <v>10.73</v>
      </c>
      <c r="K231" s="21">
        <f>I231+J231</f>
        <v>23410.73</v>
      </c>
      <c r="L231" s="25">
        <f>EDATE(C231,参数设置!$B$13)</f>
        <v>47159</v>
      </c>
      <c r="M231">
        <f>--(D231&gt;0)</f>
        <v>1</v>
      </c>
    </row>
    <row r="232" spans="1:13" ht="15" customHeight="1">
      <c r="A232">
        <v>20</v>
      </c>
      <c r="B232">
        <v>20</v>
      </c>
      <c r="C232" s="25">
        <f>INDEX(实际执行追踪!$A$7:$A$42,A232)+DAY(参数设置!$B$4)-1</f>
        <v>46822</v>
      </c>
      <c r="D232" s="21">
        <f>INDEX(实际执行追踪!$C$7:$C$42,A232)</f>
        <v>23400</v>
      </c>
      <c r="E232">
        <v>1</v>
      </c>
      <c r="F232" s="25">
        <f>IF(E232=1,C232,G231)</f>
        <v>46822</v>
      </c>
      <c r="G232" s="25">
        <f>IF(E232&lt;参数设置!$B$13,DATE(YEAR(EDATE(C232,E232+1)),MONTH(EDATE(C232,E232+1)),参数设置!$B$14),EDATE(C232,参数设置!$B$13))</f>
        <v>46878</v>
      </c>
      <c r="H232">
        <f>G232-F232</f>
        <v>56</v>
      </c>
      <c r="I232" s="21">
        <f>IF(E232=参数设置!$B$13,D232,0)</f>
        <v>0</v>
      </c>
      <c r="J232" s="21">
        <f>IF(M232=1,ROUND(D232*参数设置!$B$11*H232/参数设置!$B$12,参数设置!$B$15),0)</f>
        <v>120.12</v>
      </c>
      <c r="K232" s="21">
        <f>I232+J232</f>
        <v>120.12</v>
      </c>
      <c r="L232" s="25">
        <f>EDATE(C232,参数设置!$B$13)</f>
        <v>47187</v>
      </c>
      <c r="M232">
        <f>--(D232&gt;0)</f>
        <v>1</v>
      </c>
    </row>
    <row r="233" spans="1:13" ht="15" customHeight="1">
      <c r="A233">
        <v>20</v>
      </c>
      <c r="B233">
        <v>20</v>
      </c>
      <c r="C233" s="25">
        <f>INDEX(实际执行追踪!$A$7:$A$42,A233)+DAY(参数设置!$B$4)-1</f>
        <v>46822</v>
      </c>
      <c r="D233" s="21">
        <f>INDEX(实际执行追踪!$C$7:$C$42,A233)</f>
        <v>23400</v>
      </c>
      <c r="E233">
        <v>2</v>
      </c>
      <c r="F233" s="25">
        <f>IF(E233=1,C233,G232)</f>
        <v>46878</v>
      </c>
      <c r="G233" s="25">
        <f>IF(E233&lt;参数设置!$B$13,DATE(YEAR(EDATE(C233,E233+1)),MONTH(EDATE(C233,E233+1)),参数设置!$B$14),EDATE(C233,参数设置!$B$13))</f>
        <v>46909</v>
      </c>
      <c r="H233">
        <f>G233-F233</f>
        <v>31</v>
      </c>
      <c r="I233" s="21">
        <f>IF(E233=参数设置!$B$13,D233,0)</f>
        <v>0</v>
      </c>
      <c r="J233" s="21">
        <f>IF(M233=1,ROUND(D233*参数设置!$B$11*H233/参数设置!$B$12,参数设置!$B$15),0)</f>
        <v>66.5</v>
      </c>
      <c r="K233" s="21">
        <f>I233+J233</f>
        <v>66.5</v>
      </c>
      <c r="L233" s="25">
        <f>EDATE(C233,参数设置!$B$13)</f>
        <v>47187</v>
      </c>
      <c r="M233">
        <f>--(D233&gt;0)</f>
        <v>1</v>
      </c>
    </row>
    <row r="234" spans="1:13" ht="15" customHeight="1">
      <c r="A234">
        <v>20</v>
      </c>
      <c r="B234">
        <v>20</v>
      </c>
      <c r="C234" s="25">
        <f>INDEX(实际执行追踪!$A$7:$A$42,A234)+DAY(参数设置!$B$4)-1</f>
        <v>46822</v>
      </c>
      <c r="D234" s="21">
        <f>INDEX(实际执行追踪!$C$7:$C$42,A234)</f>
        <v>23400</v>
      </c>
      <c r="E234">
        <v>3</v>
      </c>
      <c r="F234" s="25">
        <f>IF(E234=1,C234,G233)</f>
        <v>46909</v>
      </c>
      <c r="G234" s="25">
        <f>IF(E234&lt;参数设置!$B$13,DATE(YEAR(EDATE(C234,E234+1)),MONTH(EDATE(C234,E234+1)),参数设置!$B$14),EDATE(C234,参数设置!$B$13))</f>
        <v>46939</v>
      </c>
      <c r="H234">
        <f>G234-F234</f>
        <v>30</v>
      </c>
      <c r="I234" s="21">
        <f>IF(E234=参数设置!$B$13,D234,0)</f>
        <v>0</v>
      </c>
      <c r="J234" s="21">
        <f>IF(M234=1,ROUND(D234*参数设置!$B$11*H234/参数设置!$B$12,参数设置!$B$15),0)</f>
        <v>64.349999999999994</v>
      </c>
      <c r="K234" s="21">
        <f>I234+J234</f>
        <v>64.349999999999994</v>
      </c>
      <c r="L234" s="25">
        <f>EDATE(C234,参数设置!$B$13)</f>
        <v>47187</v>
      </c>
      <c r="M234">
        <f>--(D234&gt;0)</f>
        <v>1</v>
      </c>
    </row>
    <row r="235" spans="1:13" ht="15" customHeight="1">
      <c r="A235">
        <v>20</v>
      </c>
      <c r="B235">
        <v>20</v>
      </c>
      <c r="C235" s="25">
        <f>INDEX(实际执行追踪!$A$7:$A$42,A235)+DAY(参数设置!$B$4)-1</f>
        <v>46822</v>
      </c>
      <c r="D235" s="21">
        <f>INDEX(实际执行追踪!$C$7:$C$42,A235)</f>
        <v>23400</v>
      </c>
      <c r="E235">
        <v>4</v>
      </c>
      <c r="F235" s="25">
        <f>IF(E235=1,C235,G234)</f>
        <v>46939</v>
      </c>
      <c r="G235" s="25">
        <f>IF(E235&lt;参数设置!$B$13,DATE(YEAR(EDATE(C235,E235+1)),MONTH(EDATE(C235,E235+1)),参数设置!$B$14),EDATE(C235,参数设置!$B$13))</f>
        <v>46970</v>
      </c>
      <c r="H235">
        <f>G235-F235</f>
        <v>31</v>
      </c>
      <c r="I235" s="21">
        <f>IF(E235=参数设置!$B$13,D235,0)</f>
        <v>0</v>
      </c>
      <c r="J235" s="21">
        <f>IF(M235=1,ROUND(D235*参数设置!$B$11*H235/参数设置!$B$12,参数设置!$B$15),0)</f>
        <v>66.5</v>
      </c>
      <c r="K235" s="21">
        <f>I235+J235</f>
        <v>66.5</v>
      </c>
      <c r="L235" s="25">
        <f>EDATE(C235,参数设置!$B$13)</f>
        <v>47187</v>
      </c>
      <c r="M235">
        <f>--(D235&gt;0)</f>
        <v>1</v>
      </c>
    </row>
    <row r="236" spans="1:13" ht="15" customHeight="1">
      <c r="A236">
        <v>20</v>
      </c>
      <c r="B236">
        <v>20</v>
      </c>
      <c r="C236" s="25">
        <f>INDEX(实际执行追踪!$A$7:$A$42,A236)+DAY(参数设置!$B$4)-1</f>
        <v>46822</v>
      </c>
      <c r="D236" s="21">
        <f>INDEX(实际执行追踪!$C$7:$C$42,A236)</f>
        <v>23400</v>
      </c>
      <c r="E236">
        <v>5</v>
      </c>
      <c r="F236" s="25">
        <f>IF(E236=1,C236,G235)</f>
        <v>46970</v>
      </c>
      <c r="G236" s="25">
        <f>IF(E236&lt;参数设置!$B$13,DATE(YEAR(EDATE(C236,E236+1)),MONTH(EDATE(C236,E236+1)),参数设置!$B$14),EDATE(C236,参数设置!$B$13))</f>
        <v>47001</v>
      </c>
      <c r="H236">
        <f>G236-F236</f>
        <v>31</v>
      </c>
      <c r="I236" s="21">
        <f>IF(E236=参数设置!$B$13,D236,0)</f>
        <v>0</v>
      </c>
      <c r="J236" s="21">
        <f>IF(M236=1,ROUND(D236*参数设置!$B$11*H236/参数设置!$B$12,参数设置!$B$15),0)</f>
        <v>66.5</v>
      </c>
      <c r="K236" s="21">
        <f>I236+J236</f>
        <v>66.5</v>
      </c>
      <c r="L236" s="25">
        <f>EDATE(C236,参数设置!$B$13)</f>
        <v>47187</v>
      </c>
      <c r="M236">
        <f>--(D236&gt;0)</f>
        <v>1</v>
      </c>
    </row>
    <row r="237" spans="1:13" ht="15" customHeight="1">
      <c r="A237">
        <v>20</v>
      </c>
      <c r="B237">
        <v>20</v>
      </c>
      <c r="C237" s="25">
        <f>INDEX(实际执行追踪!$A$7:$A$42,A237)+DAY(参数设置!$B$4)-1</f>
        <v>46822</v>
      </c>
      <c r="D237" s="21">
        <f>INDEX(实际执行追踪!$C$7:$C$42,A237)</f>
        <v>23400</v>
      </c>
      <c r="E237">
        <v>6</v>
      </c>
      <c r="F237" s="25">
        <f>IF(E237=1,C237,G236)</f>
        <v>47001</v>
      </c>
      <c r="G237" s="25">
        <f>IF(E237&lt;参数设置!$B$13,DATE(YEAR(EDATE(C237,E237+1)),MONTH(EDATE(C237,E237+1)),参数设置!$B$14),EDATE(C237,参数设置!$B$13))</f>
        <v>47031</v>
      </c>
      <c r="H237">
        <f>G237-F237</f>
        <v>30</v>
      </c>
      <c r="I237" s="21">
        <f>IF(E237=参数设置!$B$13,D237,0)</f>
        <v>0</v>
      </c>
      <c r="J237" s="21">
        <f>IF(M237=1,ROUND(D237*参数设置!$B$11*H237/参数设置!$B$12,参数设置!$B$15),0)</f>
        <v>64.349999999999994</v>
      </c>
      <c r="K237" s="21">
        <f>I237+J237</f>
        <v>64.349999999999994</v>
      </c>
      <c r="L237" s="25">
        <f>EDATE(C237,参数设置!$B$13)</f>
        <v>47187</v>
      </c>
      <c r="M237">
        <f>--(D237&gt;0)</f>
        <v>1</v>
      </c>
    </row>
    <row r="238" spans="1:13" ht="15" customHeight="1">
      <c r="A238">
        <v>20</v>
      </c>
      <c r="B238">
        <v>20</v>
      </c>
      <c r="C238" s="25">
        <f>INDEX(实际执行追踪!$A$7:$A$42,A238)+DAY(参数设置!$B$4)-1</f>
        <v>46822</v>
      </c>
      <c r="D238" s="21">
        <f>INDEX(实际执行追踪!$C$7:$C$42,A238)</f>
        <v>23400</v>
      </c>
      <c r="E238">
        <v>7</v>
      </c>
      <c r="F238" s="25">
        <f>IF(E238=1,C238,G237)</f>
        <v>47031</v>
      </c>
      <c r="G238" s="25">
        <f>IF(E238&lt;参数设置!$B$13,DATE(YEAR(EDATE(C238,E238+1)),MONTH(EDATE(C238,E238+1)),参数设置!$B$14),EDATE(C238,参数设置!$B$13))</f>
        <v>47062</v>
      </c>
      <c r="H238">
        <f>G238-F238</f>
        <v>31</v>
      </c>
      <c r="I238" s="21">
        <f>IF(E238=参数设置!$B$13,D238,0)</f>
        <v>0</v>
      </c>
      <c r="J238" s="21">
        <f>IF(M238=1,ROUND(D238*参数设置!$B$11*H238/参数设置!$B$12,参数设置!$B$15),0)</f>
        <v>66.5</v>
      </c>
      <c r="K238" s="21">
        <f>I238+J238</f>
        <v>66.5</v>
      </c>
      <c r="L238" s="25">
        <f>EDATE(C238,参数设置!$B$13)</f>
        <v>47187</v>
      </c>
      <c r="M238">
        <f>--(D238&gt;0)</f>
        <v>1</v>
      </c>
    </row>
    <row r="239" spans="1:13" ht="15" customHeight="1">
      <c r="A239">
        <v>20</v>
      </c>
      <c r="B239">
        <v>20</v>
      </c>
      <c r="C239" s="25">
        <f>INDEX(实际执行追踪!$A$7:$A$42,A239)+DAY(参数设置!$B$4)-1</f>
        <v>46822</v>
      </c>
      <c r="D239" s="21">
        <f>INDEX(实际执行追踪!$C$7:$C$42,A239)</f>
        <v>23400</v>
      </c>
      <c r="E239">
        <v>8</v>
      </c>
      <c r="F239" s="25">
        <f>IF(E239=1,C239,G238)</f>
        <v>47062</v>
      </c>
      <c r="G239" s="25">
        <f>IF(E239&lt;参数设置!$B$13,DATE(YEAR(EDATE(C239,E239+1)),MONTH(EDATE(C239,E239+1)),参数设置!$B$14),EDATE(C239,参数设置!$B$13))</f>
        <v>47092</v>
      </c>
      <c r="H239">
        <f>G239-F239</f>
        <v>30</v>
      </c>
      <c r="I239" s="21">
        <f>IF(E239=参数设置!$B$13,D239,0)</f>
        <v>0</v>
      </c>
      <c r="J239" s="21">
        <f>IF(M239=1,ROUND(D239*参数设置!$B$11*H239/参数设置!$B$12,参数设置!$B$15),0)</f>
        <v>64.349999999999994</v>
      </c>
      <c r="K239" s="21">
        <f>I239+J239</f>
        <v>64.349999999999994</v>
      </c>
      <c r="L239" s="25">
        <f>EDATE(C239,参数设置!$B$13)</f>
        <v>47187</v>
      </c>
      <c r="M239">
        <f>--(D239&gt;0)</f>
        <v>1</v>
      </c>
    </row>
    <row r="240" spans="1:13" ht="15" customHeight="1">
      <c r="A240">
        <v>20</v>
      </c>
      <c r="B240">
        <v>20</v>
      </c>
      <c r="C240" s="25">
        <f>INDEX(实际执行追踪!$A$7:$A$42,A240)+DAY(参数设置!$B$4)-1</f>
        <v>46822</v>
      </c>
      <c r="D240" s="21">
        <f>INDEX(实际执行追踪!$C$7:$C$42,A240)</f>
        <v>23400</v>
      </c>
      <c r="E240">
        <v>9</v>
      </c>
      <c r="F240" s="25">
        <f>IF(E240=1,C240,G239)</f>
        <v>47092</v>
      </c>
      <c r="G240" s="25">
        <f>IF(E240&lt;参数设置!$B$13,DATE(YEAR(EDATE(C240,E240+1)),MONTH(EDATE(C240,E240+1)),参数设置!$B$14),EDATE(C240,参数设置!$B$13))</f>
        <v>47123</v>
      </c>
      <c r="H240">
        <f>G240-F240</f>
        <v>31</v>
      </c>
      <c r="I240" s="21">
        <f>IF(E240=参数设置!$B$13,D240,0)</f>
        <v>0</v>
      </c>
      <c r="J240" s="21">
        <f>IF(M240=1,ROUND(D240*参数设置!$B$11*H240/参数设置!$B$12,参数设置!$B$15),0)</f>
        <v>66.5</v>
      </c>
      <c r="K240" s="21">
        <f>I240+J240</f>
        <v>66.5</v>
      </c>
      <c r="L240" s="25">
        <f>EDATE(C240,参数设置!$B$13)</f>
        <v>47187</v>
      </c>
      <c r="M240">
        <f>--(D240&gt;0)</f>
        <v>1</v>
      </c>
    </row>
    <row r="241" spans="1:13" ht="15" customHeight="1">
      <c r="A241">
        <v>20</v>
      </c>
      <c r="B241">
        <v>20</v>
      </c>
      <c r="C241" s="25">
        <f>INDEX(实际执行追踪!$A$7:$A$42,A241)+DAY(参数设置!$B$4)-1</f>
        <v>46822</v>
      </c>
      <c r="D241" s="21">
        <f>INDEX(实际执行追踪!$C$7:$C$42,A241)</f>
        <v>23400</v>
      </c>
      <c r="E241">
        <v>10</v>
      </c>
      <c r="F241" s="25">
        <f>IF(E241=1,C241,G240)</f>
        <v>47123</v>
      </c>
      <c r="G241" s="25">
        <f>IF(E241&lt;参数设置!$B$13,DATE(YEAR(EDATE(C241,E241+1)),MONTH(EDATE(C241,E241+1)),参数设置!$B$14),EDATE(C241,参数设置!$B$13))</f>
        <v>47154</v>
      </c>
      <c r="H241">
        <f>G241-F241</f>
        <v>31</v>
      </c>
      <c r="I241" s="21">
        <f>IF(E241=参数设置!$B$13,D241,0)</f>
        <v>0</v>
      </c>
      <c r="J241" s="21">
        <f>IF(M241=1,ROUND(D241*参数设置!$B$11*H241/参数设置!$B$12,参数设置!$B$15),0)</f>
        <v>66.5</v>
      </c>
      <c r="K241" s="21">
        <f>I241+J241</f>
        <v>66.5</v>
      </c>
      <c r="L241" s="25">
        <f>EDATE(C241,参数设置!$B$13)</f>
        <v>47187</v>
      </c>
      <c r="M241">
        <f>--(D241&gt;0)</f>
        <v>1</v>
      </c>
    </row>
    <row r="242" spans="1:13" ht="15" customHeight="1">
      <c r="A242">
        <v>20</v>
      </c>
      <c r="B242">
        <v>20</v>
      </c>
      <c r="C242" s="25">
        <f>INDEX(实际执行追踪!$A$7:$A$42,A242)+DAY(参数设置!$B$4)-1</f>
        <v>46822</v>
      </c>
      <c r="D242" s="21">
        <f>INDEX(实际执行追踪!$C$7:$C$42,A242)</f>
        <v>23400</v>
      </c>
      <c r="E242">
        <v>11</v>
      </c>
      <c r="F242" s="25">
        <f>IF(E242=1,C242,G241)</f>
        <v>47154</v>
      </c>
      <c r="G242" s="25">
        <f>IF(E242&lt;参数设置!$B$13,DATE(YEAR(EDATE(C242,E242+1)),MONTH(EDATE(C242,E242+1)),参数设置!$B$14),EDATE(C242,参数设置!$B$13))</f>
        <v>47182</v>
      </c>
      <c r="H242">
        <f>G242-F242</f>
        <v>28</v>
      </c>
      <c r="I242" s="21">
        <f>IF(E242=参数设置!$B$13,D242,0)</f>
        <v>0</v>
      </c>
      <c r="J242" s="21">
        <f>IF(M242=1,ROUND(D242*参数设置!$B$11*H242/参数设置!$B$12,参数设置!$B$15),0)</f>
        <v>60.06</v>
      </c>
      <c r="K242" s="21">
        <f>I242+J242</f>
        <v>60.06</v>
      </c>
      <c r="L242" s="25">
        <f>EDATE(C242,参数设置!$B$13)</f>
        <v>47187</v>
      </c>
      <c r="M242">
        <f>--(D242&gt;0)</f>
        <v>1</v>
      </c>
    </row>
    <row r="243" spans="1:13" ht="15" customHeight="1">
      <c r="A243">
        <v>20</v>
      </c>
      <c r="B243">
        <v>20</v>
      </c>
      <c r="C243" s="25">
        <f>INDEX(实际执行追踪!$A$7:$A$42,A243)+DAY(参数设置!$B$4)-1</f>
        <v>46822</v>
      </c>
      <c r="D243" s="21">
        <f>INDEX(实际执行追踪!$C$7:$C$42,A243)</f>
        <v>23400</v>
      </c>
      <c r="E243">
        <v>12</v>
      </c>
      <c r="F243" s="25">
        <f>IF(E243=1,C243,G242)</f>
        <v>47182</v>
      </c>
      <c r="G243" s="25">
        <f>IF(E243&lt;参数设置!$B$13,DATE(YEAR(EDATE(C243,E243+1)),MONTH(EDATE(C243,E243+1)),参数设置!$B$14),EDATE(C243,参数设置!$B$13))</f>
        <v>47187</v>
      </c>
      <c r="H243">
        <f>G243-F243</f>
        <v>5</v>
      </c>
      <c r="I243" s="21">
        <f>IF(E243=参数设置!$B$13,D243,0)</f>
        <v>23400</v>
      </c>
      <c r="J243" s="21">
        <f>IF(M243=1,ROUND(D243*参数设置!$B$11*H243/参数设置!$B$12,参数设置!$B$15),0)</f>
        <v>10.73</v>
      </c>
      <c r="K243" s="21">
        <f>I243+J243</f>
        <v>23410.73</v>
      </c>
      <c r="L243" s="25">
        <f>EDATE(C243,参数设置!$B$13)</f>
        <v>47187</v>
      </c>
      <c r="M243">
        <f>--(D243&gt;0)</f>
        <v>1</v>
      </c>
    </row>
    <row r="244" spans="1:13" ht="15" customHeight="1">
      <c r="A244">
        <v>21</v>
      </c>
      <c r="B244">
        <v>21</v>
      </c>
      <c r="C244" s="25">
        <f>INDEX(实际执行追踪!$A$7:$A$42,A244)+DAY(参数设置!$B$4)-1</f>
        <v>46853</v>
      </c>
      <c r="D244" s="21">
        <f>INDEX(实际执行追踪!$C$7:$C$42,A244)</f>
        <v>23400</v>
      </c>
      <c r="E244">
        <v>1</v>
      </c>
      <c r="F244" s="25">
        <f>IF(E244=1,C244,G243)</f>
        <v>46853</v>
      </c>
      <c r="G244" s="25">
        <f>IF(E244&lt;参数设置!$B$13,DATE(YEAR(EDATE(C244,E244+1)),MONTH(EDATE(C244,E244+1)),参数设置!$B$14),EDATE(C244,参数设置!$B$13))</f>
        <v>46909</v>
      </c>
      <c r="H244">
        <f>G244-F244</f>
        <v>56</v>
      </c>
      <c r="I244" s="21">
        <f>IF(E244=参数设置!$B$13,D244,0)</f>
        <v>0</v>
      </c>
      <c r="J244" s="21">
        <f>IF(M244=1,ROUND(D244*参数设置!$B$11*H244/参数设置!$B$12,参数设置!$B$15),0)</f>
        <v>120.12</v>
      </c>
      <c r="K244" s="21">
        <f>I244+J244</f>
        <v>120.12</v>
      </c>
      <c r="L244" s="25">
        <f>EDATE(C244,参数设置!$B$13)</f>
        <v>47218</v>
      </c>
      <c r="M244">
        <f>--(D244&gt;0)</f>
        <v>1</v>
      </c>
    </row>
    <row r="245" spans="1:13" ht="15" customHeight="1">
      <c r="A245">
        <v>21</v>
      </c>
      <c r="B245">
        <v>21</v>
      </c>
      <c r="C245" s="25">
        <f>INDEX(实际执行追踪!$A$7:$A$42,A245)+DAY(参数设置!$B$4)-1</f>
        <v>46853</v>
      </c>
      <c r="D245" s="21">
        <f>INDEX(实际执行追踪!$C$7:$C$42,A245)</f>
        <v>23400</v>
      </c>
      <c r="E245">
        <v>2</v>
      </c>
      <c r="F245" s="25">
        <f>IF(E245=1,C245,G244)</f>
        <v>46909</v>
      </c>
      <c r="G245" s="25">
        <f>IF(E245&lt;参数设置!$B$13,DATE(YEAR(EDATE(C245,E245+1)),MONTH(EDATE(C245,E245+1)),参数设置!$B$14),EDATE(C245,参数设置!$B$13))</f>
        <v>46939</v>
      </c>
      <c r="H245">
        <f>G245-F245</f>
        <v>30</v>
      </c>
      <c r="I245" s="21">
        <f>IF(E245=参数设置!$B$13,D245,0)</f>
        <v>0</v>
      </c>
      <c r="J245" s="21">
        <f>IF(M245=1,ROUND(D245*参数设置!$B$11*H245/参数设置!$B$12,参数设置!$B$15),0)</f>
        <v>64.349999999999994</v>
      </c>
      <c r="K245" s="21">
        <f>I245+J245</f>
        <v>64.349999999999994</v>
      </c>
      <c r="L245" s="25">
        <f>EDATE(C245,参数设置!$B$13)</f>
        <v>47218</v>
      </c>
      <c r="M245">
        <f>--(D245&gt;0)</f>
        <v>1</v>
      </c>
    </row>
    <row r="246" spans="1:13" ht="15" customHeight="1">
      <c r="A246">
        <v>21</v>
      </c>
      <c r="B246">
        <v>21</v>
      </c>
      <c r="C246" s="25">
        <f>INDEX(实际执行追踪!$A$7:$A$42,A246)+DAY(参数设置!$B$4)-1</f>
        <v>46853</v>
      </c>
      <c r="D246" s="21">
        <f>INDEX(实际执行追踪!$C$7:$C$42,A246)</f>
        <v>23400</v>
      </c>
      <c r="E246">
        <v>3</v>
      </c>
      <c r="F246" s="25">
        <f>IF(E246=1,C246,G245)</f>
        <v>46939</v>
      </c>
      <c r="G246" s="25">
        <f>IF(E246&lt;参数设置!$B$13,DATE(YEAR(EDATE(C246,E246+1)),MONTH(EDATE(C246,E246+1)),参数设置!$B$14),EDATE(C246,参数设置!$B$13))</f>
        <v>46970</v>
      </c>
      <c r="H246">
        <f>G246-F246</f>
        <v>31</v>
      </c>
      <c r="I246" s="21">
        <f>IF(E246=参数设置!$B$13,D246,0)</f>
        <v>0</v>
      </c>
      <c r="J246" s="21">
        <f>IF(M246=1,ROUND(D246*参数设置!$B$11*H246/参数设置!$B$12,参数设置!$B$15),0)</f>
        <v>66.5</v>
      </c>
      <c r="K246" s="21">
        <f>I246+J246</f>
        <v>66.5</v>
      </c>
      <c r="L246" s="25">
        <f>EDATE(C246,参数设置!$B$13)</f>
        <v>47218</v>
      </c>
      <c r="M246">
        <f>--(D246&gt;0)</f>
        <v>1</v>
      </c>
    </row>
    <row r="247" spans="1:13" ht="15" customHeight="1">
      <c r="A247">
        <v>21</v>
      </c>
      <c r="B247">
        <v>21</v>
      </c>
      <c r="C247" s="25">
        <f>INDEX(实际执行追踪!$A$7:$A$42,A247)+DAY(参数设置!$B$4)-1</f>
        <v>46853</v>
      </c>
      <c r="D247" s="21">
        <f>INDEX(实际执行追踪!$C$7:$C$42,A247)</f>
        <v>23400</v>
      </c>
      <c r="E247">
        <v>4</v>
      </c>
      <c r="F247" s="25">
        <f>IF(E247=1,C247,G246)</f>
        <v>46970</v>
      </c>
      <c r="G247" s="25">
        <f>IF(E247&lt;参数设置!$B$13,DATE(YEAR(EDATE(C247,E247+1)),MONTH(EDATE(C247,E247+1)),参数设置!$B$14),EDATE(C247,参数设置!$B$13))</f>
        <v>47001</v>
      </c>
      <c r="H247">
        <f>G247-F247</f>
        <v>31</v>
      </c>
      <c r="I247" s="21">
        <f>IF(E247=参数设置!$B$13,D247,0)</f>
        <v>0</v>
      </c>
      <c r="J247" s="21">
        <f>IF(M247=1,ROUND(D247*参数设置!$B$11*H247/参数设置!$B$12,参数设置!$B$15),0)</f>
        <v>66.5</v>
      </c>
      <c r="K247" s="21">
        <f>I247+J247</f>
        <v>66.5</v>
      </c>
      <c r="L247" s="25">
        <f>EDATE(C247,参数设置!$B$13)</f>
        <v>47218</v>
      </c>
      <c r="M247">
        <f>--(D247&gt;0)</f>
        <v>1</v>
      </c>
    </row>
    <row r="248" spans="1:13" ht="15" customHeight="1">
      <c r="A248">
        <v>21</v>
      </c>
      <c r="B248">
        <v>21</v>
      </c>
      <c r="C248" s="25">
        <f>INDEX(实际执行追踪!$A$7:$A$42,A248)+DAY(参数设置!$B$4)-1</f>
        <v>46853</v>
      </c>
      <c r="D248" s="21">
        <f>INDEX(实际执行追踪!$C$7:$C$42,A248)</f>
        <v>23400</v>
      </c>
      <c r="E248">
        <v>5</v>
      </c>
      <c r="F248" s="25">
        <f>IF(E248=1,C248,G247)</f>
        <v>47001</v>
      </c>
      <c r="G248" s="25">
        <f>IF(E248&lt;参数设置!$B$13,DATE(YEAR(EDATE(C248,E248+1)),MONTH(EDATE(C248,E248+1)),参数设置!$B$14),EDATE(C248,参数设置!$B$13))</f>
        <v>47031</v>
      </c>
      <c r="H248">
        <f>G248-F248</f>
        <v>30</v>
      </c>
      <c r="I248" s="21">
        <f>IF(E248=参数设置!$B$13,D248,0)</f>
        <v>0</v>
      </c>
      <c r="J248" s="21">
        <f>IF(M248=1,ROUND(D248*参数设置!$B$11*H248/参数设置!$B$12,参数设置!$B$15),0)</f>
        <v>64.349999999999994</v>
      </c>
      <c r="K248" s="21">
        <f>I248+J248</f>
        <v>64.349999999999994</v>
      </c>
      <c r="L248" s="25">
        <f>EDATE(C248,参数设置!$B$13)</f>
        <v>47218</v>
      </c>
      <c r="M248">
        <f>--(D248&gt;0)</f>
        <v>1</v>
      </c>
    </row>
    <row r="249" spans="1:13" ht="15" customHeight="1">
      <c r="A249">
        <v>21</v>
      </c>
      <c r="B249">
        <v>21</v>
      </c>
      <c r="C249" s="25">
        <f>INDEX(实际执行追踪!$A$7:$A$42,A249)+DAY(参数设置!$B$4)-1</f>
        <v>46853</v>
      </c>
      <c r="D249" s="21">
        <f>INDEX(实际执行追踪!$C$7:$C$42,A249)</f>
        <v>23400</v>
      </c>
      <c r="E249">
        <v>6</v>
      </c>
      <c r="F249" s="25">
        <f>IF(E249=1,C249,G248)</f>
        <v>47031</v>
      </c>
      <c r="G249" s="25">
        <f>IF(E249&lt;参数设置!$B$13,DATE(YEAR(EDATE(C249,E249+1)),MONTH(EDATE(C249,E249+1)),参数设置!$B$14),EDATE(C249,参数设置!$B$13))</f>
        <v>47062</v>
      </c>
      <c r="H249">
        <f>G249-F249</f>
        <v>31</v>
      </c>
      <c r="I249" s="21">
        <f>IF(E249=参数设置!$B$13,D249,0)</f>
        <v>0</v>
      </c>
      <c r="J249" s="21">
        <f>IF(M249=1,ROUND(D249*参数设置!$B$11*H249/参数设置!$B$12,参数设置!$B$15),0)</f>
        <v>66.5</v>
      </c>
      <c r="K249" s="21">
        <f>I249+J249</f>
        <v>66.5</v>
      </c>
      <c r="L249" s="25">
        <f>EDATE(C249,参数设置!$B$13)</f>
        <v>47218</v>
      </c>
      <c r="M249">
        <f>--(D249&gt;0)</f>
        <v>1</v>
      </c>
    </row>
    <row r="250" spans="1:13" ht="15" customHeight="1">
      <c r="A250">
        <v>21</v>
      </c>
      <c r="B250">
        <v>21</v>
      </c>
      <c r="C250" s="25">
        <f>INDEX(实际执行追踪!$A$7:$A$42,A250)+DAY(参数设置!$B$4)-1</f>
        <v>46853</v>
      </c>
      <c r="D250" s="21">
        <f>INDEX(实际执行追踪!$C$7:$C$42,A250)</f>
        <v>23400</v>
      </c>
      <c r="E250">
        <v>7</v>
      </c>
      <c r="F250" s="25">
        <f>IF(E250=1,C250,G249)</f>
        <v>47062</v>
      </c>
      <c r="G250" s="25">
        <f>IF(E250&lt;参数设置!$B$13,DATE(YEAR(EDATE(C250,E250+1)),MONTH(EDATE(C250,E250+1)),参数设置!$B$14),EDATE(C250,参数设置!$B$13))</f>
        <v>47092</v>
      </c>
      <c r="H250">
        <f>G250-F250</f>
        <v>30</v>
      </c>
      <c r="I250" s="21">
        <f>IF(E250=参数设置!$B$13,D250,0)</f>
        <v>0</v>
      </c>
      <c r="J250" s="21">
        <f>IF(M250=1,ROUND(D250*参数设置!$B$11*H250/参数设置!$B$12,参数设置!$B$15),0)</f>
        <v>64.349999999999994</v>
      </c>
      <c r="K250" s="21">
        <f>I250+J250</f>
        <v>64.349999999999994</v>
      </c>
      <c r="L250" s="25">
        <f>EDATE(C250,参数设置!$B$13)</f>
        <v>47218</v>
      </c>
      <c r="M250">
        <f>--(D250&gt;0)</f>
        <v>1</v>
      </c>
    </row>
    <row r="251" spans="1:13" ht="15" customHeight="1">
      <c r="A251">
        <v>21</v>
      </c>
      <c r="B251">
        <v>21</v>
      </c>
      <c r="C251" s="25">
        <f>INDEX(实际执行追踪!$A$7:$A$42,A251)+DAY(参数设置!$B$4)-1</f>
        <v>46853</v>
      </c>
      <c r="D251" s="21">
        <f>INDEX(实际执行追踪!$C$7:$C$42,A251)</f>
        <v>23400</v>
      </c>
      <c r="E251">
        <v>8</v>
      </c>
      <c r="F251" s="25">
        <f>IF(E251=1,C251,G250)</f>
        <v>47092</v>
      </c>
      <c r="G251" s="25">
        <f>IF(E251&lt;参数设置!$B$13,DATE(YEAR(EDATE(C251,E251+1)),MONTH(EDATE(C251,E251+1)),参数设置!$B$14),EDATE(C251,参数设置!$B$13))</f>
        <v>47123</v>
      </c>
      <c r="H251">
        <f>G251-F251</f>
        <v>31</v>
      </c>
      <c r="I251" s="21">
        <f>IF(E251=参数设置!$B$13,D251,0)</f>
        <v>0</v>
      </c>
      <c r="J251" s="21">
        <f>IF(M251=1,ROUND(D251*参数设置!$B$11*H251/参数设置!$B$12,参数设置!$B$15),0)</f>
        <v>66.5</v>
      </c>
      <c r="K251" s="21">
        <f>I251+J251</f>
        <v>66.5</v>
      </c>
      <c r="L251" s="25">
        <f>EDATE(C251,参数设置!$B$13)</f>
        <v>47218</v>
      </c>
      <c r="M251">
        <f>--(D251&gt;0)</f>
        <v>1</v>
      </c>
    </row>
    <row r="252" spans="1:13" ht="15" customHeight="1">
      <c r="A252">
        <v>21</v>
      </c>
      <c r="B252">
        <v>21</v>
      </c>
      <c r="C252" s="25">
        <f>INDEX(实际执行追踪!$A$7:$A$42,A252)+DAY(参数设置!$B$4)-1</f>
        <v>46853</v>
      </c>
      <c r="D252" s="21">
        <f>INDEX(实际执行追踪!$C$7:$C$42,A252)</f>
        <v>23400</v>
      </c>
      <c r="E252">
        <v>9</v>
      </c>
      <c r="F252" s="25">
        <f>IF(E252=1,C252,G251)</f>
        <v>47123</v>
      </c>
      <c r="G252" s="25">
        <f>IF(E252&lt;参数设置!$B$13,DATE(YEAR(EDATE(C252,E252+1)),MONTH(EDATE(C252,E252+1)),参数设置!$B$14),EDATE(C252,参数设置!$B$13))</f>
        <v>47154</v>
      </c>
      <c r="H252">
        <f>G252-F252</f>
        <v>31</v>
      </c>
      <c r="I252" s="21">
        <f>IF(E252=参数设置!$B$13,D252,0)</f>
        <v>0</v>
      </c>
      <c r="J252" s="21">
        <f>IF(M252=1,ROUND(D252*参数设置!$B$11*H252/参数设置!$B$12,参数设置!$B$15),0)</f>
        <v>66.5</v>
      </c>
      <c r="K252" s="21">
        <f>I252+J252</f>
        <v>66.5</v>
      </c>
      <c r="L252" s="25">
        <f>EDATE(C252,参数设置!$B$13)</f>
        <v>47218</v>
      </c>
      <c r="M252">
        <f>--(D252&gt;0)</f>
        <v>1</v>
      </c>
    </row>
    <row r="253" spans="1:13" ht="15" customHeight="1">
      <c r="A253">
        <v>21</v>
      </c>
      <c r="B253">
        <v>21</v>
      </c>
      <c r="C253" s="25">
        <f>INDEX(实际执行追踪!$A$7:$A$42,A253)+DAY(参数设置!$B$4)-1</f>
        <v>46853</v>
      </c>
      <c r="D253" s="21">
        <f>INDEX(实际执行追踪!$C$7:$C$42,A253)</f>
        <v>23400</v>
      </c>
      <c r="E253">
        <v>10</v>
      </c>
      <c r="F253" s="25">
        <f>IF(E253=1,C253,G252)</f>
        <v>47154</v>
      </c>
      <c r="G253" s="25">
        <f>IF(E253&lt;参数设置!$B$13,DATE(YEAR(EDATE(C253,E253+1)),MONTH(EDATE(C253,E253+1)),参数设置!$B$14),EDATE(C253,参数设置!$B$13))</f>
        <v>47182</v>
      </c>
      <c r="H253">
        <f>G253-F253</f>
        <v>28</v>
      </c>
      <c r="I253" s="21">
        <f>IF(E253=参数设置!$B$13,D253,0)</f>
        <v>0</v>
      </c>
      <c r="J253" s="21">
        <f>IF(M253=1,ROUND(D253*参数设置!$B$11*H253/参数设置!$B$12,参数设置!$B$15),0)</f>
        <v>60.06</v>
      </c>
      <c r="K253" s="21">
        <f>I253+J253</f>
        <v>60.06</v>
      </c>
      <c r="L253" s="25">
        <f>EDATE(C253,参数设置!$B$13)</f>
        <v>47218</v>
      </c>
      <c r="M253">
        <f>--(D253&gt;0)</f>
        <v>1</v>
      </c>
    </row>
    <row r="254" spans="1:13" ht="15" customHeight="1">
      <c r="A254">
        <v>21</v>
      </c>
      <c r="B254">
        <v>21</v>
      </c>
      <c r="C254" s="25">
        <f>INDEX(实际执行追踪!$A$7:$A$42,A254)+DAY(参数设置!$B$4)-1</f>
        <v>46853</v>
      </c>
      <c r="D254" s="21">
        <f>INDEX(实际执行追踪!$C$7:$C$42,A254)</f>
        <v>23400</v>
      </c>
      <c r="E254">
        <v>11</v>
      </c>
      <c r="F254" s="25">
        <f>IF(E254=1,C254,G253)</f>
        <v>47182</v>
      </c>
      <c r="G254" s="25">
        <f>IF(E254&lt;参数设置!$B$13,DATE(YEAR(EDATE(C254,E254+1)),MONTH(EDATE(C254,E254+1)),参数设置!$B$14),EDATE(C254,参数设置!$B$13))</f>
        <v>47213</v>
      </c>
      <c r="H254">
        <f>G254-F254</f>
        <v>31</v>
      </c>
      <c r="I254" s="21">
        <f>IF(E254=参数设置!$B$13,D254,0)</f>
        <v>0</v>
      </c>
      <c r="J254" s="21">
        <f>IF(M254=1,ROUND(D254*参数设置!$B$11*H254/参数设置!$B$12,参数设置!$B$15),0)</f>
        <v>66.5</v>
      </c>
      <c r="K254" s="21">
        <f>I254+J254</f>
        <v>66.5</v>
      </c>
      <c r="L254" s="25">
        <f>EDATE(C254,参数设置!$B$13)</f>
        <v>47218</v>
      </c>
      <c r="M254">
        <f>--(D254&gt;0)</f>
        <v>1</v>
      </c>
    </row>
    <row r="255" spans="1:13" ht="15" customHeight="1">
      <c r="A255">
        <v>21</v>
      </c>
      <c r="B255">
        <v>21</v>
      </c>
      <c r="C255" s="25">
        <f>INDEX(实际执行追踪!$A$7:$A$42,A255)+DAY(参数设置!$B$4)-1</f>
        <v>46853</v>
      </c>
      <c r="D255" s="21">
        <f>INDEX(实际执行追踪!$C$7:$C$42,A255)</f>
        <v>23400</v>
      </c>
      <c r="E255">
        <v>12</v>
      </c>
      <c r="F255" s="25">
        <f>IF(E255=1,C255,G254)</f>
        <v>47213</v>
      </c>
      <c r="G255" s="25">
        <f>IF(E255&lt;参数设置!$B$13,DATE(YEAR(EDATE(C255,E255+1)),MONTH(EDATE(C255,E255+1)),参数设置!$B$14),EDATE(C255,参数设置!$B$13))</f>
        <v>47218</v>
      </c>
      <c r="H255">
        <f>G255-F255</f>
        <v>5</v>
      </c>
      <c r="I255" s="21">
        <f>IF(E255=参数设置!$B$13,D255,0)</f>
        <v>23400</v>
      </c>
      <c r="J255" s="21">
        <f>IF(M255=1,ROUND(D255*参数设置!$B$11*H255/参数设置!$B$12,参数设置!$B$15),0)</f>
        <v>10.73</v>
      </c>
      <c r="K255" s="21">
        <f>I255+J255</f>
        <v>23410.73</v>
      </c>
      <c r="L255" s="25">
        <f>EDATE(C255,参数设置!$B$13)</f>
        <v>47218</v>
      </c>
      <c r="M255">
        <f>--(D255&gt;0)</f>
        <v>1</v>
      </c>
    </row>
    <row r="256" spans="1:13" ht="15" customHeight="1">
      <c r="A256">
        <v>22</v>
      </c>
      <c r="B256">
        <v>22</v>
      </c>
      <c r="C256" s="25">
        <f>INDEX(实际执行追踪!$A$7:$A$42,A256)+DAY(参数设置!$B$4)-1</f>
        <v>46883</v>
      </c>
      <c r="D256" s="21">
        <f>INDEX(实际执行追踪!$C$7:$C$42,A256)</f>
        <v>23400</v>
      </c>
      <c r="E256">
        <v>1</v>
      </c>
      <c r="F256" s="25">
        <f>IF(E256=1,C256,G255)</f>
        <v>46883</v>
      </c>
      <c r="G256" s="25">
        <f>IF(E256&lt;参数设置!$B$13,DATE(YEAR(EDATE(C256,E256+1)),MONTH(EDATE(C256,E256+1)),参数设置!$B$14),EDATE(C256,参数设置!$B$13))</f>
        <v>46939</v>
      </c>
      <c r="H256">
        <f>G256-F256</f>
        <v>56</v>
      </c>
      <c r="I256" s="21">
        <f>IF(E256=参数设置!$B$13,D256,0)</f>
        <v>0</v>
      </c>
      <c r="J256" s="21">
        <f>IF(M256=1,ROUND(D256*参数设置!$B$11*H256/参数设置!$B$12,参数设置!$B$15),0)</f>
        <v>120.12</v>
      </c>
      <c r="K256" s="21">
        <f>I256+J256</f>
        <v>120.12</v>
      </c>
      <c r="L256" s="25">
        <f>EDATE(C256,参数设置!$B$13)</f>
        <v>47248</v>
      </c>
      <c r="M256">
        <f>--(D256&gt;0)</f>
        <v>1</v>
      </c>
    </row>
    <row r="257" spans="1:13" ht="15" customHeight="1">
      <c r="A257">
        <v>22</v>
      </c>
      <c r="B257">
        <v>22</v>
      </c>
      <c r="C257" s="25">
        <f>INDEX(实际执行追踪!$A$7:$A$42,A257)+DAY(参数设置!$B$4)-1</f>
        <v>46883</v>
      </c>
      <c r="D257" s="21">
        <f>INDEX(实际执行追踪!$C$7:$C$42,A257)</f>
        <v>23400</v>
      </c>
      <c r="E257">
        <v>2</v>
      </c>
      <c r="F257" s="25">
        <f>IF(E257=1,C257,G256)</f>
        <v>46939</v>
      </c>
      <c r="G257" s="25">
        <f>IF(E257&lt;参数设置!$B$13,DATE(YEAR(EDATE(C257,E257+1)),MONTH(EDATE(C257,E257+1)),参数设置!$B$14),EDATE(C257,参数设置!$B$13))</f>
        <v>46970</v>
      </c>
      <c r="H257">
        <f>G257-F257</f>
        <v>31</v>
      </c>
      <c r="I257" s="21">
        <f>IF(E257=参数设置!$B$13,D257,0)</f>
        <v>0</v>
      </c>
      <c r="J257" s="21">
        <f>IF(M257=1,ROUND(D257*参数设置!$B$11*H257/参数设置!$B$12,参数设置!$B$15),0)</f>
        <v>66.5</v>
      </c>
      <c r="K257" s="21">
        <f>I257+J257</f>
        <v>66.5</v>
      </c>
      <c r="L257" s="25">
        <f>EDATE(C257,参数设置!$B$13)</f>
        <v>47248</v>
      </c>
      <c r="M257">
        <f>--(D257&gt;0)</f>
        <v>1</v>
      </c>
    </row>
    <row r="258" spans="1:13" ht="15" customHeight="1">
      <c r="A258">
        <v>22</v>
      </c>
      <c r="B258">
        <v>22</v>
      </c>
      <c r="C258" s="25">
        <f>INDEX(实际执行追踪!$A$7:$A$42,A258)+DAY(参数设置!$B$4)-1</f>
        <v>46883</v>
      </c>
      <c r="D258" s="21">
        <f>INDEX(实际执行追踪!$C$7:$C$42,A258)</f>
        <v>23400</v>
      </c>
      <c r="E258">
        <v>3</v>
      </c>
      <c r="F258" s="25">
        <f>IF(E258=1,C258,G257)</f>
        <v>46970</v>
      </c>
      <c r="G258" s="25">
        <f>IF(E258&lt;参数设置!$B$13,DATE(YEAR(EDATE(C258,E258+1)),MONTH(EDATE(C258,E258+1)),参数设置!$B$14),EDATE(C258,参数设置!$B$13))</f>
        <v>47001</v>
      </c>
      <c r="H258">
        <f>G258-F258</f>
        <v>31</v>
      </c>
      <c r="I258" s="21">
        <f>IF(E258=参数设置!$B$13,D258,0)</f>
        <v>0</v>
      </c>
      <c r="J258" s="21">
        <f>IF(M258=1,ROUND(D258*参数设置!$B$11*H258/参数设置!$B$12,参数设置!$B$15),0)</f>
        <v>66.5</v>
      </c>
      <c r="K258" s="21">
        <f>I258+J258</f>
        <v>66.5</v>
      </c>
      <c r="L258" s="25">
        <f>EDATE(C258,参数设置!$B$13)</f>
        <v>47248</v>
      </c>
      <c r="M258">
        <f>--(D258&gt;0)</f>
        <v>1</v>
      </c>
    </row>
    <row r="259" spans="1:13" ht="15" customHeight="1">
      <c r="A259">
        <v>22</v>
      </c>
      <c r="B259">
        <v>22</v>
      </c>
      <c r="C259" s="25">
        <f>INDEX(实际执行追踪!$A$7:$A$42,A259)+DAY(参数设置!$B$4)-1</f>
        <v>46883</v>
      </c>
      <c r="D259" s="21">
        <f>INDEX(实际执行追踪!$C$7:$C$42,A259)</f>
        <v>23400</v>
      </c>
      <c r="E259">
        <v>4</v>
      </c>
      <c r="F259" s="25">
        <f>IF(E259=1,C259,G258)</f>
        <v>47001</v>
      </c>
      <c r="G259" s="25">
        <f>IF(E259&lt;参数设置!$B$13,DATE(YEAR(EDATE(C259,E259+1)),MONTH(EDATE(C259,E259+1)),参数设置!$B$14),EDATE(C259,参数设置!$B$13))</f>
        <v>47031</v>
      </c>
      <c r="H259">
        <f>G259-F259</f>
        <v>30</v>
      </c>
      <c r="I259" s="21">
        <f>IF(E259=参数设置!$B$13,D259,0)</f>
        <v>0</v>
      </c>
      <c r="J259" s="21">
        <f>IF(M259=1,ROUND(D259*参数设置!$B$11*H259/参数设置!$B$12,参数设置!$B$15),0)</f>
        <v>64.349999999999994</v>
      </c>
      <c r="K259" s="21">
        <f>I259+J259</f>
        <v>64.349999999999994</v>
      </c>
      <c r="L259" s="25">
        <f>EDATE(C259,参数设置!$B$13)</f>
        <v>47248</v>
      </c>
      <c r="M259">
        <f>--(D259&gt;0)</f>
        <v>1</v>
      </c>
    </row>
    <row r="260" spans="1:13" ht="15" customHeight="1">
      <c r="A260">
        <v>22</v>
      </c>
      <c r="B260">
        <v>22</v>
      </c>
      <c r="C260" s="25">
        <f>INDEX(实际执行追踪!$A$7:$A$42,A260)+DAY(参数设置!$B$4)-1</f>
        <v>46883</v>
      </c>
      <c r="D260" s="21">
        <f>INDEX(实际执行追踪!$C$7:$C$42,A260)</f>
        <v>23400</v>
      </c>
      <c r="E260">
        <v>5</v>
      </c>
      <c r="F260" s="25">
        <f>IF(E260=1,C260,G259)</f>
        <v>47031</v>
      </c>
      <c r="G260" s="25">
        <f>IF(E260&lt;参数设置!$B$13,DATE(YEAR(EDATE(C260,E260+1)),MONTH(EDATE(C260,E260+1)),参数设置!$B$14),EDATE(C260,参数设置!$B$13))</f>
        <v>47062</v>
      </c>
      <c r="H260">
        <f>G260-F260</f>
        <v>31</v>
      </c>
      <c r="I260" s="21">
        <f>IF(E260=参数设置!$B$13,D260,0)</f>
        <v>0</v>
      </c>
      <c r="J260" s="21">
        <f>IF(M260=1,ROUND(D260*参数设置!$B$11*H260/参数设置!$B$12,参数设置!$B$15),0)</f>
        <v>66.5</v>
      </c>
      <c r="K260" s="21">
        <f>I260+J260</f>
        <v>66.5</v>
      </c>
      <c r="L260" s="25">
        <f>EDATE(C260,参数设置!$B$13)</f>
        <v>47248</v>
      </c>
      <c r="M260">
        <f>--(D260&gt;0)</f>
        <v>1</v>
      </c>
    </row>
    <row r="261" spans="1:13" ht="15" customHeight="1">
      <c r="A261">
        <v>22</v>
      </c>
      <c r="B261">
        <v>22</v>
      </c>
      <c r="C261" s="25">
        <f>INDEX(实际执行追踪!$A$7:$A$42,A261)+DAY(参数设置!$B$4)-1</f>
        <v>46883</v>
      </c>
      <c r="D261" s="21">
        <f>INDEX(实际执行追踪!$C$7:$C$42,A261)</f>
        <v>23400</v>
      </c>
      <c r="E261">
        <v>6</v>
      </c>
      <c r="F261" s="25">
        <f>IF(E261=1,C261,G260)</f>
        <v>47062</v>
      </c>
      <c r="G261" s="25">
        <f>IF(E261&lt;参数设置!$B$13,DATE(YEAR(EDATE(C261,E261+1)),MONTH(EDATE(C261,E261+1)),参数设置!$B$14),EDATE(C261,参数设置!$B$13))</f>
        <v>47092</v>
      </c>
      <c r="H261">
        <f>G261-F261</f>
        <v>30</v>
      </c>
      <c r="I261" s="21">
        <f>IF(E261=参数设置!$B$13,D261,0)</f>
        <v>0</v>
      </c>
      <c r="J261" s="21">
        <f>IF(M261=1,ROUND(D261*参数设置!$B$11*H261/参数设置!$B$12,参数设置!$B$15),0)</f>
        <v>64.349999999999994</v>
      </c>
      <c r="K261" s="21">
        <f>I261+J261</f>
        <v>64.349999999999994</v>
      </c>
      <c r="L261" s="25">
        <f>EDATE(C261,参数设置!$B$13)</f>
        <v>47248</v>
      </c>
      <c r="M261">
        <f>--(D261&gt;0)</f>
        <v>1</v>
      </c>
    </row>
    <row r="262" spans="1:13" ht="15" customHeight="1">
      <c r="A262">
        <v>22</v>
      </c>
      <c r="B262">
        <v>22</v>
      </c>
      <c r="C262" s="25">
        <f>INDEX(实际执行追踪!$A$7:$A$42,A262)+DAY(参数设置!$B$4)-1</f>
        <v>46883</v>
      </c>
      <c r="D262" s="21">
        <f>INDEX(实际执行追踪!$C$7:$C$42,A262)</f>
        <v>23400</v>
      </c>
      <c r="E262">
        <v>7</v>
      </c>
      <c r="F262" s="25">
        <f>IF(E262=1,C262,G261)</f>
        <v>47092</v>
      </c>
      <c r="G262" s="25">
        <f>IF(E262&lt;参数设置!$B$13,DATE(YEAR(EDATE(C262,E262+1)),MONTH(EDATE(C262,E262+1)),参数设置!$B$14),EDATE(C262,参数设置!$B$13))</f>
        <v>47123</v>
      </c>
      <c r="H262">
        <f>G262-F262</f>
        <v>31</v>
      </c>
      <c r="I262" s="21">
        <f>IF(E262=参数设置!$B$13,D262,0)</f>
        <v>0</v>
      </c>
      <c r="J262" s="21">
        <f>IF(M262=1,ROUND(D262*参数设置!$B$11*H262/参数设置!$B$12,参数设置!$B$15),0)</f>
        <v>66.5</v>
      </c>
      <c r="K262" s="21">
        <f>I262+J262</f>
        <v>66.5</v>
      </c>
      <c r="L262" s="25">
        <f>EDATE(C262,参数设置!$B$13)</f>
        <v>47248</v>
      </c>
      <c r="M262">
        <f>--(D262&gt;0)</f>
        <v>1</v>
      </c>
    </row>
    <row r="263" spans="1:13" ht="15" customHeight="1">
      <c r="A263">
        <v>22</v>
      </c>
      <c r="B263">
        <v>22</v>
      </c>
      <c r="C263" s="25">
        <f>INDEX(实际执行追踪!$A$7:$A$42,A263)+DAY(参数设置!$B$4)-1</f>
        <v>46883</v>
      </c>
      <c r="D263" s="21">
        <f>INDEX(实际执行追踪!$C$7:$C$42,A263)</f>
        <v>23400</v>
      </c>
      <c r="E263">
        <v>8</v>
      </c>
      <c r="F263" s="25">
        <f>IF(E263=1,C263,G262)</f>
        <v>47123</v>
      </c>
      <c r="G263" s="25">
        <f>IF(E263&lt;参数设置!$B$13,DATE(YEAR(EDATE(C263,E263+1)),MONTH(EDATE(C263,E263+1)),参数设置!$B$14),EDATE(C263,参数设置!$B$13))</f>
        <v>47154</v>
      </c>
      <c r="H263">
        <f>G263-F263</f>
        <v>31</v>
      </c>
      <c r="I263" s="21">
        <f>IF(E263=参数设置!$B$13,D263,0)</f>
        <v>0</v>
      </c>
      <c r="J263" s="21">
        <f>IF(M263=1,ROUND(D263*参数设置!$B$11*H263/参数设置!$B$12,参数设置!$B$15),0)</f>
        <v>66.5</v>
      </c>
      <c r="K263" s="21">
        <f>I263+J263</f>
        <v>66.5</v>
      </c>
      <c r="L263" s="25">
        <f>EDATE(C263,参数设置!$B$13)</f>
        <v>47248</v>
      </c>
      <c r="M263">
        <f>--(D263&gt;0)</f>
        <v>1</v>
      </c>
    </row>
    <row r="264" spans="1:13" ht="15" customHeight="1">
      <c r="A264">
        <v>22</v>
      </c>
      <c r="B264">
        <v>22</v>
      </c>
      <c r="C264" s="25">
        <f>INDEX(实际执行追踪!$A$7:$A$42,A264)+DAY(参数设置!$B$4)-1</f>
        <v>46883</v>
      </c>
      <c r="D264" s="21">
        <f>INDEX(实际执行追踪!$C$7:$C$42,A264)</f>
        <v>23400</v>
      </c>
      <c r="E264">
        <v>9</v>
      </c>
      <c r="F264" s="25">
        <f>IF(E264=1,C264,G263)</f>
        <v>47154</v>
      </c>
      <c r="G264" s="25">
        <f>IF(E264&lt;参数设置!$B$13,DATE(YEAR(EDATE(C264,E264+1)),MONTH(EDATE(C264,E264+1)),参数设置!$B$14),EDATE(C264,参数设置!$B$13))</f>
        <v>47182</v>
      </c>
      <c r="H264">
        <f>G264-F264</f>
        <v>28</v>
      </c>
      <c r="I264" s="21">
        <f>IF(E264=参数设置!$B$13,D264,0)</f>
        <v>0</v>
      </c>
      <c r="J264" s="21">
        <f>IF(M264=1,ROUND(D264*参数设置!$B$11*H264/参数设置!$B$12,参数设置!$B$15),0)</f>
        <v>60.06</v>
      </c>
      <c r="K264" s="21">
        <f>I264+J264</f>
        <v>60.06</v>
      </c>
      <c r="L264" s="25">
        <f>EDATE(C264,参数设置!$B$13)</f>
        <v>47248</v>
      </c>
      <c r="M264">
        <f>--(D264&gt;0)</f>
        <v>1</v>
      </c>
    </row>
    <row r="265" spans="1:13" ht="15" customHeight="1">
      <c r="A265">
        <v>22</v>
      </c>
      <c r="B265">
        <v>22</v>
      </c>
      <c r="C265" s="25">
        <f>INDEX(实际执行追踪!$A$7:$A$42,A265)+DAY(参数设置!$B$4)-1</f>
        <v>46883</v>
      </c>
      <c r="D265" s="21">
        <f>INDEX(实际执行追踪!$C$7:$C$42,A265)</f>
        <v>23400</v>
      </c>
      <c r="E265">
        <v>10</v>
      </c>
      <c r="F265" s="25">
        <f>IF(E265=1,C265,G264)</f>
        <v>47182</v>
      </c>
      <c r="G265" s="25">
        <f>IF(E265&lt;参数设置!$B$13,DATE(YEAR(EDATE(C265,E265+1)),MONTH(EDATE(C265,E265+1)),参数设置!$B$14),EDATE(C265,参数设置!$B$13))</f>
        <v>47213</v>
      </c>
      <c r="H265">
        <f>G265-F265</f>
        <v>31</v>
      </c>
      <c r="I265" s="21">
        <f>IF(E265=参数设置!$B$13,D265,0)</f>
        <v>0</v>
      </c>
      <c r="J265" s="21">
        <f>IF(M265=1,ROUND(D265*参数设置!$B$11*H265/参数设置!$B$12,参数设置!$B$15),0)</f>
        <v>66.5</v>
      </c>
      <c r="K265" s="21">
        <f>I265+J265</f>
        <v>66.5</v>
      </c>
      <c r="L265" s="25">
        <f>EDATE(C265,参数设置!$B$13)</f>
        <v>47248</v>
      </c>
      <c r="M265">
        <f>--(D265&gt;0)</f>
        <v>1</v>
      </c>
    </row>
    <row r="266" spans="1:13" ht="15" customHeight="1">
      <c r="A266">
        <v>22</v>
      </c>
      <c r="B266">
        <v>22</v>
      </c>
      <c r="C266" s="25">
        <f>INDEX(实际执行追踪!$A$7:$A$42,A266)+DAY(参数设置!$B$4)-1</f>
        <v>46883</v>
      </c>
      <c r="D266" s="21">
        <f>INDEX(实际执行追踪!$C$7:$C$42,A266)</f>
        <v>23400</v>
      </c>
      <c r="E266">
        <v>11</v>
      </c>
      <c r="F266" s="25">
        <f>IF(E266=1,C266,G265)</f>
        <v>47213</v>
      </c>
      <c r="G266" s="25">
        <f>IF(E266&lt;参数设置!$B$13,DATE(YEAR(EDATE(C266,E266+1)),MONTH(EDATE(C266,E266+1)),参数设置!$B$14),EDATE(C266,参数设置!$B$13))</f>
        <v>47243</v>
      </c>
      <c r="H266">
        <f>G266-F266</f>
        <v>30</v>
      </c>
      <c r="I266" s="21">
        <f>IF(E266=参数设置!$B$13,D266,0)</f>
        <v>0</v>
      </c>
      <c r="J266" s="21">
        <f>IF(M266=1,ROUND(D266*参数设置!$B$11*H266/参数设置!$B$12,参数设置!$B$15),0)</f>
        <v>64.349999999999994</v>
      </c>
      <c r="K266" s="21">
        <f>I266+J266</f>
        <v>64.349999999999994</v>
      </c>
      <c r="L266" s="25">
        <f>EDATE(C266,参数设置!$B$13)</f>
        <v>47248</v>
      </c>
      <c r="M266">
        <f>--(D266&gt;0)</f>
        <v>1</v>
      </c>
    </row>
    <row r="267" spans="1:13" ht="15" customHeight="1">
      <c r="A267">
        <v>22</v>
      </c>
      <c r="B267">
        <v>22</v>
      </c>
      <c r="C267" s="25">
        <f>INDEX(实际执行追踪!$A$7:$A$42,A267)+DAY(参数设置!$B$4)-1</f>
        <v>46883</v>
      </c>
      <c r="D267" s="21">
        <f>INDEX(实际执行追踪!$C$7:$C$42,A267)</f>
        <v>23400</v>
      </c>
      <c r="E267">
        <v>12</v>
      </c>
      <c r="F267" s="25">
        <f>IF(E267=1,C267,G266)</f>
        <v>47243</v>
      </c>
      <c r="G267" s="25">
        <f>IF(E267&lt;参数设置!$B$13,DATE(YEAR(EDATE(C267,E267+1)),MONTH(EDATE(C267,E267+1)),参数设置!$B$14),EDATE(C267,参数设置!$B$13))</f>
        <v>47248</v>
      </c>
      <c r="H267">
        <f>G267-F267</f>
        <v>5</v>
      </c>
      <c r="I267" s="21">
        <f>IF(E267=参数设置!$B$13,D267,0)</f>
        <v>23400</v>
      </c>
      <c r="J267" s="21">
        <f>IF(M267=1,ROUND(D267*参数设置!$B$11*H267/参数设置!$B$12,参数设置!$B$15),0)</f>
        <v>10.73</v>
      </c>
      <c r="K267" s="21">
        <f>I267+J267</f>
        <v>23410.73</v>
      </c>
      <c r="L267" s="25">
        <f>EDATE(C267,参数设置!$B$13)</f>
        <v>47248</v>
      </c>
      <c r="M267">
        <f>--(D267&gt;0)</f>
        <v>1</v>
      </c>
    </row>
    <row r="268" spans="1:13" ht="15" customHeight="1">
      <c r="A268">
        <v>23</v>
      </c>
      <c r="B268">
        <v>23</v>
      </c>
      <c r="C268" s="25">
        <f>INDEX(实际执行追踪!$A$7:$A$42,A268)+DAY(参数设置!$B$4)-1</f>
        <v>46914</v>
      </c>
      <c r="D268" s="21">
        <f>INDEX(实际执行追踪!$C$7:$C$42,A268)</f>
        <v>23400</v>
      </c>
      <c r="E268">
        <v>1</v>
      </c>
      <c r="F268" s="25">
        <f>IF(E268=1,C268,G267)</f>
        <v>46914</v>
      </c>
      <c r="G268" s="25">
        <f>IF(E268&lt;参数设置!$B$13,DATE(YEAR(EDATE(C268,E268+1)),MONTH(EDATE(C268,E268+1)),参数设置!$B$14),EDATE(C268,参数设置!$B$13))</f>
        <v>46970</v>
      </c>
      <c r="H268">
        <f>G268-F268</f>
        <v>56</v>
      </c>
      <c r="I268" s="21">
        <f>IF(E268=参数设置!$B$13,D268,0)</f>
        <v>0</v>
      </c>
      <c r="J268" s="21">
        <f>IF(M268=1,ROUND(D268*参数设置!$B$11*H268/参数设置!$B$12,参数设置!$B$15),0)</f>
        <v>120.12</v>
      </c>
      <c r="K268" s="21">
        <f>I268+J268</f>
        <v>120.12</v>
      </c>
      <c r="L268" s="25">
        <f>EDATE(C268,参数设置!$B$13)</f>
        <v>47279</v>
      </c>
      <c r="M268">
        <f>--(D268&gt;0)</f>
        <v>1</v>
      </c>
    </row>
    <row r="269" spans="1:13" ht="15" customHeight="1">
      <c r="A269">
        <v>23</v>
      </c>
      <c r="B269">
        <v>23</v>
      </c>
      <c r="C269" s="25">
        <f>INDEX(实际执行追踪!$A$7:$A$42,A269)+DAY(参数设置!$B$4)-1</f>
        <v>46914</v>
      </c>
      <c r="D269" s="21">
        <f>INDEX(实际执行追踪!$C$7:$C$42,A269)</f>
        <v>23400</v>
      </c>
      <c r="E269">
        <v>2</v>
      </c>
      <c r="F269" s="25">
        <f>IF(E269=1,C269,G268)</f>
        <v>46970</v>
      </c>
      <c r="G269" s="25">
        <f>IF(E269&lt;参数设置!$B$13,DATE(YEAR(EDATE(C269,E269+1)),MONTH(EDATE(C269,E269+1)),参数设置!$B$14),EDATE(C269,参数设置!$B$13))</f>
        <v>47001</v>
      </c>
      <c r="H269">
        <f>G269-F269</f>
        <v>31</v>
      </c>
      <c r="I269" s="21">
        <f>IF(E269=参数设置!$B$13,D269,0)</f>
        <v>0</v>
      </c>
      <c r="J269" s="21">
        <f>IF(M269=1,ROUND(D269*参数设置!$B$11*H269/参数设置!$B$12,参数设置!$B$15),0)</f>
        <v>66.5</v>
      </c>
      <c r="K269" s="21">
        <f>I269+J269</f>
        <v>66.5</v>
      </c>
      <c r="L269" s="25">
        <f>EDATE(C269,参数设置!$B$13)</f>
        <v>47279</v>
      </c>
      <c r="M269">
        <f>--(D269&gt;0)</f>
        <v>1</v>
      </c>
    </row>
    <row r="270" spans="1:13" ht="15" customHeight="1">
      <c r="A270">
        <v>23</v>
      </c>
      <c r="B270">
        <v>23</v>
      </c>
      <c r="C270" s="25">
        <f>INDEX(实际执行追踪!$A$7:$A$42,A270)+DAY(参数设置!$B$4)-1</f>
        <v>46914</v>
      </c>
      <c r="D270" s="21">
        <f>INDEX(实际执行追踪!$C$7:$C$42,A270)</f>
        <v>23400</v>
      </c>
      <c r="E270">
        <v>3</v>
      </c>
      <c r="F270" s="25">
        <f>IF(E270=1,C270,G269)</f>
        <v>47001</v>
      </c>
      <c r="G270" s="25">
        <f>IF(E270&lt;参数设置!$B$13,DATE(YEAR(EDATE(C270,E270+1)),MONTH(EDATE(C270,E270+1)),参数设置!$B$14),EDATE(C270,参数设置!$B$13))</f>
        <v>47031</v>
      </c>
      <c r="H270">
        <f>G270-F270</f>
        <v>30</v>
      </c>
      <c r="I270" s="21">
        <f>IF(E270=参数设置!$B$13,D270,0)</f>
        <v>0</v>
      </c>
      <c r="J270" s="21">
        <f>IF(M270=1,ROUND(D270*参数设置!$B$11*H270/参数设置!$B$12,参数设置!$B$15),0)</f>
        <v>64.349999999999994</v>
      </c>
      <c r="K270" s="21">
        <f>I270+J270</f>
        <v>64.349999999999994</v>
      </c>
      <c r="L270" s="25">
        <f>EDATE(C270,参数设置!$B$13)</f>
        <v>47279</v>
      </c>
      <c r="M270">
        <f>--(D270&gt;0)</f>
        <v>1</v>
      </c>
    </row>
    <row r="271" spans="1:13" ht="15" customHeight="1">
      <c r="A271">
        <v>23</v>
      </c>
      <c r="B271">
        <v>23</v>
      </c>
      <c r="C271" s="25">
        <f>INDEX(实际执行追踪!$A$7:$A$42,A271)+DAY(参数设置!$B$4)-1</f>
        <v>46914</v>
      </c>
      <c r="D271" s="21">
        <f>INDEX(实际执行追踪!$C$7:$C$42,A271)</f>
        <v>23400</v>
      </c>
      <c r="E271">
        <v>4</v>
      </c>
      <c r="F271" s="25">
        <f>IF(E271=1,C271,G270)</f>
        <v>47031</v>
      </c>
      <c r="G271" s="25">
        <f>IF(E271&lt;参数设置!$B$13,DATE(YEAR(EDATE(C271,E271+1)),MONTH(EDATE(C271,E271+1)),参数设置!$B$14),EDATE(C271,参数设置!$B$13))</f>
        <v>47062</v>
      </c>
      <c r="H271">
        <f>G271-F271</f>
        <v>31</v>
      </c>
      <c r="I271" s="21">
        <f>IF(E271=参数设置!$B$13,D271,0)</f>
        <v>0</v>
      </c>
      <c r="J271" s="21">
        <f>IF(M271=1,ROUND(D271*参数设置!$B$11*H271/参数设置!$B$12,参数设置!$B$15),0)</f>
        <v>66.5</v>
      </c>
      <c r="K271" s="21">
        <f>I271+J271</f>
        <v>66.5</v>
      </c>
      <c r="L271" s="25">
        <f>EDATE(C271,参数设置!$B$13)</f>
        <v>47279</v>
      </c>
      <c r="M271">
        <f>--(D271&gt;0)</f>
        <v>1</v>
      </c>
    </row>
    <row r="272" spans="1:13" ht="15" customHeight="1">
      <c r="A272">
        <v>23</v>
      </c>
      <c r="B272">
        <v>23</v>
      </c>
      <c r="C272" s="25">
        <f>INDEX(实际执行追踪!$A$7:$A$42,A272)+DAY(参数设置!$B$4)-1</f>
        <v>46914</v>
      </c>
      <c r="D272" s="21">
        <f>INDEX(实际执行追踪!$C$7:$C$42,A272)</f>
        <v>23400</v>
      </c>
      <c r="E272">
        <v>5</v>
      </c>
      <c r="F272" s="25">
        <f>IF(E272=1,C272,G271)</f>
        <v>47062</v>
      </c>
      <c r="G272" s="25">
        <f>IF(E272&lt;参数设置!$B$13,DATE(YEAR(EDATE(C272,E272+1)),MONTH(EDATE(C272,E272+1)),参数设置!$B$14),EDATE(C272,参数设置!$B$13))</f>
        <v>47092</v>
      </c>
      <c r="H272">
        <f>G272-F272</f>
        <v>30</v>
      </c>
      <c r="I272" s="21">
        <f>IF(E272=参数设置!$B$13,D272,0)</f>
        <v>0</v>
      </c>
      <c r="J272" s="21">
        <f>IF(M272=1,ROUND(D272*参数设置!$B$11*H272/参数设置!$B$12,参数设置!$B$15),0)</f>
        <v>64.349999999999994</v>
      </c>
      <c r="K272" s="21">
        <f>I272+J272</f>
        <v>64.349999999999994</v>
      </c>
      <c r="L272" s="25">
        <f>EDATE(C272,参数设置!$B$13)</f>
        <v>47279</v>
      </c>
      <c r="M272">
        <f>--(D272&gt;0)</f>
        <v>1</v>
      </c>
    </row>
    <row r="273" spans="1:13" ht="15" customHeight="1">
      <c r="A273">
        <v>23</v>
      </c>
      <c r="B273">
        <v>23</v>
      </c>
      <c r="C273" s="25">
        <f>INDEX(实际执行追踪!$A$7:$A$42,A273)+DAY(参数设置!$B$4)-1</f>
        <v>46914</v>
      </c>
      <c r="D273" s="21">
        <f>INDEX(实际执行追踪!$C$7:$C$42,A273)</f>
        <v>23400</v>
      </c>
      <c r="E273">
        <v>6</v>
      </c>
      <c r="F273" s="25">
        <f>IF(E273=1,C273,G272)</f>
        <v>47092</v>
      </c>
      <c r="G273" s="25">
        <f>IF(E273&lt;参数设置!$B$13,DATE(YEAR(EDATE(C273,E273+1)),MONTH(EDATE(C273,E273+1)),参数设置!$B$14),EDATE(C273,参数设置!$B$13))</f>
        <v>47123</v>
      </c>
      <c r="H273">
        <f>G273-F273</f>
        <v>31</v>
      </c>
      <c r="I273" s="21">
        <f>IF(E273=参数设置!$B$13,D273,0)</f>
        <v>0</v>
      </c>
      <c r="J273" s="21">
        <f>IF(M273=1,ROUND(D273*参数设置!$B$11*H273/参数设置!$B$12,参数设置!$B$15),0)</f>
        <v>66.5</v>
      </c>
      <c r="K273" s="21">
        <f>I273+J273</f>
        <v>66.5</v>
      </c>
      <c r="L273" s="25">
        <f>EDATE(C273,参数设置!$B$13)</f>
        <v>47279</v>
      </c>
      <c r="M273">
        <f>--(D273&gt;0)</f>
        <v>1</v>
      </c>
    </row>
    <row r="274" spans="1:13" ht="15" customHeight="1">
      <c r="A274">
        <v>23</v>
      </c>
      <c r="B274">
        <v>23</v>
      </c>
      <c r="C274" s="25">
        <f>INDEX(实际执行追踪!$A$7:$A$42,A274)+DAY(参数设置!$B$4)-1</f>
        <v>46914</v>
      </c>
      <c r="D274" s="21">
        <f>INDEX(实际执行追踪!$C$7:$C$42,A274)</f>
        <v>23400</v>
      </c>
      <c r="E274">
        <v>7</v>
      </c>
      <c r="F274" s="25">
        <f>IF(E274=1,C274,G273)</f>
        <v>47123</v>
      </c>
      <c r="G274" s="25">
        <f>IF(E274&lt;参数设置!$B$13,DATE(YEAR(EDATE(C274,E274+1)),MONTH(EDATE(C274,E274+1)),参数设置!$B$14),EDATE(C274,参数设置!$B$13))</f>
        <v>47154</v>
      </c>
      <c r="H274">
        <f>G274-F274</f>
        <v>31</v>
      </c>
      <c r="I274" s="21">
        <f>IF(E274=参数设置!$B$13,D274,0)</f>
        <v>0</v>
      </c>
      <c r="J274" s="21">
        <f>IF(M274=1,ROUND(D274*参数设置!$B$11*H274/参数设置!$B$12,参数设置!$B$15),0)</f>
        <v>66.5</v>
      </c>
      <c r="K274" s="21">
        <f>I274+J274</f>
        <v>66.5</v>
      </c>
      <c r="L274" s="25">
        <f>EDATE(C274,参数设置!$B$13)</f>
        <v>47279</v>
      </c>
      <c r="M274">
        <f>--(D274&gt;0)</f>
        <v>1</v>
      </c>
    </row>
    <row r="275" spans="1:13" ht="15" customHeight="1">
      <c r="A275">
        <v>23</v>
      </c>
      <c r="B275">
        <v>23</v>
      </c>
      <c r="C275" s="25">
        <f>INDEX(实际执行追踪!$A$7:$A$42,A275)+DAY(参数设置!$B$4)-1</f>
        <v>46914</v>
      </c>
      <c r="D275" s="21">
        <f>INDEX(实际执行追踪!$C$7:$C$42,A275)</f>
        <v>23400</v>
      </c>
      <c r="E275">
        <v>8</v>
      </c>
      <c r="F275" s="25">
        <f>IF(E275=1,C275,G274)</f>
        <v>47154</v>
      </c>
      <c r="G275" s="25">
        <f>IF(E275&lt;参数设置!$B$13,DATE(YEAR(EDATE(C275,E275+1)),MONTH(EDATE(C275,E275+1)),参数设置!$B$14),EDATE(C275,参数设置!$B$13))</f>
        <v>47182</v>
      </c>
      <c r="H275">
        <f>G275-F275</f>
        <v>28</v>
      </c>
      <c r="I275" s="21">
        <f>IF(E275=参数设置!$B$13,D275,0)</f>
        <v>0</v>
      </c>
      <c r="J275" s="21">
        <f>IF(M275=1,ROUND(D275*参数设置!$B$11*H275/参数设置!$B$12,参数设置!$B$15),0)</f>
        <v>60.06</v>
      </c>
      <c r="K275" s="21">
        <f>I275+J275</f>
        <v>60.06</v>
      </c>
      <c r="L275" s="25">
        <f>EDATE(C275,参数设置!$B$13)</f>
        <v>47279</v>
      </c>
      <c r="M275">
        <f>--(D275&gt;0)</f>
        <v>1</v>
      </c>
    </row>
    <row r="276" spans="1:13" ht="15" customHeight="1">
      <c r="A276">
        <v>23</v>
      </c>
      <c r="B276">
        <v>23</v>
      </c>
      <c r="C276" s="25">
        <f>INDEX(实际执行追踪!$A$7:$A$42,A276)+DAY(参数设置!$B$4)-1</f>
        <v>46914</v>
      </c>
      <c r="D276" s="21">
        <f>INDEX(实际执行追踪!$C$7:$C$42,A276)</f>
        <v>23400</v>
      </c>
      <c r="E276">
        <v>9</v>
      </c>
      <c r="F276" s="25">
        <f>IF(E276=1,C276,G275)</f>
        <v>47182</v>
      </c>
      <c r="G276" s="25">
        <f>IF(E276&lt;参数设置!$B$13,DATE(YEAR(EDATE(C276,E276+1)),MONTH(EDATE(C276,E276+1)),参数设置!$B$14),EDATE(C276,参数设置!$B$13))</f>
        <v>47213</v>
      </c>
      <c r="H276">
        <f>G276-F276</f>
        <v>31</v>
      </c>
      <c r="I276" s="21">
        <f>IF(E276=参数设置!$B$13,D276,0)</f>
        <v>0</v>
      </c>
      <c r="J276" s="21">
        <f>IF(M276=1,ROUND(D276*参数设置!$B$11*H276/参数设置!$B$12,参数设置!$B$15),0)</f>
        <v>66.5</v>
      </c>
      <c r="K276" s="21">
        <f>I276+J276</f>
        <v>66.5</v>
      </c>
      <c r="L276" s="25">
        <f>EDATE(C276,参数设置!$B$13)</f>
        <v>47279</v>
      </c>
      <c r="M276">
        <f>--(D276&gt;0)</f>
        <v>1</v>
      </c>
    </row>
    <row r="277" spans="1:13" ht="15" customHeight="1">
      <c r="A277">
        <v>23</v>
      </c>
      <c r="B277">
        <v>23</v>
      </c>
      <c r="C277" s="25">
        <f>INDEX(实际执行追踪!$A$7:$A$42,A277)+DAY(参数设置!$B$4)-1</f>
        <v>46914</v>
      </c>
      <c r="D277" s="21">
        <f>INDEX(实际执行追踪!$C$7:$C$42,A277)</f>
        <v>23400</v>
      </c>
      <c r="E277">
        <v>10</v>
      </c>
      <c r="F277" s="25">
        <f>IF(E277=1,C277,G276)</f>
        <v>47213</v>
      </c>
      <c r="G277" s="25">
        <f>IF(E277&lt;参数设置!$B$13,DATE(YEAR(EDATE(C277,E277+1)),MONTH(EDATE(C277,E277+1)),参数设置!$B$14),EDATE(C277,参数设置!$B$13))</f>
        <v>47243</v>
      </c>
      <c r="H277">
        <f>G277-F277</f>
        <v>30</v>
      </c>
      <c r="I277" s="21">
        <f>IF(E277=参数设置!$B$13,D277,0)</f>
        <v>0</v>
      </c>
      <c r="J277" s="21">
        <f>IF(M277=1,ROUND(D277*参数设置!$B$11*H277/参数设置!$B$12,参数设置!$B$15),0)</f>
        <v>64.349999999999994</v>
      </c>
      <c r="K277" s="21">
        <f>I277+J277</f>
        <v>64.349999999999994</v>
      </c>
      <c r="L277" s="25">
        <f>EDATE(C277,参数设置!$B$13)</f>
        <v>47279</v>
      </c>
      <c r="M277">
        <f>--(D277&gt;0)</f>
        <v>1</v>
      </c>
    </row>
    <row r="278" spans="1:13" ht="15" customHeight="1">
      <c r="A278">
        <v>23</v>
      </c>
      <c r="B278">
        <v>23</v>
      </c>
      <c r="C278" s="25">
        <f>INDEX(实际执行追踪!$A$7:$A$42,A278)+DAY(参数设置!$B$4)-1</f>
        <v>46914</v>
      </c>
      <c r="D278" s="21">
        <f>INDEX(实际执行追踪!$C$7:$C$42,A278)</f>
        <v>23400</v>
      </c>
      <c r="E278">
        <v>11</v>
      </c>
      <c r="F278" s="25">
        <f>IF(E278=1,C278,G277)</f>
        <v>47243</v>
      </c>
      <c r="G278" s="25">
        <f>IF(E278&lt;参数设置!$B$13,DATE(YEAR(EDATE(C278,E278+1)),MONTH(EDATE(C278,E278+1)),参数设置!$B$14),EDATE(C278,参数设置!$B$13))</f>
        <v>47274</v>
      </c>
      <c r="H278">
        <f>G278-F278</f>
        <v>31</v>
      </c>
      <c r="I278" s="21">
        <f>IF(E278=参数设置!$B$13,D278,0)</f>
        <v>0</v>
      </c>
      <c r="J278" s="21">
        <f>IF(M278=1,ROUND(D278*参数设置!$B$11*H278/参数设置!$B$12,参数设置!$B$15),0)</f>
        <v>66.5</v>
      </c>
      <c r="K278" s="21">
        <f>I278+J278</f>
        <v>66.5</v>
      </c>
      <c r="L278" s="25">
        <f>EDATE(C278,参数设置!$B$13)</f>
        <v>47279</v>
      </c>
      <c r="M278">
        <f>--(D278&gt;0)</f>
        <v>1</v>
      </c>
    </row>
    <row r="279" spans="1:13" ht="15" customHeight="1">
      <c r="A279">
        <v>23</v>
      </c>
      <c r="B279">
        <v>23</v>
      </c>
      <c r="C279" s="25">
        <f>INDEX(实际执行追踪!$A$7:$A$42,A279)+DAY(参数设置!$B$4)-1</f>
        <v>46914</v>
      </c>
      <c r="D279" s="21">
        <f>INDEX(实际执行追踪!$C$7:$C$42,A279)</f>
        <v>23400</v>
      </c>
      <c r="E279">
        <v>12</v>
      </c>
      <c r="F279" s="25">
        <f>IF(E279=1,C279,G278)</f>
        <v>47274</v>
      </c>
      <c r="G279" s="25">
        <f>IF(E279&lt;参数设置!$B$13,DATE(YEAR(EDATE(C279,E279+1)),MONTH(EDATE(C279,E279+1)),参数设置!$B$14),EDATE(C279,参数设置!$B$13))</f>
        <v>47279</v>
      </c>
      <c r="H279">
        <f>G279-F279</f>
        <v>5</v>
      </c>
      <c r="I279" s="21">
        <f>IF(E279=参数设置!$B$13,D279,0)</f>
        <v>23400</v>
      </c>
      <c r="J279" s="21">
        <f>IF(M279=1,ROUND(D279*参数设置!$B$11*H279/参数设置!$B$12,参数设置!$B$15),0)</f>
        <v>10.73</v>
      </c>
      <c r="K279" s="21">
        <f>I279+J279</f>
        <v>23410.73</v>
      </c>
      <c r="L279" s="25">
        <f>EDATE(C279,参数设置!$B$13)</f>
        <v>47279</v>
      </c>
      <c r="M279">
        <f>--(D279&gt;0)</f>
        <v>1</v>
      </c>
    </row>
    <row r="280" spans="1:13" ht="15" customHeight="1">
      <c r="A280">
        <v>24</v>
      </c>
      <c r="B280">
        <v>24</v>
      </c>
      <c r="C280" s="25">
        <f>INDEX(实际执行追踪!$A$7:$A$42,A280)+DAY(参数设置!$B$4)-1</f>
        <v>46944</v>
      </c>
      <c r="D280" s="21">
        <f>INDEX(实际执行追踪!$C$7:$C$42,A280)</f>
        <v>23400</v>
      </c>
      <c r="E280">
        <v>1</v>
      </c>
      <c r="F280" s="25">
        <f>IF(E280=1,C280,G279)</f>
        <v>46944</v>
      </c>
      <c r="G280" s="25">
        <f>IF(E280&lt;参数设置!$B$13,DATE(YEAR(EDATE(C280,E280+1)),MONTH(EDATE(C280,E280+1)),参数设置!$B$14),EDATE(C280,参数设置!$B$13))</f>
        <v>47001</v>
      </c>
      <c r="H280">
        <f>G280-F280</f>
        <v>57</v>
      </c>
      <c r="I280" s="21">
        <f>IF(E280=参数设置!$B$13,D280,0)</f>
        <v>0</v>
      </c>
      <c r="J280" s="21">
        <f>IF(M280=1,ROUND(D280*参数设置!$B$11*H280/参数设置!$B$12,参数设置!$B$15),0)</f>
        <v>122.27</v>
      </c>
      <c r="K280" s="21">
        <f>I280+J280</f>
        <v>122.27</v>
      </c>
      <c r="L280" s="25">
        <f>EDATE(C280,参数设置!$B$13)</f>
        <v>47309</v>
      </c>
      <c r="M280">
        <f>--(D280&gt;0)</f>
        <v>1</v>
      </c>
    </row>
    <row r="281" spans="1:13" ht="15" customHeight="1">
      <c r="A281">
        <v>24</v>
      </c>
      <c r="B281">
        <v>24</v>
      </c>
      <c r="C281" s="25">
        <f>INDEX(实际执行追踪!$A$7:$A$42,A281)+DAY(参数设置!$B$4)-1</f>
        <v>46944</v>
      </c>
      <c r="D281" s="21">
        <f>INDEX(实际执行追踪!$C$7:$C$42,A281)</f>
        <v>23400</v>
      </c>
      <c r="E281">
        <v>2</v>
      </c>
      <c r="F281" s="25">
        <f>IF(E281=1,C281,G280)</f>
        <v>47001</v>
      </c>
      <c r="G281" s="25">
        <f>IF(E281&lt;参数设置!$B$13,DATE(YEAR(EDATE(C281,E281+1)),MONTH(EDATE(C281,E281+1)),参数设置!$B$14),EDATE(C281,参数设置!$B$13))</f>
        <v>47031</v>
      </c>
      <c r="H281">
        <f>G281-F281</f>
        <v>30</v>
      </c>
      <c r="I281" s="21">
        <f>IF(E281=参数设置!$B$13,D281,0)</f>
        <v>0</v>
      </c>
      <c r="J281" s="21">
        <f>IF(M281=1,ROUND(D281*参数设置!$B$11*H281/参数设置!$B$12,参数设置!$B$15),0)</f>
        <v>64.349999999999994</v>
      </c>
      <c r="K281" s="21">
        <f>I281+J281</f>
        <v>64.349999999999994</v>
      </c>
      <c r="L281" s="25">
        <f>EDATE(C281,参数设置!$B$13)</f>
        <v>47309</v>
      </c>
      <c r="M281">
        <f>--(D281&gt;0)</f>
        <v>1</v>
      </c>
    </row>
    <row r="282" spans="1:13" ht="15" customHeight="1">
      <c r="A282">
        <v>24</v>
      </c>
      <c r="B282">
        <v>24</v>
      </c>
      <c r="C282" s="25">
        <f>INDEX(实际执行追踪!$A$7:$A$42,A282)+DAY(参数设置!$B$4)-1</f>
        <v>46944</v>
      </c>
      <c r="D282" s="21">
        <f>INDEX(实际执行追踪!$C$7:$C$42,A282)</f>
        <v>23400</v>
      </c>
      <c r="E282">
        <v>3</v>
      </c>
      <c r="F282" s="25">
        <f>IF(E282=1,C282,G281)</f>
        <v>47031</v>
      </c>
      <c r="G282" s="25">
        <f>IF(E282&lt;参数设置!$B$13,DATE(YEAR(EDATE(C282,E282+1)),MONTH(EDATE(C282,E282+1)),参数设置!$B$14),EDATE(C282,参数设置!$B$13))</f>
        <v>47062</v>
      </c>
      <c r="H282">
        <f>G282-F282</f>
        <v>31</v>
      </c>
      <c r="I282" s="21">
        <f>IF(E282=参数设置!$B$13,D282,0)</f>
        <v>0</v>
      </c>
      <c r="J282" s="21">
        <f>IF(M282=1,ROUND(D282*参数设置!$B$11*H282/参数设置!$B$12,参数设置!$B$15),0)</f>
        <v>66.5</v>
      </c>
      <c r="K282" s="21">
        <f>I282+J282</f>
        <v>66.5</v>
      </c>
      <c r="L282" s="25">
        <f>EDATE(C282,参数设置!$B$13)</f>
        <v>47309</v>
      </c>
      <c r="M282">
        <f>--(D282&gt;0)</f>
        <v>1</v>
      </c>
    </row>
    <row r="283" spans="1:13" ht="15" customHeight="1">
      <c r="A283">
        <v>24</v>
      </c>
      <c r="B283">
        <v>24</v>
      </c>
      <c r="C283" s="25">
        <f>INDEX(实际执行追踪!$A$7:$A$42,A283)+DAY(参数设置!$B$4)-1</f>
        <v>46944</v>
      </c>
      <c r="D283" s="21">
        <f>INDEX(实际执行追踪!$C$7:$C$42,A283)</f>
        <v>23400</v>
      </c>
      <c r="E283">
        <v>4</v>
      </c>
      <c r="F283" s="25">
        <f>IF(E283=1,C283,G282)</f>
        <v>47062</v>
      </c>
      <c r="G283" s="25">
        <f>IF(E283&lt;参数设置!$B$13,DATE(YEAR(EDATE(C283,E283+1)),MONTH(EDATE(C283,E283+1)),参数设置!$B$14),EDATE(C283,参数设置!$B$13))</f>
        <v>47092</v>
      </c>
      <c r="H283">
        <f>G283-F283</f>
        <v>30</v>
      </c>
      <c r="I283" s="21">
        <f>IF(E283=参数设置!$B$13,D283,0)</f>
        <v>0</v>
      </c>
      <c r="J283" s="21">
        <f>IF(M283=1,ROUND(D283*参数设置!$B$11*H283/参数设置!$B$12,参数设置!$B$15),0)</f>
        <v>64.349999999999994</v>
      </c>
      <c r="K283" s="21">
        <f>I283+J283</f>
        <v>64.349999999999994</v>
      </c>
      <c r="L283" s="25">
        <f>EDATE(C283,参数设置!$B$13)</f>
        <v>47309</v>
      </c>
      <c r="M283">
        <f>--(D283&gt;0)</f>
        <v>1</v>
      </c>
    </row>
    <row r="284" spans="1:13" ht="15" customHeight="1">
      <c r="A284">
        <v>24</v>
      </c>
      <c r="B284">
        <v>24</v>
      </c>
      <c r="C284" s="25">
        <f>INDEX(实际执行追踪!$A$7:$A$42,A284)+DAY(参数设置!$B$4)-1</f>
        <v>46944</v>
      </c>
      <c r="D284" s="21">
        <f>INDEX(实际执行追踪!$C$7:$C$42,A284)</f>
        <v>23400</v>
      </c>
      <c r="E284">
        <v>5</v>
      </c>
      <c r="F284" s="25">
        <f>IF(E284=1,C284,G283)</f>
        <v>47092</v>
      </c>
      <c r="G284" s="25">
        <f>IF(E284&lt;参数设置!$B$13,DATE(YEAR(EDATE(C284,E284+1)),MONTH(EDATE(C284,E284+1)),参数设置!$B$14),EDATE(C284,参数设置!$B$13))</f>
        <v>47123</v>
      </c>
      <c r="H284">
        <f>G284-F284</f>
        <v>31</v>
      </c>
      <c r="I284" s="21">
        <f>IF(E284=参数设置!$B$13,D284,0)</f>
        <v>0</v>
      </c>
      <c r="J284" s="21">
        <f>IF(M284=1,ROUND(D284*参数设置!$B$11*H284/参数设置!$B$12,参数设置!$B$15),0)</f>
        <v>66.5</v>
      </c>
      <c r="K284" s="21">
        <f>I284+J284</f>
        <v>66.5</v>
      </c>
      <c r="L284" s="25">
        <f>EDATE(C284,参数设置!$B$13)</f>
        <v>47309</v>
      </c>
      <c r="M284">
        <f>--(D284&gt;0)</f>
        <v>1</v>
      </c>
    </row>
    <row r="285" spans="1:13" ht="15" customHeight="1">
      <c r="A285">
        <v>24</v>
      </c>
      <c r="B285">
        <v>24</v>
      </c>
      <c r="C285" s="25">
        <f>INDEX(实际执行追踪!$A$7:$A$42,A285)+DAY(参数设置!$B$4)-1</f>
        <v>46944</v>
      </c>
      <c r="D285" s="21">
        <f>INDEX(实际执行追踪!$C$7:$C$42,A285)</f>
        <v>23400</v>
      </c>
      <c r="E285">
        <v>6</v>
      </c>
      <c r="F285" s="25">
        <f>IF(E285=1,C285,G284)</f>
        <v>47123</v>
      </c>
      <c r="G285" s="25">
        <f>IF(E285&lt;参数设置!$B$13,DATE(YEAR(EDATE(C285,E285+1)),MONTH(EDATE(C285,E285+1)),参数设置!$B$14),EDATE(C285,参数设置!$B$13))</f>
        <v>47154</v>
      </c>
      <c r="H285">
        <f>G285-F285</f>
        <v>31</v>
      </c>
      <c r="I285" s="21">
        <f>IF(E285=参数设置!$B$13,D285,0)</f>
        <v>0</v>
      </c>
      <c r="J285" s="21">
        <f>IF(M285=1,ROUND(D285*参数设置!$B$11*H285/参数设置!$B$12,参数设置!$B$15),0)</f>
        <v>66.5</v>
      </c>
      <c r="K285" s="21">
        <f>I285+J285</f>
        <v>66.5</v>
      </c>
      <c r="L285" s="25">
        <f>EDATE(C285,参数设置!$B$13)</f>
        <v>47309</v>
      </c>
      <c r="M285">
        <f>--(D285&gt;0)</f>
        <v>1</v>
      </c>
    </row>
    <row r="286" spans="1:13" ht="15" customHeight="1">
      <c r="A286">
        <v>24</v>
      </c>
      <c r="B286">
        <v>24</v>
      </c>
      <c r="C286" s="25">
        <f>INDEX(实际执行追踪!$A$7:$A$42,A286)+DAY(参数设置!$B$4)-1</f>
        <v>46944</v>
      </c>
      <c r="D286" s="21">
        <f>INDEX(实际执行追踪!$C$7:$C$42,A286)</f>
        <v>23400</v>
      </c>
      <c r="E286">
        <v>7</v>
      </c>
      <c r="F286" s="25">
        <f>IF(E286=1,C286,G285)</f>
        <v>47154</v>
      </c>
      <c r="G286" s="25">
        <f>IF(E286&lt;参数设置!$B$13,DATE(YEAR(EDATE(C286,E286+1)),MONTH(EDATE(C286,E286+1)),参数设置!$B$14),EDATE(C286,参数设置!$B$13))</f>
        <v>47182</v>
      </c>
      <c r="H286">
        <f>G286-F286</f>
        <v>28</v>
      </c>
      <c r="I286" s="21">
        <f>IF(E286=参数设置!$B$13,D286,0)</f>
        <v>0</v>
      </c>
      <c r="J286" s="21">
        <f>IF(M286=1,ROUND(D286*参数设置!$B$11*H286/参数设置!$B$12,参数设置!$B$15),0)</f>
        <v>60.06</v>
      </c>
      <c r="K286" s="21">
        <f>I286+J286</f>
        <v>60.06</v>
      </c>
      <c r="L286" s="25">
        <f>EDATE(C286,参数设置!$B$13)</f>
        <v>47309</v>
      </c>
      <c r="M286">
        <f>--(D286&gt;0)</f>
        <v>1</v>
      </c>
    </row>
    <row r="287" spans="1:13" ht="15" customHeight="1">
      <c r="A287">
        <v>24</v>
      </c>
      <c r="B287">
        <v>24</v>
      </c>
      <c r="C287" s="25">
        <f>INDEX(实际执行追踪!$A$7:$A$42,A287)+DAY(参数设置!$B$4)-1</f>
        <v>46944</v>
      </c>
      <c r="D287" s="21">
        <f>INDEX(实际执行追踪!$C$7:$C$42,A287)</f>
        <v>23400</v>
      </c>
      <c r="E287">
        <v>8</v>
      </c>
      <c r="F287" s="25">
        <f>IF(E287=1,C287,G286)</f>
        <v>47182</v>
      </c>
      <c r="G287" s="25">
        <f>IF(E287&lt;参数设置!$B$13,DATE(YEAR(EDATE(C287,E287+1)),MONTH(EDATE(C287,E287+1)),参数设置!$B$14),EDATE(C287,参数设置!$B$13))</f>
        <v>47213</v>
      </c>
      <c r="H287">
        <f>G287-F287</f>
        <v>31</v>
      </c>
      <c r="I287" s="21">
        <f>IF(E287=参数设置!$B$13,D287,0)</f>
        <v>0</v>
      </c>
      <c r="J287" s="21">
        <f>IF(M287=1,ROUND(D287*参数设置!$B$11*H287/参数设置!$B$12,参数设置!$B$15),0)</f>
        <v>66.5</v>
      </c>
      <c r="K287" s="21">
        <f>I287+J287</f>
        <v>66.5</v>
      </c>
      <c r="L287" s="25">
        <f>EDATE(C287,参数设置!$B$13)</f>
        <v>47309</v>
      </c>
      <c r="M287">
        <f>--(D287&gt;0)</f>
        <v>1</v>
      </c>
    </row>
    <row r="288" spans="1:13" ht="15" customHeight="1">
      <c r="A288">
        <v>24</v>
      </c>
      <c r="B288">
        <v>24</v>
      </c>
      <c r="C288" s="25">
        <f>INDEX(实际执行追踪!$A$7:$A$42,A288)+DAY(参数设置!$B$4)-1</f>
        <v>46944</v>
      </c>
      <c r="D288" s="21">
        <f>INDEX(实际执行追踪!$C$7:$C$42,A288)</f>
        <v>23400</v>
      </c>
      <c r="E288">
        <v>9</v>
      </c>
      <c r="F288" s="25">
        <f>IF(E288=1,C288,G287)</f>
        <v>47213</v>
      </c>
      <c r="G288" s="25">
        <f>IF(E288&lt;参数设置!$B$13,DATE(YEAR(EDATE(C288,E288+1)),MONTH(EDATE(C288,E288+1)),参数设置!$B$14),EDATE(C288,参数设置!$B$13))</f>
        <v>47243</v>
      </c>
      <c r="H288">
        <f>G288-F288</f>
        <v>30</v>
      </c>
      <c r="I288" s="21">
        <f>IF(E288=参数设置!$B$13,D288,0)</f>
        <v>0</v>
      </c>
      <c r="J288" s="21">
        <f>IF(M288=1,ROUND(D288*参数设置!$B$11*H288/参数设置!$B$12,参数设置!$B$15),0)</f>
        <v>64.349999999999994</v>
      </c>
      <c r="K288" s="21">
        <f>I288+J288</f>
        <v>64.349999999999994</v>
      </c>
      <c r="L288" s="25">
        <f>EDATE(C288,参数设置!$B$13)</f>
        <v>47309</v>
      </c>
      <c r="M288">
        <f>--(D288&gt;0)</f>
        <v>1</v>
      </c>
    </row>
    <row r="289" spans="1:13" ht="15" customHeight="1">
      <c r="A289">
        <v>24</v>
      </c>
      <c r="B289">
        <v>24</v>
      </c>
      <c r="C289" s="25">
        <f>INDEX(实际执行追踪!$A$7:$A$42,A289)+DAY(参数设置!$B$4)-1</f>
        <v>46944</v>
      </c>
      <c r="D289" s="21">
        <f>INDEX(实际执行追踪!$C$7:$C$42,A289)</f>
        <v>23400</v>
      </c>
      <c r="E289">
        <v>10</v>
      </c>
      <c r="F289" s="25">
        <f>IF(E289=1,C289,G288)</f>
        <v>47243</v>
      </c>
      <c r="G289" s="25">
        <f>IF(E289&lt;参数设置!$B$13,DATE(YEAR(EDATE(C289,E289+1)),MONTH(EDATE(C289,E289+1)),参数设置!$B$14),EDATE(C289,参数设置!$B$13))</f>
        <v>47274</v>
      </c>
      <c r="H289">
        <f>G289-F289</f>
        <v>31</v>
      </c>
      <c r="I289" s="21">
        <f>IF(E289=参数设置!$B$13,D289,0)</f>
        <v>0</v>
      </c>
      <c r="J289" s="21">
        <f>IF(M289=1,ROUND(D289*参数设置!$B$11*H289/参数设置!$B$12,参数设置!$B$15),0)</f>
        <v>66.5</v>
      </c>
      <c r="K289" s="21">
        <f>I289+J289</f>
        <v>66.5</v>
      </c>
      <c r="L289" s="25">
        <f>EDATE(C289,参数设置!$B$13)</f>
        <v>47309</v>
      </c>
      <c r="M289">
        <f>--(D289&gt;0)</f>
        <v>1</v>
      </c>
    </row>
    <row r="290" spans="1:13" ht="15" customHeight="1">
      <c r="A290">
        <v>24</v>
      </c>
      <c r="B290">
        <v>24</v>
      </c>
      <c r="C290" s="25">
        <f>INDEX(实际执行追踪!$A$7:$A$42,A290)+DAY(参数设置!$B$4)-1</f>
        <v>46944</v>
      </c>
      <c r="D290" s="21">
        <f>INDEX(实际执行追踪!$C$7:$C$42,A290)</f>
        <v>23400</v>
      </c>
      <c r="E290">
        <v>11</v>
      </c>
      <c r="F290" s="25">
        <f>IF(E290=1,C290,G289)</f>
        <v>47274</v>
      </c>
      <c r="G290" s="25">
        <f>IF(E290&lt;参数设置!$B$13,DATE(YEAR(EDATE(C290,E290+1)),MONTH(EDATE(C290,E290+1)),参数设置!$B$14),EDATE(C290,参数设置!$B$13))</f>
        <v>47304</v>
      </c>
      <c r="H290">
        <f>G290-F290</f>
        <v>30</v>
      </c>
      <c r="I290" s="21">
        <f>IF(E290=参数设置!$B$13,D290,0)</f>
        <v>0</v>
      </c>
      <c r="J290" s="21">
        <f>IF(M290=1,ROUND(D290*参数设置!$B$11*H290/参数设置!$B$12,参数设置!$B$15),0)</f>
        <v>64.349999999999994</v>
      </c>
      <c r="K290" s="21">
        <f>I290+J290</f>
        <v>64.349999999999994</v>
      </c>
      <c r="L290" s="25">
        <f>EDATE(C290,参数设置!$B$13)</f>
        <v>47309</v>
      </c>
      <c r="M290">
        <f>--(D290&gt;0)</f>
        <v>1</v>
      </c>
    </row>
    <row r="291" spans="1:13" ht="15" customHeight="1">
      <c r="A291">
        <v>24</v>
      </c>
      <c r="B291">
        <v>24</v>
      </c>
      <c r="C291" s="25">
        <f>INDEX(实际执行追踪!$A$7:$A$42,A291)+DAY(参数设置!$B$4)-1</f>
        <v>46944</v>
      </c>
      <c r="D291" s="21">
        <f>INDEX(实际执行追踪!$C$7:$C$42,A291)</f>
        <v>23400</v>
      </c>
      <c r="E291">
        <v>12</v>
      </c>
      <c r="F291" s="25">
        <f>IF(E291=1,C291,G290)</f>
        <v>47304</v>
      </c>
      <c r="G291" s="25">
        <f>IF(E291&lt;参数设置!$B$13,DATE(YEAR(EDATE(C291,E291+1)),MONTH(EDATE(C291,E291+1)),参数设置!$B$14),EDATE(C291,参数设置!$B$13))</f>
        <v>47309</v>
      </c>
      <c r="H291">
        <f>G291-F291</f>
        <v>5</v>
      </c>
      <c r="I291" s="21">
        <f>IF(E291=参数设置!$B$13,D291,0)</f>
        <v>23400</v>
      </c>
      <c r="J291" s="21">
        <f>IF(M291=1,ROUND(D291*参数设置!$B$11*H291/参数设置!$B$12,参数设置!$B$15),0)</f>
        <v>10.73</v>
      </c>
      <c r="K291" s="21">
        <f>I291+J291</f>
        <v>23410.73</v>
      </c>
      <c r="L291" s="25">
        <f>EDATE(C291,参数设置!$B$13)</f>
        <v>47309</v>
      </c>
      <c r="M291">
        <f>--(D291&gt;0)</f>
        <v>1</v>
      </c>
    </row>
    <row r="292" spans="1:13" ht="15" customHeight="1">
      <c r="A292">
        <v>25</v>
      </c>
      <c r="B292">
        <v>25</v>
      </c>
      <c r="C292" s="25">
        <f>INDEX(实际执行追踪!$A$7:$A$42,A292)+DAY(参数设置!$B$4)-1</f>
        <v>46975</v>
      </c>
      <c r="D292" s="21">
        <f>INDEX(实际执行追踪!$C$7:$C$42,A292)</f>
        <v>0</v>
      </c>
      <c r="E292">
        <v>1</v>
      </c>
      <c r="F292" s="25">
        <f>IF(E292=1,C292,G291)</f>
        <v>46975</v>
      </c>
      <c r="G292" s="25">
        <f>IF(E292&lt;参数设置!$B$13,DATE(YEAR(EDATE(C292,E292+1)),MONTH(EDATE(C292,E292+1)),参数设置!$B$14),EDATE(C292,参数设置!$B$13))</f>
        <v>47031</v>
      </c>
      <c r="H292">
        <f>G292-F292</f>
        <v>56</v>
      </c>
      <c r="I292" s="21">
        <f>IF(E292=参数设置!$B$13,D292,0)</f>
        <v>0</v>
      </c>
      <c r="J292" s="21">
        <f>IF(M292=1,ROUND(D292*参数设置!$B$11*H292/参数设置!$B$12,参数设置!$B$15),0)</f>
        <v>0</v>
      </c>
      <c r="K292" s="21">
        <f>I292+J292</f>
        <v>0</v>
      </c>
      <c r="L292" s="25">
        <f>EDATE(C292,参数设置!$B$13)</f>
        <v>47340</v>
      </c>
      <c r="M292">
        <f>--(D292&gt;0)</f>
        <v>0</v>
      </c>
    </row>
    <row r="293" spans="1:13" ht="15" customHeight="1">
      <c r="A293">
        <v>25</v>
      </c>
      <c r="B293">
        <v>25</v>
      </c>
      <c r="C293" s="25">
        <f>INDEX(实际执行追踪!$A$7:$A$42,A293)+DAY(参数设置!$B$4)-1</f>
        <v>46975</v>
      </c>
      <c r="D293" s="21">
        <f>INDEX(实际执行追踪!$C$7:$C$42,A293)</f>
        <v>0</v>
      </c>
      <c r="E293">
        <v>2</v>
      </c>
      <c r="F293" s="25">
        <f>IF(E293=1,C293,G292)</f>
        <v>47031</v>
      </c>
      <c r="G293" s="25">
        <f>IF(E293&lt;参数设置!$B$13,DATE(YEAR(EDATE(C293,E293+1)),MONTH(EDATE(C293,E293+1)),参数设置!$B$14),EDATE(C293,参数设置!$B$13))</f>
        <v>47062</v>
      </c>
      <c r="H293">
        <f>G293-F293</f>
        <v>31</v>
      </c>
      <c r="I293" s="21">
        <f>IF(E293=参数设置!$B$13,D293,0)</f>
        <v>0</v>
      </c>
      <c r="J293" s="21">
        <f>IF(M293=1,ROUND(D293*参数设置!$B$11*H293/参数设置!$B$12,参数设置!$B$15),0)</f>
        <v>0</v>
      </c>
      <c r="K293" s="21">
        <f>I293+J293</f>
        <v>0</v>
      </c>
      <c r="L293" s="25">
        <f>EDATE(C293,参数设置!$B$13)</f>
        <v>47340</v>
      </c>
      <c r="M293">
        <f>--(D293&gt;0)</f>
        <v>0</v>
      </c>
    </row>
    <row r="294" spans="1:13" ht="15" customHeight="1">
      <c r="A294">
        <v>25</v>
      </c>
      <c r="B294">
        <v>25</v>
      </c>
      <c r="C294" s="25">
        <f>INDEX(实际执行追踪!$A$7:$A$42,A294)+DAY(参数设置!$B$4)-1</f>
        <v>46975</v>
      </c>
      <c r="D294" s="21">
        <f>INDEX(实际执行追踪!$C$7:$C$42,A294)</f>
        <v>0</v>
      </c>
      <c r="E294">
        <v>3</v>
      </c>
      <c r="F294" s="25">
        <f>IF(E294=1,C294,G293)</f>
        <v>47062</v>
      </c>
      <c r="G294" s="25">
        <f>IF(E294&lt;参数设置!$B$13,DATE(YEAR(EDATE(C294,E294+1)),MONTH(EDATE(C294,E294+1)),参数设置!$B$14),EDATE(C294,参数设置!$B$13))</f>
        <v>47092</v>
      </c>
      <c r="H294">
        <f>G294-F294</f>
        <v>30</v>
      </c>
      <c r="I294" s="21">
        <f>IF(E294=参数设置!$B$13,D294,0)</f>
        <v>0</v>
      </c>
      <c r="J294" s="21">
        <f>IF(M294=1,ROUND(D294*参数设置!$B$11*H294/参数设置!$B$12,参数设置!$B$15),0)</f>
        <v>0</v>
      </c>
      <c r="K294" s="21">
        <f>I294+J294</f>
        <v>0</v>
      </c>
      <c r="L294" s="25">
        <f>EDATE(C294,参数设置!$B$13)</f>
        <v>47340</v>
      </c>
      <c r="M294">
        <f>--(D294&gt;0)</f>
        <v>0</v>
      </c>
    </row>
    <row r="295" spans="1:13" ht="15" customHeight="1">
      <c r="A295">
        <v>25</v>
      </c>
      <c r="B295">
        <v>25</v>
      </c>
      <c r="C295" s="25">
        <f>INDEX(实际执行追踪!$A$7:$A$42,A295)+DAY(参数设置!$B$4)-1</f>
        <v>46975</v>
      </c>
      <c r="D295" s="21">
        <f>INDEX(实际执行追踪!$C$7:$C$42,A295)</f>
        <v>0</v>
      </c>
      <c r="E295">
        <v>4</v>
      </c>
      <c r="F295" s="25">
        <f>IF(E295=1,C295,G294)</f>
        <v>47092</v>
      </c>
      <c r="G295" s="25">
        <f>IF(E295&lt;参数设置!$B$13,DATE(YEAR(EDATE(C295,E295+1)),MONTH(EDATE(C295,E295+1)),参数设置!$B$14),EDATE(C295,参数设置!$B$13))</f>
        <v>47123</v>
      </c>
      <c r="H295">
        <f>G295-F295</f>
        <v>31</v>
      </c>
      <c r="I295" s="21">
        <f>IF(E295=参数设置!$B$13,D295,0)</f>
        <v>0</v>
      </c>
      <c r="J295" s="21">
        <f>IF(M295=1,ROUND(D295*参数设置!$B$11*H295/参数设置!$B$12,参数设置!$B$15),0)</f>
        <v>0</v>
      </c>
      <c r="K295" s="21">
        <f>I295+J295</f>
        <v>0</v>
      </c>
      <c r="L295" s="25">
        <f>EDATE(C295,参数设置!$B$13)</f>
        <v>47340</v>
      </c>
      <c r="M295">
        <f>--(D295&gt;0)</f>
        <v>0</v>
      </c>
    </row>
    <row r="296" spans="1:13" ht="15" customHeight="1">
      <c r="A296">
        <v>25</v>
      </c>
      <c r="B296">
        <v>25</v>
      </c>
      <c r="C296" s="25">
        <f>INDEX(实际执行追踪!$A$7:$A$42,A296)+DAY(参数设置!$B$4)-1</f>
        <v>46975</v>
      </c>
      <c r="D296" s="21">
        <f>INDEX(实际执行追踪!$C$7:$C$42,A296)</f>
        <v>0</v>
      </c>
      <c r="E296">
        <v>5</v>
      </c>
      <c r="F296" s="25">
        <f>IF(E296=1,C296,G295)</f>
        <v>47123</v>
      </c>
      <c r="G296" s="25">
        <f>IF(E296&lt;参数设置!$B$13,DATE(YEAR(EDATE(C296,E296+1)),MONTH(EDATE(C296,E296+1)),参数设置!$B$14),EDATE(C296,参数设置!$B$13))</f>
        <v>47154</v>
      </c>
      <c r="H296">
        <f>G296-F296</f>
        <v>31</v>
      </c>
      <c r="I296" s="21">
        <f>IF(E296=参数设置!$B$13,D296,0)</f>
        <v>0</v>
      </c>
      <c r="J296" s="21">
        <f>IF(M296=1,ROUND(D296*参数设置!$B$11*H296/参数设置!$B$12,参数设置!$B$15),0)</f>
        <v>0</v>
      </c>
      <c r="K296" s="21">
        <f>I296+J296</f>
        <v>0</v>
      </c>
      <c r="L296" s="25">
        <f>EDATE(C296,参数设置!$B$13)</f>
        <v>47340</v>
      </c>
      <c r="M296">
        <f>--(D296&gt;0)</f>
        <v>0</v>
      </c>
    </row>
    <row r="297" spans="1:13" ht="15" customHeight="1">
      <c r="A297">
        <v>25</v>
      </c>
      <c r="B297">
        <v>25</v>
      </c>
      <c r="C297" s="25">
        <f>INDEX(实际执行追踪!$A$7:$A$42,A297)+DAY(参数设置!$B$4)-1</f>
        <v>46975</v>
      </c>
      <c r="D297" s="21">
        <f>INDEX(实际执行追踪!$C$7:$C$42,A297)</f>
        <v>0</v>
      </c>
      <c r="E297">
        <v>6</v>
      </c>
      <c r="F297" s="25">
        <f>IF(E297=1,C297,G296)</f>
        <v>47154</v>
      </c>
      <c r="G297" s="25">
        <f>IF(E297&lt;参数设置!$B$13,DATE(YEAR(EDATE(C297,E297+1)),MONTH(EDATE(C297,E297+1)),参数设置!$B$14),EDATE(C297,参数设置!$B$13))</f>
        <v>47182</v>
      </c>
      <c r="H297">
        <f>G297-F297</f>
        <v>28</v>
      </c>
      <c r="I297" s="21">
        <f>IF(E297=参数设置!$B$13,D297,0)</f>
        <v>0</v>
      </c>
      <c r="J297" s="21">
        <f>IF(M297=1,ROUND(D297*参数设置!$B$11*H297/参数设置!$B$12,参数设置!$B$15),0)</f>
        <v>0</v>
      </c>
      <c r="K297" s="21">
        <f>I297+J297</f>
        <v>0</v>
      </c>
      <c r="L297" s="25">
        <f>EDATE(C297,参数设置!$B$13)</f>
        <v>47340</v>
      </c>
      <c r="M297">
        <f>--(D297&gt;0)</f>
        <v>0</v>
      </c>
    </row>
    <row r="298" spans="1:13" ht="15" customHeight="1">
      <c r="A298">
        <v>25</v>
      </c>
      <c r="B298">
        <v>25</v>
      </c>
      <c r="C298" s="25">
        <f>INDEX(实际执行追踪!$A$7:$A$42,A298)+DAY(参数设置!$B$4)-1</f>
        <v>46975</v>
      </c>
      <c r="D298" s="21">
        <f>INDEX(实际执行追踪!$C$7:$C$42,A298)</f>
        <v>0</v>
      </c>
      <c r="E298">
        <v>7</v>
      </c>
      <c r="F298" s="25">
        <f>IF(E298=1,C298,G297)</f>
        <v>47182</v>
      </c>
      <c r="G298" s="25">
        <f>IF(E298&lt;参数设置!$B$13,DATE(YEAR(EDATE(C298,E298+1)),MONTH(EDATE(C298,E298+1)),参数设置!$B$14),EDATE(C298,参数设置!$B$13))</f>
        <v>47213</v>
      </c>
      <c r="H298">
        <f>G298-F298</f>
        <v>31</v>
      </c>
      <c r="I298" s="21">
        <f>IF(E298=参数设置!$B$13,D298,0)</f>
        <v>0</v>
      </c>
      <c r="J298" s="21">
        <f>IF(M298=1,ROUND(D298*参数设置!$B$11*H298/参数设置!$B$12,参数设置!$B$15),0)</f>
        <v>0</v>
      </c>
      <c r="K298" s="21">
        <f>I298+J298</f>
        <v>0</v>
      </c>
      <c r="L298" s="25">
        <f>EDATE(C298,参数设置!$B$13)</f>
        <v>47340</v>
      </c>
      <c r="M298">
        <f>--(D298&gt;0)</f>
        <v>0</v>
      </c>
    </row>
    <row r="299" spans="1:13" ht="15" customHeight="1">
      <c r="A299">
        <v>25</v>
      </c>
      <c r="B299">
        <v>25</v>
      </c>
      <c r="C299" s="25">
        <f>INDEX(实际执行追踪!$A$7:$A$42,A299)+DAY(参数设置!$B$4)-1</f>
        <v>46975</v>
      </c>
      <c r="D299" s="21">
        <f>INDEX(实际执行追踪!$C$7:$C$42,A299)</f>
        <v>0</v>
      </c>
      <c r="E299">
        <v>8</v>
      </c>
      <c r="F299" s="25">
        <f>IF(E299=1,C299,G298)</f>
        <v>47213</v>
      </c>
      <c r="G299" s="25">
        <f>IF(E299&lt;参数设置!$B$13,DATE(YEAR(EDATE(C299,E299+1)),MONTH(EDATE(C299,E299+1)),参数设置!$B$14),EDATE(C299,参数设置!$B$13))</f>
        <v>47243</v>
      </c>
      <c r="H299">
        <f>G299-F299</f>
        <v>30</v>
      </c>
      <c r="I299" s="21">
        <f>IF(E299=参数设置!$B$13,D299,0)</f>
        <v>0</v>
      </c>
      <c r="J299" s="21">
        <f>IF(M299=1,ROUND(D299*参数设置!$B$11*H299/参数设置!$B$12,参数设置!$B$15),0)</f>
        <v>0</v>
      </c>
      <c r="K299" s="21">
        <f>I299+J299</f>
        <v>0</v>
      </c>
      <c r="L299" s="25">
        <f>EDATE(C299,参数设置!$B$13)</f>
        <v>47340</v>
      </c>
      <c r="M299">
        <f>--(D299&gt;0)</f>
        <v>0</v>
      </c>
    </row>
    <row r="300" spans="1:13" ht="15" customHeight="1">
      <c r="A300">
        <v>25</v>
      </c>
      <c r="B300">
        <v>25</v>
      </c>
      <c r="C300" s="25">
        <f>INDEX(实际执行追踪!$A$7:$A$42,A300)+DAY(参数设置!$B$4)-1</f>
        <v>46975</v>
      </c>
      <c r="D300" s="21">
        <f>INDEX(实际执行追踪!$C$7:$C$42,A300)</f>
        <v>0</v>
      </c>
      <c r="E300">
        <v>9</v>
      </c>
      <c r="F300" s="25">
        <f>IF(E300=1,C300,G299)</f>
        <v>47243</v>
      </c>
      <c r="G300" s="25">
        <f>IF(E300&lt;参数设置!$B$13,DATE(YEAR(EDATE(C300,E300+1)),MONTH(EDATE(C300,E300+1)),参数设置!$B$14),EDATE(C300,参数设置!$B$13))</f>
        <v>47274</v>
      </c>
      <c r="H300">
        <f>G300-F300</f>
        <v>31</v>
      </c>
      <c r="I300" s="21">
        <f>IF(E300=参数设置!$B$13,D300,0)</f>
        <v>0</v>
      </c>
      <c r="J300" s="21">
        <f>IF(M300=1,ROUND(D300*参数设置!$B$11*H300/参数设置!$B$12,参数设置!$B$15),0)</f>
        <v>0</v>
      </c>
      <c r="K300" s="21">
        <f>I300+J300</f>
        <v>0</v>
      </c>
      <c r="L300" s="25">
        <f>EDATE(C300,参数设置!$B$13)</f>
        <v>47340</v>
      </c>
      <c r="M300">
        <f>--(D300&gt;0)</f>
        <v>0</v>
      </c>
    </row>
    <row r="301" spans="1:13" ht="15" customHeight="1">
      <c r="A301">
        <v>25</v>
      </c>
      <c r="B301">
        <v>25</v>
      </c>
      <c r="C301" s="25">
        <f>INDEX(实际执行追踪!$A$7:$A$42,A301)+DAY(参数设置!$B$4)-1</f>
        <v>46975</v>
      </c>
      <c r="D301" s="21">
        <f>INDEX(实际执行追踪!$C$7:$C$42,A301)</f>
        <v>0</v>
      </c>
      <c r="E301">
        <v>10</v>
      </c>
      <c r="F301" s="25">
        <f>IF(E301=1,C301,G300)</f>
        <v>47274</v>
      </c>
      <c r="G301" s="25">
        <f>IF(E301&lt;参数设置!$B$13,DATE(YEAR(EDATE(C301,E301+1)),MONTH(EDATE(C301,E301+1)),参数设置!$B$14),EDATE(C301,参数设置!$B$13))</f>
        <v>47304</v>
      </c>
      <c r="H301">
        <f>G301-F301</f>
        <v>30</v>
      </c>
      <c r="I301" s="21">
        <f>IF(E301=参数设置!$B$13,D301,0)</f>
        <v>0</v>
      </c>
      <c r="J301" s="21">
        <f>IF(M301=1,ROUND(D301*参数设置!$B$11*H301/参数设置!$B$12,参数设置!$B$15),0)</f>
        <v>0</v>
      </c>
      <c r="K301" s="21">
        <f>I301+J301</f>
        <v>0</v>
      </c>
      <c r="L301" s="25">
        <f>EDATE(C301,参数设置!$B$13)</f>
        <v>47340</v>
      </c>
      <c r="M301">
        <f>--(D301&gt;0)</f>
        <v>0</v>
      </c>
    </row>
    <row r="302" spans="1:13" ht="15" customHeight="1">
      <c r="A302">
        <v>25</v>
      </c>
      <c r="B302">
        <v>25</v>
      </c>
      <c r="C302" s="25">
        <f>INDEX(实际执行追踪!$A$7:$A$42,A302)+DAY(参数设置!$B$4)-1</f>
        <v>46975</v>
      </c>
      <c r="D302" s="21">
        <f>INDEX(实际执行追踪!$C$7:$C$42,A302)</f>
        <v>0</v>
      </c>
      <c r="E302">
        <v>11</v>
      </c>
      <c r="F302" s="25">
        <f>IF(E302=1,C302,G301)</f>
        <v>47304</v>
      </c>
      <c r="G302" s="25">
        <f>IF(E302&lt;参数设置!$B$13,DATE(YEAR(EDATE(C302,E302+1)),MONTH(EDATE(C302,E302+1)),参数设置!$B$14),EDATE(C302,参数设置!$B$13))</f>
        <v>47335</v>
      </c>
      <c r="H302">
        <f>G302-F302</f>
        <v>31</v>
      </c>
      <c r="I302" s="21">
        <f>IF(E302=参数设置!$B$13,D302,0)</f>
        <v>0</v>
      </c>
      <c r="J302" s="21">
        <f>IF(M302=1,ROUND(D302*参数设置!$B$11*H302/参数设置!$B$12,参数设置!$B$15),0)</f>
        <v>0</v>
      </c>
      <c r="K302" s="21">
        <f>I302+J302</f>
        <v>0</v>
      </c>
      <c r="L302" s="25">
        <f>EDATE(C302,参数设置!$B$13)</f>
        <v>47340</v>
      </c>
      <c r="M302">
        <f>--(D302&gt;0)</f>
        <v>0</v>
      </c>
    </row>
    <row r="303" spans="1:13" ht="15" customHeight="1">
      <c r="A303">
        <v>25</v>
      </c>
      <c r="B303">
        <v>25</v>
      </c>
      <c r="C303" s="25">
        <f>INDEX(实际执行追踪!$A$7:$A$42,A303)+DAY(参数设置!$B$4)-1</f>
        <v>46975</v>
      </c>
      <c r="D303" s="21">
        <f>INDEX(实际执行追踪!$C$7:$C$42,A303)</f>
        <v>0</v>
      </c>
      <c r="E303">
        <v>12</v>
      </c>
      <c r="F303" s="25">
        <f>IF(E303=1,C303,G302)</f>
        <v>47335</v>
      </c>
      <c r="G303" s="25">
        <f>IF(E303&lt;参数设置!$B$13,DATE(YEAR(EDATE(C303,E303+1)),MONTH(EDATE(C303,E303+1)),参数设置!$B$14),EDATE(C303,参数设置!$B$13))</f>
        <v>47340</v>
      </c>
      <c r="H303">
        <f>G303-F303</f>
        <v>5</v>
      </c>
      <c r="I303" s="21">
        <f>IF(E303=参数设置!$B$13,D303,0)</f>
        <v>0</v>
      </c>
      <c r="J303" s="21">
        <f>IF(M303=1,ROUND(D303*参数设置!$B$11*H303/参数设置!$B$12,参数设置!$B$15),0)</f>
        <v>0</v>
      </c>
      <c r="K303" s="21">
        <f>I303+J303</f>
        <v>0</v>
      </c>
      <c r="L303" s="25">
        <f>EDATE(C303,参数设置!$B$13)</f>
        <v>47340</v>
      </c>
      <c r="M303">
        <f>--(D303&gt;0)</f>
        <v>0</v>
      </c>
    </row>
    <row r="304" spans="1:13" ht="15" customHeight="1">
      <c r="A304">
        <v>26</v>
      </c>
      <c r="B304">
        <v>26</v>
      </c>
      <c r="C304" s="25">
        <f>INDEX(实际执行追踪!$A$7:$A$42,A304)+DAY(参数设置!$B$4)-1</f>
        <v>47006</v>
      </c>
      <c r="D304" s="21">
        <f>INDEX(实际执行追踪!$C$7:$C$42,A304)</f>
        <v>0</v>
      </c>
      <c r="E304">
        <v>1</v>
      </c>
      <c r="F304" s="25">
        <f>IF(E304=1,C304,G303)</f>
        <v>47006</v>
      </c>
      <c r="G304" s="25">
        <f>IF(E304&lt;参数设置!$B$13,DATE(YEAR(EDATE(C304,E304+1)),MONTH(EDATE(C304,E304+1)),参数设置!$B$14),EDATE(C304,参数设置!$B$13))</f>
        <v>47062</v>
      </c>
      <c r="H304">
        <f>G304-F304</f>
        <v>56</v>
      </c>
      <c r="I304" s="21">
        <f>IF(E304=参数设置!$B$13,D304,0)</f>
        <v>0</v>
      </c>
      <c r="J304" s="21">
        <f>IF(M304=1,ROUND(D304*参数设置!$B$11*H304/参数设置!$B$12,参数设置!$B$15),0)</f>
        <v>0</v>
      </c>
      <c r="K304" s="21">
        <f>I304+J304</f>
        <v>0</v>
      </c>
      <c r="L304" s="25">
        <f>EDATE(C304,参数设置!$B$13)</f>
        <v>47371</v>
      </c>
      <c r="M304">
        <f>--(D304&gt;0)</f>
        <v>0</v>
      </c>
    </row>
    <row r="305" spans="1:13" ht="15" customHeight="1">
      <c r="A305">
        <v>26</v>
      </c>
      <c r="B305">
        <v>26</v>
      </c>
      <c r="C305" s="25">
        <f>INDEX(实际执行追踪!$A$7:$A$42,A305)+DAY(参数设置!$B$4)-1</f>
        <v>47006</v>
      </c>
      <c r="D305" s="21">
        <f>INDEX(实际执行追踪!$C$7:$C$42,A305)</f>
        <v>0</v>
      </c>
      <c r="E305">
        <v>2</v>
      </c>
      <c r="F305" s="25">
        <f>IF(E305=1,C305,G304)</f>
        <v>47062</v>
      </c>
      <c r="G305" s="25">
        <f>IF(E305&lt;参数设置!$B$13,DATE(YEAR(EDATE(C305,E305+1)),MONTH(EDATE(C305,E305+1)),参数设置!$B$14),EDATE(C305,参数设置!$B$13))</f>
        <v>47092</v>
      </c>
      <c r="H305">
        <f>G305-F305</f>
        <v>30</v>
      </c>
      <c r="I305" s="21">
        <f>IF(E305=参数设置!$B$13,D305,0)</f>
        <v>0</v>
      </c>
      <c r="J305" s="21">
        <f>IF(M305=1,ROUND(D305*参数设置!$B$11*H305/参数设置!$B$12,参数设置!$B$15),0)</f>
        <v>0</v>
      </c>
      <c r="K305" s="21">
        <f>I305+J305</f>
        <v>0</v>
      </c>
      <c r="L305" s="25">
        <f>EDATE(C305,参数设置!$B$13)</f>
        <v>47371</v>
      </c>
      <c r="M305">
        <f>--(D305&gt;0)</f>
        <v>0</v>
      </c>
    </row>
    <row r="306" spans="1:13" ht="15" customHeight="1">
      <c r="A306">
        <v>26</v>
      </c>
      <c r="B306">
        <v>26</v>
      </c>
      <c r="C306" s="25">
        <f>INDEX(实际执行追踪!$A$7:$A$42,A306)+DAY(参数设置!$B$4)-1</f>
        <v>47006</v>
      </c>
      <c r="D306" s="21">
        <f>INDEX(实际执行追踪!$C$7:$C$42,A306)</f>
        <v>0</v>
      </c>
      <c r="E306">
        <v>3</v>
      </c>
      <c r="F306" s="25">
        <f>IF(E306=1,C306,G305)</f>
        <v>47092</v>
      </c>
      <c r="G306" s="25">
        <f>IF(E306&lt;参数设置!$B$13,DATE(YEAR(EDATE(C306,E306+1)),MONTH(EDATE(C306,E306+1)),参数设置!$B$14),EDATE(C306,参数设置!$B$13))</f>
        <v>47123</v>
      </c>
      <c r="H306">
        <f>G306-F306</f>
        <v>31</v>
      </c>
      <c r="I306" s="21">
        <f>IF(E306=参数设置!$B$13,D306,0)</f>
        <v>0</v>
      </c>
      <c r="J306" s="21">
        <f>IF(M306=1,ROUND(D306*参数设置!$B$11*H306/参数设置!$B$12,参数设置!$B$15),0)</f>
        <v>0</v>
      </c>
      <c r="K306" s="21">
        <f>I306+J306</f>
        <v>0</v>
      </c>
      <c r="L306" s="25">
        <f>EDATE(C306,参数设置!$B$13)</f>
        <v>47371</v>
      </c>
      <c r="M306">
        <f>--(D306&gt;0)</f>
        <v>0</v>
      </c>
    </row>
    <row r="307" spans="1:13" ht="15" customHeight="1">
      <c r="A307">
        <v>26</v>
      </c>
      <c r="B307">
        <v>26</v>
      </c>
      <c r="C307" s="25">
        <f>INDEX(实际执行追踪!$A$7:$A$42,A307)+DAY(参数设置!$B$4)-1</f>
        <v>47006</v>
      </c>
      <c r="D307" s="21">
        <f>INDEX(实际执行追踪!$C$7:$C$42,A307)</f>
        <v>0</v>
      </c>
      <c r="E307">
        <v>4</v>
      </c>
      <c r="F307" s="25">
        <f>IF(E307=1,C307,G306)</f>
        <v>47123</v>
      </c>
      <c r="G307" s="25">
        <f>IF(E307&lt;参数设置!$B$13,DATE(YEAR(EDATE(C307,E307+1)),MONTH(EDATE(C307,E307+1)),参数设置!$B$14),EDATE(C307,参数设置!$B$13))</f>
        <v>47154</v>
      </c>
      <c r="H307">
        <f>G307-F307</f>
        <v>31</v>
      </c>
      <c r="I307" s="21">
        <f>IF(E307=参数设置!$B$13,D307,0)</f>
        <v>0</v>
      </c>
      <c r="J307" s="21">
        <f>IF(M307=1,ROUND(D307*参数设置!$B$11*H307/参数设置!$B$12,参数设置!$B$15),0)</f>
        <v>0</v>
      </c>
      <c r="K307" s="21">
        <f>I307+J307</f>
        <v>0</v>
      </c>
      <c r="L307" s="25">
        <f>EDATE(C307,参数设置!$B$13)</f>
        <v>47371</v>
      </c>
      <c r="M307">
        <f>--(D307&gt;0)</f>
        <v>0</v>
      </c>
    </row>
    <row r="308" spans="1:13" ht="15" customHeight="1">
      <c r="A308">
        <v>26</v>
      </c>
      <c r="B308">
        <v>26</v>
      </c>
      <c r="C308" s="25">
        <f>INDEX(实际执行追踪!$A$7:$A$42,A308)+DAY(参数设置!$B$4)-1</f>
        <v>47006</v>
      </c>
      <c r="D308" s="21">
        <f>INDEX(实际执行追踪!$C$7:$C$42,A308)</f>
        <v>0</v>
      </c>
      <c r="E308">
        <v>5</v>
      </c>
      <c r="F308" s="25">
        <f>IF(E308=1,C308,G307)</f>
        <v>47154</v>
      </c>
      <c r="G308" s="25">
        <f>IF(E308&lt;参数设置!$B$13,DATE(YEAR(EDATE(C308,E308+1)),MONTH(EDATE(C308,E308+1)),参数设置!$B$14),EDATE(C308,参数设置!$B$13))</f>
        <v>47182</v>
      </c>
      <c r="H308">
        <f>G308-F308</f>
        <v>28</v>
      </c>
      <c r="I308" s="21">
        <f>IF(E308=参数设置!$B$13,D308,0)</f>
        <v>0</v>
      </c>
      <c r="J308" s="21">
        <f>IF(M308=1,ROUND(D308*参数设置!$B$11*H308/参数设置!$B$12,参数设置!$B$15),0)</f>
        <v>0</v>
      </c>
      <c r="K308" s="21">
        <f>I308+J308</f>
        <v>0</v>
      </c>
      <c r="L308" s="25">
        <f>EDATE(C308,参数设置!$B$13)</f>
        <v>47371</v>
      </c>
      <c r="M308">
        <f>--(D308&gt;0)</f>
        <v>0</v>
      </c>
    </row>
    <row r="309" spans="1:13" ht="15" customHeight="1">
      <c r="A309">
        <v>26</v>
      </c>
      <c r="B309">
        <v>26</v>
      </c>
      <c r="C309" s="25">
        <f>INDEX(实际执行追踪!$A$7:$A$42,A309)+DAY(参数设置!$B$4)-1</f>
        <v>47006</v>
      </c>
      <c r="D309" s="21">
        <f>INDEX(实际执行追踪!$C$7:$C$42,A309)</f>
        <v>0</v>
      </c>
      <c r="E309">
        <v>6</v>
      </c>
      <c r="F309" s="25">
        <f>IF(E309=1,C309,G308)</f>
        <v>47182</v>
      </c>
      <c r="G309" s="25">
        <f>IF(E309&lt;参数设置!$B$13,DATE(YEAR(EDATE(C309,E309+1)),MONTH(EDATE(C309,E309+1)),参数设置!$B$14),EDATE(C309,参数设置!$B$13))</f>
        <v>47213</v>
      </c>
      <c r="H309">
        <f>G309-F309</f>
        <v>31</v>
      </c>
      <c r="I309" s="21">
        <f>IF(E309=参数设置!$B$13,D309,0)</f>
        <v>0</v>
      </c>
      <c r="J309" s="21">
        <f>IF(M309=1,ROUND(D309*参数设置!$B$11*H309/参数设置!$B$12,参数设置!$B$15),0)</f>
        <v>0</v>
      </c>
      <c r="K309" s="21">
        <f>I309+J309</f>
        <v>0</v>
      </c>
      <c r="L309" s="25">
        <f>EDATE(C309,参数设置!$B$13)</f>
        <v>47371</v>
      </c>
      <c r="M309">
        <f>--(D309&gt;0)</f>
        <v>0</v>
      </c>
    </row>
    <row r="310" spans="1:13" ht="15" customHeight="1">
      <c r="A310">
        <v>26</v>
      </c>
      <c r="B310">
        <v>26</v>
      </c>
      <c r="C310" s="25">
        <f>INDEX(实际执行追踪!$A$7:$A$42,A310)+DAY(参数设置!$B$4)-1</f>
        <v>47006</v>
      </c>
      <c r="D310" s="21">
        <f>INDEX(实际执行追踪!$C$7:$C$42,A310)</f>
        <v>0</v>
      </c>
      <c r="E310">
        <v>7</v>
      </c>
      <c r="F310" s="25">
        <f>IF(E310=1,C310,G309)</f>
        <v>47213</v>
      </c>
      <c r="G310" s="25">
        <f>IF(E310&lt;参数设置!$B$13,DATE(YEAR(EDATE(C310,E310+1)),MONTH(EDATE(C310,E310+1)),参数设置!$B$14),EDATE(C310,参数设置!$B$13))</f>
        <v>47243</v>
      </c>
      <c r="H310">
        <f>G310-F310</f>
        <v>30</v>
      </c>
      <c r="I310" s="21">
        <f>IF(E310=参数设置!$B$13,D310,0)</f>
        <v>0</v>
      </c>
      <c r="J310" s="21">
        <f>IF(M310=1,ROUND(D310*参数设置!$B$11*H310/参数设置!$B$12,参数设置!$B$15),0)</f>
        <v>0</v>
      </c>
      <c r="K310" s="21">
        <f>I310+J310</f>
        <v>0</v>
      </c>
      <c r="L310" s="25">
        <f>EDATE(C310,参数设置!$B$13)</f>
        <v>47371</v>
      </c>
      <c r="M310">
        <f>--(D310&gt;0)</f>
        <v>0</v>
      </c>
    </row>
    <row r="311" spans="1:13" ht="15" customHeight="1">
      <c r="A311">
        <v>26</v>
      </c>
      <c r="B311">
        <v>26</v>
      </c>
      <c r="C311" s="25">
        <f>INDEX(实际执行追踪!$A$7:$A$42,A311)+DAY(参数设置!$B$4)-1</f>
        <v>47006</v>
      </c>
      <c r="D311" s="21">
        <f>INDEX(实际执行追踪!$C$7:$C$42,A311)</f>
        <v>0</v>
      </c>
      <c r="E311">
        <v>8</v>
      </c>
      <c r="F311" s="25">
        <f>IF(E311=1,C311,G310)</f>
        <v>47243</v>
      </c>
      <c r="G311" s="25">
        <f>IF(E311&lt;参数设置!$B$13,DATE(YEAR(EDATE(C311,E311+1)),MONTH(EDATE(C311,E311+1)),参数设置!$B$14),EDATE(C311,参数设置!$B$13))</f>
        <v>47274</v>
      </c>
      <c r="H311">
        <f>G311-F311</f>
        <v>31</v>
      </c>
      <c r="I311" s="21">
        <f>IF(E311=参数设置!$B$13,D311,0)</f>
        <v>0</v>
      </c>
      <c r="J311" s="21">
        <f>IF(M311=1,ROUND(D311*参数设置!$B$11*H311/参数设置!$B$12,参数设置!$B$15),0)</f>
        <v>0</v>
      </c>
      <c r="K311" s="21">
        <f>I311+J311</f>
        <v>0</v>
      </c>
      <c r="L311" s="25">
        <f>EDATE(C311,参数设置!$B$13)</f>
        <v>47371</v>
      </c>
      <c r="M311">
        <f>--(D311&gt;0)</f>
        <v>0</v>
      </c>
    </row>
    <row r="312" spans="1:13" ht="15" customHeight="1">
      <c r="A312">
        <v>26</v>
      </c>
      <c r="B312">
        <v>26</v>
      </c>
      <c r="C312" s="25">
        <f>INDEX(实际执行追踪!$A$7:$A$42,A312)+DAY(参数设置!$B$4)-1</f>
        <v>47006</v>
      </c>
      <c r="D312" s="21">
        <f>INDEX(实际执行追踪!$C$7:$C$42,A312)</f>
        <v>0</v>
      </c>
      <c r="E312">
        <v>9</v>
      </c>
      <c r="F312" s="25">
        <f>IF(E312=1,C312,G311)</f>
        <v>47274</v>
      </c>
      <c r="G312" s="25">
        <f>IF(E312&lt;参数设置!$B$13,DATE(YEAR(EDATE(C312,E312+1)),MONTH(EDATE(C312,E312+1)),参数设置!$B$14),EDATE(C312,参数设置!$B$13))</f>
        <v>47304</v>
      </c>
      <c r="H312">
        <f>G312-F312</f>
        <v>30</v>
      </c>
      <c r="I312" s="21">
        <f>IF(E312=参数设置!$B$13,D312,0)</f>
        <v>0</v>
      </c>
      <c r="J312" s="21">
        <f>IF(M312=1,ROUND(D312*参数设置!$B$11*H312/参数设置!$B$12,参数设置!$B$15),0)</f>
        <v>0</v>
      </c>
      <c r="K312" s="21">
        <f>I312+J312</f>
        <v>0</v>
      </c>
      <c r="L312" s="25">
        <f>EDATE(C312,参数设置!$B$13)</f>
        <v>47371</v>
      </c>
      <c r="M312">
        <f>--(D312&gt;0)</f>
        <v>0</v>
      </c>
    </row>
    <row r="313" spans="1:13" ht="15" customHeight="1">
      <c r="A313">
        <v>26</v>
      </c>
      <c r="B313">
        <v>26</v>
      </c>
      <c r="C313" s="25">
        <f>INDEX(实际执行追踪!$A$7:$A$42,A313)+DAY(参数设置!$B$4)-1</f>
        <v>47006</v>
      </c>
      <c r="D313" s="21">
        <f>INDEX(实际执行追踪!$C$7:$C$42,A313)</f>
        <v>0</v>
      </c>
      <c r="E313">
        <v>10</v>
      </c>
      <c r="F313" s="25">
        <f>IF(E313=1,C313,G312)</f>
        <v>47304</v>
      </c>
      <c r="G313" s="25">
        <f>IF(E313&lt;参数设置!$B$13,DATE(YEAR(EDATE(C313,E313+1)),MONTH(EDATE(C313,E313+1)),参数设置!$B$14),EDATE(C313,参数设置!$B$13))</f>
        <v>47335</v>
      </c>
      <c r="H313">
        <f>G313-F313</f>
        <v>31</v>
      </c>
      <c r="I313" s="21">
        <f>IF(E313=参数设置!$B$13,D313,0)</f>
        <v>0</v>
      </c>
      <c r="J313" s="21">
        <f>IF(M313=1,ROUND(D313*参数设置!$B$11*H313/参数设置!$B$12,参数设置!$B$15),0)</f>
        <v>0</v>
      </c>
      <c r="K313" s="21">
        <f>I313+J313</f>
        <v>0</v>
      </c>
      <c r="L313" s="25">
        <f>EDATE(C313,参数设置!$B$13)</f>
        <v>47371</v>
      </c>
      <c r="M313">
        <f>--(D313&gt;0)</f>
        <v>0</v>
      </c>
    </row>
    <row r="314" spans="1:13" ht="15" customHeight="1">
      <c r="A314">
        <v>26</v>
      </c>
      <c r="B314">
        <v>26</v>
      </c>
      <c r="C314" s="25">
        <f>INDEX(实际执行追踪!$A$7:$A$42,A314)+DAY(参数设置!$B$4)-1</f>
        <v>47006</v>
      </c>
      <c r="D314" s="21">
        <f>INDEX(实际执行追踪!$C$7:$C$42,A314)</f>
        <v>0</v>
      </c>
      <c r="E314">
        <v>11</v>
      </c>
      <c r="F314" s="25">
        <f>IF(E314=1,C314,G313)</f>
        <v>47335</v>
      </c>
      <c r="G314" s="25">
        <f>IF(E314&lt;参数设置!$B$13,DATE(YEAR(EDATE(C314,E314+1)),MONTH(EDATE(C314,E314+1)),参数设置!$B$14),EDATE(C314,参数设置!$B$13))</f>
        <v>47366</v>
      </c>
      <c r="H314">
        <f>G314-F314</f>
        <v>31</v>
      </c>
      <c r="I314" s="21">
        <f>IF(E314=参数设置!$B$13,D314,0)</f>
        <v>0</v>
      </c>
      <c r="J314" s="21">
        <f>IF(M314=1,ROUND(D314*参数设置!$B$11*H314/参数设置!$B$12,参数设置!$B$15),0)</f>
        <v>0</v>
      </c>
      <c r="K314" s="21">
        <f>I314+J314</f>
        <v>0</v>
      </c>
      <c r="L314" s="25">
        <f>EDATE(C314,参数设置!$B$13)</f>
        <v>47371</v>
      </c>
      <c r="M314">
        <f>--(D314&gt;0)</f>
        <v>0</v>
      </c>
    </row>
    <row r="315" spans="1:13" ht="15" customHeight="1">
      <c r="A315">
        <v>26</v>
      </c>
      <c r="B315">
        <v>26</v>
      </c>
      <c r="C315" s="25">
        <f>INDEX(实际执行追踪!$A$7:$A$42,A315)+DAY(参数设置!$B$4)-1</f>
        <v>47006</v>
      </c>
      <c r="D315" s="21">
        <f>INDEX(实际执行追踪!$C$7:$C$42,A315)</f>
        <v>0</v>
      </c>
      <c r="E315">
        <v>12</v>
      </c>
      <c r="F315" s="25">
        <f>IF(E315=1,C315,G314)</f>
        <v>47366</v>
      </c>
      <c r="G315" s="25">
        <f>IF(E315&lt;参数设置!$B$13,DATE(YEAR(EDATE(C315,E315+1)),MONTH(EDATE(C315,E315+1)),参数设置!$B$14),EDATE(C315,参数设置!$B$13))</f>
        <v>47371</v>
      </c>
      <c r="H315">
        <f>G315-F315</f>
        <v>5</v>
      </c>
      <c r="I315" s="21">
        <f>IF(E315=参数设置!$B$13,D315,0)</f>
        <v>0</v>
      </c>
      <c r="J315" s="21">
        <f>IF(M315=1,ROUND(D315*参数设置!$B$11*H315/参数设置!$B$12,参数设置!$B$15),0)</f>
        <v>0</v>
      </c>
      <c r="K315" s="21">
        <f>I315+J315</f>
        <v>0</v>
      </c>
      <c r="L315" s="25">
        <f>EDATE(C315,参数设置!$B$13)</f>
        <v>47371</v>
      </c>
      <c r="M315">
        <f>--(D315&gt;0)</f>
        <v>0</v>
      </c>
    </row>
    <row r="316" spans="1:13" ht="15" customHeight="1">
      <c r="A316">
        <v>27</v>
      </c>
      <c r="B316">
        <v>27</v>
      </c>
      <c r="C316" s="25">
        <f>INDEX(实际执行追踪!$A$7:$A$42,A316)+DAY(参数设置!$B$4)-1</f>
        <v>47036</v>
      </c>
      <c r="D316" s="21">
        <f>INDEX(实际执行追踪!$C$7:$C$42,A316)</f>
        <v>0</v>
      </c>
      <c r="E316">
        <v>1</v>
      </c>
      <c r="F316" s="25">
        <f>IF(E316=1,C316,G315)</f>
        <v>47036</v>
      </c>
      <c r="G316" s="25">
        <f>IF(E316&lt;参数设置!$B$13,DATE(YEAR(EDATE(C316,E316+1)),MONTH(EDATE(C316,E316+1)),参数设置!$B$14),EDATE(C316,参数设置!$B$13))</f>
        <v>47092</v>
      </c>
      <c r="H316">
        <f>G316-F316</f>
        <v>56</v>
      </c>
      <c r="I316" s="21">
        <f>IF(E316=参数设置!$B$13,D316,0)</f>
        <v>0</v>
      </c>
      <c r="J316" s="21">
        <f>IF(M316=1,ROUND(D316*参数设置!$B$11*H316/参数设置!$B$12,参数设置!$B$15),0)</f>
        <v>0</v>
      </c>
      <c r="K316" s="21">
        <f>I316+J316</f>
        <v>0</v>
      </c>
      <c r="L316" s="25">
        <f>EDATE(C316,参数设置!$B$13)</f>
        <v>47401</v>
      </c>
      <c r="M316">
        <f>--(D316&gt;0)</f>
        <v>0</v>
      </c>
    </row>
    <row r="317" spans="1:13" ht="15" customHeight="1">
      <c r="A317">
        <v>27</v>
      </c>
      <c r="B317">
        <v>27</v>
      </c>
      <c r="C317" s="25">
        <f>INDEX(实际执行追踪!$A$7:$A$42,A317)+DAY(参数设置!$B$4)-1</f>
        <v>47036</v>
      </c>
      <c r="D317" s="21">
        <f>INDEX(实际执行追踪!$C$7:$C$42,A317)</f>
        <v>0</v>
      </c>
      <c r="E317">
        <v>2</v>
      </c>
      <c r="F317" s="25">
        <f>IF(E317=1,C317,G316)</f>
        <v>47092</v>
      </c>
      <c r="G317" s="25">
        <f>IF(E317&lt;参数设置!$B$13,DATE(YEAR(EDATE(C317,E317+1)),MONTH(EDATE(C317,E317+1)),参数设置!$B$14),EDATE(C317,参数设置!$B$13))</f>
        <v>47123</v>
      </c>
      <c r="H317">
        <f>G317-F317</f>
        <v>31</v>
      </c>
      <c r="I317" s="21">
        <f>IF(E317=参数设置!$B$13,D317,0)</f>
        <v>0</v>
      </c>
      <c r="J317" s="21">
        <f>IF(M317=1,ROUND(D317*参数设置!$B$11*H317/参数设置!$B$12,参数设置!$B$15),0)</f>
        <v>0</v>
      </c>
      <c r="K317" s="21">
        <f>I317+J317</f>
        <v>0</v>
      </c>
      <c r="L317" s="25">
        <f>EDATE(C317,参数设置!$B$13)</f>
        <v>47401</v>
      </c>
      <c r="M317">
        <f>--(D317&gt;0)</f>
        <v>0</v>
      </c>
    </row>
    <row r="318" spans="1:13" ht="15" customHeight="1">
      <c r="A318">
        <v>27</v>
      </c>
      <c r="B318">
        <v>27</v>
      </c>
      <c r="C318" s="25">
        <f>INDEX(实际执行追踪!$A$7:$A$42,A318)+DAY(参数设置!$B$4)-1</f>
        <v>47036</v>
      </c>
      <c r="D318" s="21">
        <f>INDEX(实际执行追踪!$C$7:$C$42,A318)</f>
        <v>0</v>
      </c>
      <c r="E318">
        <v>3</v>
      </c>
      <c r="F318" s="25">
        <f>IF(E318=1,C318,G317)</f>
        <v>47123</v>
      </c>
      <c r="G318" s="25">
        <f>IF(E318&lt;参数设置!$B$13,DATE(YEAR(EDATE(C318,E318+1)),MONTH(EDATE(C318,E318+1)),参数设置!$B$14),EDATE(C318,参数设置!$B$13))</f>
        <v>47154</v>
      </c>
      <c r="H318">
        <f>G318-F318</f>
        <v>31</v>
      </c>
      <c r="I318" s="21">
        <f>IF(E318=参数设置!$B$13,D318,0)</f>
        <v>0</v>
      </c>
      <c r="J318" s="21">
        <f>IF(M318=1,ROUND(D318*参数设置!$B$11*H318/参数设置!$B$12,参数设置!$B$15),0)</f>
        <v>0</v>
      </c>
      <c r="K318" s="21">
        <f>I318+J318</f>
        <v>0</v>
      </c>
      <c r="L318" s="25">
        <f>EDATE(C318,参数设置!$B$13)</f>
        <v>47401</v>
      </c>
      <c r="M318">
        <f>--(D318&gt;0)</f>
        <v>0</v>
      </c>
    </row>
    <row r="319" spans="1:13" ht="15" customHeight="1">
      <c r="A319">
        <v>27</v>
      </c>
      <c r="B319">
        <v>27</v>
      </c>
      <c r="C319" s="25">
        <f>INDEX(实际执行追踪!$A$7:$A$42,A319)+DAY(参数设置!$B$4)-1</f>
        <v>47036</v>
      </c>
      <c r="D319" s="21">
        <f>INDEX(实际执行追踪!$C$7:$C$42,A319)</f>
        <v>0</v>
      </c>
      <c r="E319">
        <v>4</v>
      </c>
      <c r="F319" s="25">
        <f>IF(E319=1,C319,G318)</f>
        <v>47154</v>
      </c>
      <c r="G319" s="25">
        <f>IF(E319&lt;参数设置!$B$13,DATE(YEAR(EDATE(C319,E319+1)),MONTH(EDATE(C319,E319+1)),参数设置!$B$14),EDATE(C319,参数设置!$B$13))</f>
        <v>47182</v>
      </c>
      <c r="H319">
        <f>G319-F319</f>
        <v>28</v>
      </c>
      <c r="I319" s="21">
        <f>IF(E319=参数设置!$B$13,D319,0)</f>
        <v>0</v>
      </c>
      <c r="J319" s="21">
        <f>IF(M319=1,ROUND(D319*参数设置!$B$11*H319/参数设置!$B$12,参数设置!$B$15),0)</f>
        <v>0</v>
      </c>
      <c r="K319" s="21">
        <f>I319+J319</f>
        <v>0</v>
      </c>
      <c r="L319" s="25">
        <f>EDATE(C319,参数设置!$B$13)</f>
        <v>47401</v>
      </c>
      <c r="M319">
        <f>--(D319&gt;0)</f>
        <v>0</v>
      </c>
    </row>
    <row r="320" spans="1:13" ht="15" customHeight="1">
      <c r="A320">
        <v>27</v>
      </c>
      <c r="B320">
        <v>27</v>
      </c>
      <c r="C320" s="25">
        <f>INDEX(实际执行追踪!$A$7:$A$42,A320)+DAY(参数设置!$B$4)-1</f>
        <v>47036</v>
      </c>
      <c r="D320" s="21">
        <f>INDEX(实际执行追踪!$C$7:$C$42,A320)</f>
        <v>0</v>
      </c>
      <c r="E320">
        <v>5</v>
      </c>
      <c r="F320" s="25">
        <f>IF(E320=1,C320,G319)</f>
        <v>47182</v>
      </c>
      <c r="G320" s="25">
        <f>IF(E320&lt;参数设置!$B$13,DATE(YEAR(EDATE(C320,E320+1)),MONTH(EDATE(C320,E320+1)),参数设置!$B$14),EDATE(C320,参数设置!$B$13))</f>
        <v>47213</v>
      </c>
      <c r="H320">
        <f>G320-F320</f>
        <v>31</v>
      </c>
      <c r="I320" s="21">
        <f>IF(E320=参数设置!$B$13,D320,0)</f>
        <v>0</v>
      </c>
      <c r="J320" s="21">
        <f>IF(M320=1,ROUND(D320*参数设置!$B$11*H320/参数设置!$B$12,参数设置!$B$15),0)</f>
        <v>0</v>
      </c>
      <c r="K320" s="21">
        <f>I320+J320</f>
        <v>0</v>
      </c>
      <c r="L320" s="25">
        <f>EDATE(C320,参数设置!$B$13)</f>
        <v>47401</v>
      </c>
      <c r="M320">
        <f>--(D320&gt;0)</f>
        <v>0</v>
      </c>
    </row>
    <row r="321" spans="1:13" ht="15" customHeight="1">
      <c r="A321">
        <v>27</v>
      </c>
      <c r="B321">
        <v>27</v>
      </c>
      <c r="C321" s="25">
        <f>INDEX(实际执行追踪!$A$7:$A$42,A321)+DAY(参数设置!$B$4)-1</f>
        <v>47036</v>
      </c>
      <c r="D321" s="21">
        <f>INDEX(实际执行追踪!$C$7:$C$42,A321)</f>
        <v>0</v>
      </c>
      <c r="E321">
        <v>6</v>
      </c>
      <c r="F321" s="25">
        <f>IF(E321=1,C321,G320)</f>
        <v>47213</v>
      </c>
      <c r="G321" s="25">
        <f>IF(E321&lt;参数设置!$B$13,DATE(YEAR(EDATE(C321,E321+1)),MONTH(EDATE(C321,E321+1)),参数设置!$B$14),EDATE(C321,参数设置!$B$13))</f>
        <v>47243</v>
      </c>
      <c r="H321">
        <f>G321-F321</f>
        <v>30</v>
      </c>
      <c r="I321" s="21">
        <f>IF(E321=参数设置!$B$13,D321,0)</f>
        <v>0</v>
      </c>
      <c r="J321" s="21">
        <f>IF(M321=1,ROUND(D321*参数设置!$B$11*H321/参数设置!$B$12,参数设置!$B$15),0)</f>
        <v>0</v>
      </c>
      <c r="K321" s="21">
        <f>I321+J321</f>
        <v>0</v>
      </c>
      <c r="L321" s="25">
        <f>EDATE(C321,参数设置!$B$13)</f>
        <v>47401</v>
      </c>
      <c r="M321">
        <f>--(D321&gt;0)</f>
        <v>0</v>
      </c>
    </row>
    <row r="322" spans="1:13" ht="15" customHeight="1">
      <c r="A322">
        <v>27</v>
      </c>
      <c r="B322">
        <v>27</v>
      </c>
      <c r="C322" s="25">
        <f>INDEX(实际执行追踪!$A$7:$A$42,A322)+DAY(参数设置!$B$4)-1</f>
        <v>47036</v>
      </c>
      <c r="D322" s="21">
        <f>INDEX(实际执行追踪!$C$7:$C$42,A322)</f>
        <v>0</v>
      </c>
      <c r="E322">
        <v>7</v>
      </c>
      <c r="F322" s="25">
        <f>IF(E322=1,C322,G321)</f>
        <v>47243</v>
      </c>
      <c r="G322" s="25">
        <f>IF(E322&lt;参数设置!$B$13,DATE(YEAR(EDATE(C322,E322+1)),MONTH(EDATE(C322,E322+1)),参数设置!$B$14),EDATE(C322,参数设置!$B$13))</f>
        <v>47274</v>
      </c>
      <c r="H322">
        <f>G322-F322</f>
        <v>31</v>
      </c>
      <c r="I322" s="21">
        <f>IF(E322=参数设置!$B$13,D322,0)</f>
        <v>0</v>
      </c>
      <c r="J322" s="21">
        <f>IF(M322=1,ROUND(D322*参数设置!$B$11*H322/参数设置!$B$12,参数设置!$B$15),0)</f>
        <v>0</v>
      </c>
      <c r="K322" s="21">
        <f>I322+J322</f>
        <v>0</v>
      </c>
      <c r="L322" s="25">
        <f>EDATE(C322,参数设置!$B$13)</f>
        <v>47401</v>
      </c>
      <c r="M322">
        <f>--(D322&gt;0)</f>
        <v>0</v>
      </c>
    </row>
    <row r="323" spans="1:13" ht="15" customHeight="1">
      <c r="A323">
        <v>27</v>
      </c>
      <c r="B323">
        <v>27</v>
      </c>
      <c r="C323" s="25">
        <f>INDEX(实际执行追踪!$A$7:$A$42,A323)+DAY(参数设置!$B$4)-1</f>
        <v>47036</v>
      </c>
      <c r="D323" s="21">
        <f>INDEX(实际执行追踪!$C$7:$C$42,A323)</f>
        <v>0</v>
      </c>
      <c r="E323">
        <v>8</v>
      </c>
      <c r="F323" s="25">
        <f>IF(E323=1,C323,G322)</f>
        <v>47274</v>
      </c>
      <c r="G323" s="25">
        <f>IF(E323&lt;参数设置!$B$13,DATE(YEAR(EDATE(C323,E323+1)),MONTH(EDATE(C323,E323+1)),参数设置!$B$14),EDATE(C323,参数设置!$B$13))</f>
        <v>47304</v>
      </c>
      <c r="H323">
        <f>G323-F323</f>
        <v>30</v>
      </c>
      <c r="I323" s="21">
        <f>IF(E323=参数设置!$B$13,D323,0)</f>
        <v>0</v>
      </c>
      <c r="J323" s="21">
        <f>IF(M323=1,ROUND(D323*参数设置!$B$11*H323/参数设置!$B$12,参数设置!$B$15),0)</f>
        <v>0</v>
      </c>
      <c r="K323" s="21">
        <f>I323+J323</f>
        <v>0</v>
      </c>
      <c r="L323" s="25">
        <f>EDATE(C323,参数设置!$B$13)</f>
        <v>47401</v>
      </c>
      <c r="M323">
        <f>--(D323&gt;0)</f>
        <v>0</v>
      </c>
    </row>
    <row r="324" spans="1:13" ht="15" customHeight="1">
      <c r="A324">
        <v>27</v>
      </c>
      <c r="B324">
        <v>27</v>
      </c>
      <c r="C324" s="25">
        <f>INDEX(实际执行追踪!$A$7:$A$42,A324)+DAY(参数设置!$B$4)-1</f>
        <v>47036</v>
      </c>
      <c r="D324" s="21">
        <f>INDEX(实际执行追踪!$C$7:$C$42,A324)</f>
        <v>0</v>
      </c>
      <c r="E324">
        <v>9</v>
      </c>
      <c r="F324" s="25">
        <f>IF(E324=1,C324,G323)</f>
        <v>47304</v>
      </c>
      <c r="G324" s="25">
        <f>IF(E324&lt;参数设置!$B$13,DATE(YEAR(EDATE(C324,E324+1)),MONTH(EDATE(C324,E324+1)),参数设置!$B$14),EDATE(C324,参数设置!$B$13))</f>
        <v>47335</v>
      </c>
      <c r="H324">
        <f>G324-F324</f>
        <v>31</v>
      </c>
      <c r="I324" s="21">
        <f>IF(E324=参数设置!$B$13,D324,0)</f>
        <v>0</v>
      </c>
      <c r="J324" s="21">
        <f>IF(M324=1,ROUND(D324*参数设置!$B$11*H324/参数设置!$B$12,参数设置!$B$15),0)</f>
        <v>0</v>
      </c>
      <c r="K324" s="21">
        <f>I324+J324</f>
        <v>0</v>
      </c>
      <c r="L324" s="25">
        <f>EDATE(C324,参数设置!$B$13)</f>
        <v>47401</v>
      </c>
      <c r="M324">
        <f>--(D324&gt;0)</f>
        <v>0</v>
      </c>
    </row>
    <row r="325" spans="1:13" ht="15" customHeight="1">
      <c r="A325">
        <v>27</v>
      </c>
      <c r="B325">
        <v>27</v>
      </c>
      <c r="C325" s="25">
        <f>INDEX(实际执行追踪!$A$7:$A$42,A325)+DAY(参数设置!$B$4)-1</f>
        <v>47036</v>
      </c>
      <c r="D325" s="21">
        <f>INDEX(实际执行追踪!$C$7:$C$42,A325)</f>
        <v>0</v>
      </c>
      <c r="E325">
        <v>10</v>
      </c>
      <c r="F325" s="25">
        <f>IF(E325=1,C325,G324)</f>
        <v>47335</v>
      </c>
      <c r="G325" s="25">
        <f>IF(E325&lt;参数设置!$B$13,DATE(YEAR(EDATE(C325,E325+1)),MONTH(EDATE(C325,E325+1)),参数设置!$B$14),EDATE(C325,参数设置!$B$13))</f>
        <v>47366</v>
      </c>
      <c r="H325">
        <f>G325-F325</f>
        <v>31</v>
      </c>
      <c r="I325" s="21">
        <f>IF(E325=参数设置!$B$13,D325,0)</f>
        <v>0</v>
      </c>
      <c r="J325" s="21">
        <f>IF(M325=1,ROUND(D325*参数设置!$B$11*H325/参数设置!$B$12,参数设置!$B$15),0)</f>
        <v>0</v>
      </c>
      <c r="K325" s="21">
        <f>I325+J325</f>
        <v>0</v>
      </c>
      <c r="L325" s="25">
        <f>EDATE(C325,参数设置!$B$13)</f>
        <v>47401</v>
      </c>
      <c r="M325">
        <f>--(D325&gt;0)</f>
        <v>0</v>
      </c>
    </row>
    <row r="326" spans="1:13" ht="15" customHeight="1">
      <c r="A326">
        <v>27</v>
      </c>
      <c r="B326">
        <v>27</v>
      </c>
      <c r="C326" s="25">
        <f>INDEX(实际执行追踪!$A$7:$A$42,A326)+DAY(参数设置!$B$4)-1</f>
        <v>47036</v>
      </c>
      <c r="D326" s="21">
        <f>INDEX(实际执行追踪!$C$7:$C$42,A326)</f>
        <v>0</v>
      </c>
      <c r="E326">
        <v>11</v>
      </c>
      <c r="F326" s="25">
        <f>IF(E326=1,C326,G325)</f>
        <v>47366</v>
      </c>
      <c r="G326" s="25">
        <f>IF(E326&lt;参数设置!$B$13,DATE(YEAR(EDATE(C326,E326+1)),MONTH(EDATE(C326,E326+1)),参数设置!$B$14),EDATE(C326,参数设置!$B$13))</f>
        <v>47396</v>
      </c>
      <c r="H326">
        <f>G326-F326</f>
        <v>30</v>
      </c>
      <c r="I326" s="21">
        <f>IF(E326=参数设置!$B$13,D326,0)</f>
        <v>0</v>
      </c>
      <c r="J326" s="21">
        <f>IF(M326=1,ROUND(D326*参数设置!$B$11*H326/参数设置!$B$12,参数设置!$B$15),0)</f>
        <v>0</v>
      </c>
      <c r="K326" s="21">
        <f>I326+J326</f>
        <v>0</v>
      </c>
      <c r="L326" s="25">
        <f>EDATE(C326,参数设置!$B$13)</f>
        <v>47401</v>
      </c>
      <c r="M326">
        <f>--(D326&gt;0)</f>
        <v>0</v>
      </c>
    </row>
    <row r="327" spans="1:13" ht="15" customHeight="1">
      <c r="A327">
        <v>27</v>
      </c>
      <c r="B327">
        <v>27</v>
      </c>
      <c r="C327" s="25">
        <f>INDEX(实际执行追踪!$A$7:$A$42,A327)+DAY(参数设置!$B$4)-1</f>
        <v>47036</v>
      </c>
      <c r="D327" s="21">
        <f>INDEX(实际执行追踪!$C$7:$C$42,A327)</f>
        <v>0</v>
      </c>
      <c r="E327">
        <v>12</v>
      </c>
      <c r="F327" s="25">
        <f>IF(E327=1,C327,G326)</f>
        <v>47396</v>
      </c>
      <c r="G327" s="25">
        <f>IF(E327&lt;参数设置!$B$13,DATE(YEAR(EDATE(C327,E327+1)),MONTH(EDATE(C327,E327+1)),参数设置!$B$14),EDATE(C327,参数设置!$B$13))</f>
        <v>47401</v>
      </c>
      <c r="H327">
        <f>G327-F327</f>
        <v>5</v>
      </c>
      <c r="I327" s="21">
        <f>IF(E327=参数设置!$B$13,D327,0)</f>
        <v>0</v>
      </c>
      <c r="J327" s="21">
        <f>IF(M327=1,ROUND(D327*参数设置!$B$11*H327/参数设置!$B$12,参数设置!$B$15),0)</f>
        <v>0</v>
      </c>
      <c r="K327" s="21">
        <f>I327+J327</f>
        <v>0</v>
      </c>
      <c r="L327" s="25">
        <f>EDATE(C327,参数设置!$B$13)</f>
        <v>47401</v>
      </c>
      <c r="M327">
        <f>--(D327&gt;0)</f>
        <v>0</v>
      </c>
    </row>
    <row r="328" spans="1:13" ht="15" customHeight="1">
      <c r="A328">
        <v>28</v>
      </c>
      <c r="B328">
        <v>28</v>
      </c>
      <c r="C328" s="25">
        <f>INDEX(实际执行追踪!$A$7:$A$42,A328)+DAY(参数设置!$B$4)-1</f>
        <v>47067</v>
      </c>
      <c r="D328" s="21">
        <f>INDEX(实际执行追踪!$C$7:$C$42,A328)</f>
        <v>0</v>
      </c>
      <c r="E328">
        <v>1</v>
      </c>
      <c r="F328" s="25">
        <f>IF(E328=1,C328,G327)</f>
        <v>47067</v>
      </c>
      <c r="G328" s="25">
        <f>IF(E328&lt;参数设置!$B$13,DATE(YEAR(EDATE(C328,E328+1)),MONTH(EDATE(C328,E328+1)),参数设置!$B$14),EDATE(C328,参数设置!$B$13))</f>
        <v>47123</v>
      </c>
      <c r="H328">
        <f>G328-F328</f>
        <v>56</v>
      </c>
      <c r="I328" s="21">
        <f>IF(E328=参数设置!$B$13,D328,0)</f>
        <v>0</v>
      </c>
      <c r="J328" s="21">
        <f>IF(M328=1,ROUND(D328*参数设置!$B$11*H328/参数设置!$B$12,参数设置!$B$15),0)</f>
        <v>0</v>
      </c>
      <c r="K328" s="21">
        <f>I328+J328</f>
        <v>0</v>
      </c>
      <c r="L328" s="25">
        <f>EDATE(C328,参数设置!$B$13)</f>
        <v>47432</v>
      </c>
      <c r="M328">
        <f>--(D328&gt;0)</f>
        <v>0</v>
      </c>
    </row>
    <row r="329" spans="1:13" ht="15" customHeight="1">
      <c r="A329">
        <v>28</v>
      </c>
      <c r="B329">
        <v>28</v>
      </c>
      <c r="C329" s="25">
        <f>INDEX(实际执行追踪!$A$7:$A$42,A329)+DAY(参数设置!$B$4)-1</f>
        <v>47067</v>
      </c>
      <c r="D329" s="21">
        <f>INDEX(实际执行追踪!$C$7:$C$42,A329)</f>
        <v>0</v>
      </c>
      <c r="E329">
        <v>2</v>
      </c>
      <c r="F329" s="25">
        <f>IF(E329=1,C329,G328)</f>
        <v>47123</v>
      </c>
      <c r="G329" s="25">
        <f>IF(E329&lt;参数设置!$B$13,DATE(YEAR(EDATE(C329,E329+1)),MONTH(EDATE(C329,E329+1)),参数设置!$B$14),EDATE(C329,参数设置!$B$13))</f>
        <v>47154</v>
      </c>
      <c r="H329">
        <f>G329-F329</f>
        <v>31</v>
      </c>
      <c r="I329" s="21">
        <f>IF(E329=参数设置!$B$13,D329,0)</f>
        <v>0</v>
      </c>
      <c r="J329" s="21">
        <f>IF(M329=1,ROUND(D329*参数设置!$B$11*H329/参数设置!$B$12,参数设置!$B$15),0)</f>
        <v>0</v>
      </c>
      <c r="K329" s="21">
        <f>I329+J329</f>
        <v>0</v>
      </c>
      <c r="L329" s="25">
        <f>EDATE(C329,参数设置!$B$13)</f>
        <v>47432</v>
      </c>
      <c r="M329">
        <f>--(D329&gt;0)</f>
        <v>0</v>
      </c>
    </row>
    <row r="330" spans="1:13" ht="15" customHeight="1">
      <c r="A330">
        <v>28</v>
      </c>
      <c r="B330">
        <v>28</v>
      </c>
      <c r="C330" s="25">
        <f>INDEX(实际执行追踪!$A$7:$A$42,A330)+DAY(参数设置!$B$4)-1</f>
        <v>47067</v>
      </c>
      <c r="D330" s="21">
        <f>INDEX(实际执行追踪!$C$7:$C$42,A330)</f>
        <v>0</v>
      </c>
      <c r="E330">
        <v>3</v>
      </c>
      <c r="F330" s="25">
        <f>IF(E330=1,C330,G329)</f>
        <v>47154</v>
      </c>
      <c r="G330" s="25">
        <f>IF(E330&lt;参数设置!$B$13,DATE(YEAR(EDATE(C330,E330+1)),MONTH(EDATE(C330,E330+1)),参数设置!$B$14),EDATE(C330,参数设置!$B$13))</f>
        <v>47182</v>
      </c>
      <c r="H330">
        <f>G330-F330</f>
        <v>28</v>
      </c>
      <c r="I330" s="21">
        <f>IF(E330=参数设置!$B$13,D330,0)</f>
        <v>0</v>
      </c>
      <c r="J330" s="21">
        <f>IF(M330=1,ROUND(D330*参数设置!$B$11*H330/参数设置!$B$12,参数设置!$B$15),0)</f>
        <v>0</v>
      </c>
      <c r="K330" s="21">
        <f>I330+J330</f>
        <v>0</v>
      </c>
      <c r="L330" s="25">
        <f>EDATE(C330,参数设置!$B$13)</f>
        <v>47432</v>
      </c>
      <c r="M330">
        <f>--(D330&gt;0)</f>
        <v>0</v>
      </c>
    </row>
    <row r="331" spans="1:13" ht="15" customHeight="1">
      <c r="A331">
        <v>28</v>
      </c>
      <c r="B331">
        <v>28</v>
      </c>
      <c r="C331" s="25">
        <f>INDEX(实际执行追踪!$A$7:$A$42,A331)+DAY(参数设置!$B$4)-1</f>
        <v>47067</v>
      </c>
      <c r="D331" s="21">
        <f>INDEX(实际执行追踪!$C$7:$C$42,A331)</f>
        <v>0</v>
      </c>
      <c r="E331">
        <v>4</v>
      </c>
      <c r="F331" s="25">
        <f>IF(E331=1,C331,G330)</f>
        <v>47182</v>
      </c>
      <c r="G331" s="25">
        <f>IF(E331&lt;参数设置!$B$13,DATE(YEAR(EDATE(C331,E331+1)),MONTH(EDATE(C331,E331+1)),参数设置!$B$14),EDATE(C331,参数设置!$B$13))</f>
        <v>47213</v>
      </c>
      <c r="H331">
        <f>G331-F331</f>
        <v>31</v>
      </c>
      <c r="I331" s="21">
        <f>IF(E331=参数设置!$B$13,D331,0)</f>
        <v>0</v>
      </c>
      <c r="J331" s="21">
        <f>IF(M331=1,ROUND(D331*参数设置!$B$11*H331/参数设置!$B$12,参数设置!$B$15),0)</f>
        <v>0</v>
      </c>
      <c r="K331" s="21">
        <f>I331+J331</f>
        <v>0</v>
      </c>
      <c r="L331" s="25">
        <f>EDATE(C331,参数设置!$B$13)</f>
        <v>47432</v>
      </c>
      <c r="M331">
        <f>--(D331&gt;0)</f>
        <v>0</v>
      </c>
    </row>
    <row r="332" spans="1:13" ht="15" customHeight="1">
      <c r="A332">
        <v>28</v>
      </c>
      <c r="B332">
        <v>28</v>
      </c>
      <c r="C332" s="25">
        <f>INDEX(实际执行追踪!$A$7:$A$42,A332)+DAY(参数设置!$B$4)-1</f>
        <v>47067</v>
      </c>
      <c r="D332" s="21">
        <f>INDEX(实际执行追踪!$C$7:$C$42,A332)</f>
        <v>0</v>
      </c>
      <c r="E332">
        <v>5</v>
      </c>
      <c r="F332" s="25">
        <f>IF(E332=1,C332,G331)</f>
        <v>47213</v>
      </c>
      <c r="G332" s="25">
        <f>IF(E332&lt;参数设置!$B$13,DATE(YEAR(EDATE(C332,E332+1)),MONTH(EDATE(C332,E332+1)),参数设置!$B$14),EDATE(C332,参数设置!$B$13))</f>
        <v>47243</v>
      </c>
      <c r="H332">
        <f>G332-F332</f>
        <v>30</v>
      </c>
      <c r="I332" s="21">
        <f>IF(E332=参数设置!$B$13,D332,0)</f>
        <v>0</v>
      </c>
      <c r="J332" s="21">
        <f>IF(M332=1,ROUND(D332*参数设置!$B$11*H332/参数设置!$B$12,参数设置!$B$15),0)</f>
        <v>0</v>
      </c>
      <c r="K332" s="21">
        <f>I332+J332</f>
        <v>0</v>
      </c>
      <c r="L332" s="25">
        <f>EDATE(C332,参数设置!$B$13)</f>
        <v>47432</v>
      </c>
      <c r="M332">
        <f>--(D332&gt;0)</f>
        <v>0</v>
      </c>
    </row>
    <row r="333" spans="1:13" ht="15" customHeight="1">
      <c r="A333">
        <v>28</v>
      </c>
      <c r="B333">
        <v>28</v>
      </c>
      <c r="C333" s="25">
        <f>INDEX(实际执行追踪!$A$7:$A$42,A333)+DAY(参数设置!$B$4)-1</f>
        <v>47067</v>
      </c>
      <c r="D333" s="21">
        <f>INDEX(实际执行追踪!$C$7:$C$42,A333)</f>
        <v>0</v>
      </c>
      <c r="E333">
        <v>6</v>
      </c>
      <c r="F333" s="25">
        <f>IF(E333=1,C333,G332)</f>
        <v>47243</v>
      </c>
      <c r="G333" s="25">
        <f>IF(E333&lt;参数设置!$B$13,DATE(YEAR(EDATE(C333,E333+1)),MONTH(EDATE(C333,E333+1)),参数设置!$B$14),EDATE(C333,参数设置!$B$13))</f>
        <v>47274</v>
      </c>
      <c r="H333">
        <f>G333-F333</f>
        <v>31</v>
      </c>
      <c r="I333" s="21">
        <f>IF(E333=参数设置!$B$13,D333,0)</f>
        <v>0</v>
      </c>
      <c r="J333" s="21">
        <f>IF(M333=1,ROUND(D333*参数设置!$B$11*H333/参数设置!$B$12,参数设置!$B$15),0)</f>
        <v>0</v>
      </c>
      <c r="K333" s="21">
        <f>I333+J333</f>
        <v>0</v>
      </c>
      <c r="L333" s="25">
        <f>EDATE(C333,参数设置!$B$13)</f>
        <v>47432</v>
      </c>
      <c r="M333">
        <f>--(D333&gt;0)</f>
        <v>0</v>
      </c>
    </row>
    <row r="334" spans="1:13" ht="15" customHeight="1">
      <c r="A334">
        <v>28</v>
      </c>
      <c r="B334">
        <v>28</v>
      </c>
      <c r="C334" s="25">
        <f>INDEX(实际执行追踪!$A$7:$A$42,A334)+DAY(参数设置!$B$4)-1</f>
        <v>47067</v>
      </c>
      <c r="D334" s="21">
        <f>INDEX(实际执行追踪!$C$7:$C$42,A334)</f>
        <v>0</v>
      </c>
      <c r="E334">
        <v>7</v>
      </c>
      <c r="F334" s="25">
        <f>IF(E334=1,C334,G333)</f>
        <v>47274</v>
      </c>
      <c r="G334" s="25">
        <f>IF(E334&lt;参数设置!$B$13,DATE(YEAR(EDATE(C334,E334+1)),MONTH(EDATE(C334,E334+1)),参数设置!$B$14),EDATE(C334,参数设置!$B$13))</f>
        <v>47304</v>
      </c>
      <c r="H334">
        <f>G334-F334</f>
        <v>30</v>
      </c>
      <c r="I334" s="21">
        <f>IF(E334=参数设置!$B$13,D334,0)</f>
        <v>0</v>
      </c>
      <c r="J334" s="21">
        <f>IF(M334=1,ROUND(D334*参数设置!$B$11*H334/参数设置!$B$12,参数设置!$B$15),0)</f>
        <v>0</v>
      </c>
      <c r="K334" s="21">
        <f>I334+J334</f>
        <v>0</v>
      </c>
      <c r="L334" s="25">
        <f>EDATE(C334,参数设置!$B$13)</f>
        <v>47432</v>
      </c>
      <c r="M334">
        <f>--(D334&gt;0)</f>
        <v>0</v>
      </c>
    </row>
    <row r="335" spans="1:13" ht="15" customHeight="1">
      <c r="A335">
        <v>28</v>
      </c>
      <c r="B335">
        <v>28</v>
      </c>
      <c r="C335" s="25">
        <f>INDEX(实际执行追踪!$A$7:$A$42,A335)+DAY(参数设置!$B$4)-1</f>
        <v>47067</v>
      </c>
      <c r="D335" s="21">
        <f>INDEX(实际执行追踪!$C$7:$C$42,A335)</f>
        <v>0</v>
      </c>
      <c r="E335">
        <v>8</v>
      </c>
      <c r="F335" s="25">
        <f>IF(E335=1,C335,G334)</f>
        <v>47304</v>
      </c>
      <c r="G335" s="25">
        <f>IF(E335&lt;参数设置!$B$13,DATE(YEAR(EDATE(C335,E335+1)),MONTH(EDATE(C335,E335+1)),参数设置!$B$14),EDATE(C335,参数设置!$B$13))</f>
        <v>47335</v>
      </c>
      <c r="H335">
        <f>G335-F335</f>
        <v>31</v>
      </c>
      <c r="I335" s="21">
        <f>IF(E335=参数设置!$B$13,D335,0)</f>
        <v>0</v>
      </c>
      <c r="J335" s="21">
        <f>IF(M335=1,ROUND(D335*参数设置!$B$11*H335/参数设置!$B$12,参数设置!$B$15),0)</f>
        <v>0</v>
      </c>
      <c r="K335" s="21">
        <f>I335+J335</f>
        <v>0</v>
      </c>
      <c r="L335" s="25">
        <f>EDATE(C335,参数设置!$B$13)</f>
        <v>47432</v>
      </c>
      <c r="M335">
        <f>--(D335&gt;0)</f>
        <v>0</v>
      </c>
    </row>
    <row r="336" spans="1:13" ht="15" customHeight="1">
      <c r="A336">
        <v>28</v>
      </c>
      <c r="B336">
        <v>28</v>
      </c>
      <c r="C336" s="25">
        <f>INDEX(实际执行追踪!$A$7:$A$42,A336)+DAY(参数设置!$B$4)-1</f>
        <v>47067</v>
      </c>
      <c r="D336" s="21">
        <f>INDEX(实际执行追踪!$C$7:$C$42,A336)</f>
        <v>0</v>
      </c>
      <c r="E336">
        <v>9</v>
      </c>
      <c r="F336" s="25">
        <f>IF(E336=1,C336,G335)</f>
        <v>47335</v>
      </c>
      <c r="G336" s="25">
        <f>IF(E336&lt;参数设置!$B$13,DATE(YEAR(EDATE(C336,E336+1)),MONTH(EDATE(C336,E336+1)),参数设置!$B$14),EDATE(C336,参数设置!$B$13))</f>
        <v>47366</v>
      </c>
      <c r="H336">
        <f>G336-F336</f>
        <v>31</v>
      </c>
      <c r="I336" s="21">
        <f>IF(E336=参数设置!$B$13,D336,0)</f>
        <v>0</v>
      </c>
      <c r="J336" s="21">
        <f>IF(M336=1,ROUND(D336*参数设置!$B$11*H336/参数设置!$B$12,参数设置!$B$15),0)</f>
        <v>0</v>
      </c>
      <c r="K336" s="21">
        <f>I336+J336</f>
        <v>0</v>
      </c>
      <c r="L336" s="25">
        <f>EDATE(C336,参数设置!$B$13)</f>
        <v>47432</v>
      </c>
      <c r="M336">
        <f>--(D336&gt;0)</f>
        <v>0</v>
      </c>
    </row>
    <row r="337" spans="1:13" ht="15" customHeight="1">
      <c r="A337">
        <v>28</v>
      </c>
      <c r="B337">
        <v>28</v>
      </c>
      <c r="C337" s="25">
        <f>INDEX(实际执行追踪!$A$7:$A$42,A337)+DAY(参数设置!$B$4)-1</f>
        <v>47067</v>
      </c>
      <c r="D337" s="21">
        <f>INDEX(实际执行追踪!$C$7:$C$42,A337)</f>
        <v>0</v>
      </c>
      <c r="E337">
        <v>10</v>
      </c>
      <c r="F337" s="25">
        <f>IF(E337=1,C337,G336)</f>
        <v>47366</v>
      </c>
      <c r="G337" s="25">
        <f>IF(E337&lt;参数设置!$B$13,DATE(YEAR(EDATE(C337,E337+1)),MONTH(EDATE(C337,E337+1)),参数设置!$B$14),EDATE(C337,参数设置!$B$13))</f>
        <v>47396</v>
      </c>
      <c r="H337">
        <f>G337-F337</f>
        <v>30</v>
      </c>
      <c r="I337" s="21">
        <f>IF(E337=参数设置!$B$13,D337,0)</f>
        <v>0</v>
      </c>
      <c r="J337" s="21">
        <f>IF(M337=1,ROUND(D337*参数设置!$B$11*H337/参数设置!$B$12,参数设置!$B$15),0)</f>
        <v>0</v>
      </c>
      <c r="K337" s="21">
        <f>I337+J337</f>
        <v>0</v>
      </c>
      <c r="L337" s="25">
        <f>EDATE(C337,参数设置!$B$13)</f>
        <v>47432</v>
      </c>
      <c r="M337">
        <f>--(D337&gt;0)</f>
        <v>0</v>
      </c>
    </row>
    <row r="338" spans="1:13" ht="15" customHeight="1">
      <c r="A338">
        <v>28</v>
      </c>
      <c r="B338">
        <v>28</v>
      </c>
      <c r="C338" s="25">
        <f>INDEX(实际执行追踪!$A$7:$A$42,A338)+DAY(参数设置!$B$4)-1</f>
        <v>47067</v>
      </c>
      <c r="D338" s="21">
        <f>INDEX(实际执行追踪!$C$7:$C$42,A338)</f>
        <v>0</v>
      </c>
      <c r="E338">
        <v>11</v>
      </c>
      <c r="F338" s="25">
        <f>IF(E338=1,C338,G337)</f>
        <v>47396</v>
      </c>
      <c r="G338" s="25">
        <f>IF(E338&lt;参数设置!$B$13,DATE(YEAR(EDATE(C338,E338+1)),MONTH(EDATE(C338,E338+1)),参数设置!$B$14),EDATE(C338,参数设置!$B$13))</f>
        <v>47427</v>
      </c>
      <c r="H338">
        <f>G338-F338</f>
        <v>31</v>
      </c>
      <c r="I338" s="21">
        <f>IF(E338=参数设置!$B$13,D338,0)</f>
        <v>0</v>
      </c>
      <c r="J338" s="21">
        <f>IF(M338=1,ROUND(D338*参数设置!$B$11*H338/参数设置!$B$12,参数设置!$B$15),0)</f>
        <v>0</v>
      </c>
      <c r="K338" s="21">
        <f>I338+J338</f>
        <v>0</v>
      </c>
      <c r="L338" s="25">
        <f>EDATE(C338,参数设置!$B$13)</f>
        <v>47432</v>
      </c>
      <c r="M338">
        <f>--(D338&gt;0)</f>
        <v>0</v>
      </c>
    </row>
    <row r="339" spans="1:13" ht="15" customHeight="1">
      <c r="A339">
        <v>28</v>
      </c>
      <c r="B339">
        <v>28</v>
      </c>
      <c r="C339" s="25">
        <f>INDEX(实际执行追踪!$A$7:$A$42,A339)+DAY(参数设置!$B$4)-1</f>
        <v>47067</v>
      </c>
      <c r="D339" s="21">
        <f>INDEX(实际执行追踪!$C$7:$C$42,A339)</f>
        <v>0</v>
      </c>
      <c r="E339">
        <v>12</v>
      </c>
      <c r="F339" s="25">
        <f>IF(E339=1,C339,G338)</f>
        <v>47427</v>
      </c>
      <c r="G339" s="25">
        <f>IF(E339&lt;参数设置!$B$13,DATE(YEAR(EDATE(C339,E339+1)),MONTH(EDATE(C339,E339+1)),参数设置!$B$14),EDATE(C339,参数设置!$B$13))</f>
        <v>47432</v>
      </c>
      <c r="H339">
        <f>G339-F339</f>
        <v>5</v>
      </c>
      <c r="I339" s="21">
        <f>IF(E339=参数设置!$B$13,D339,0)</f>
        <v>0</v>
      </c>
      <c r="J339" s="21">
        <f>IF(M339=1,ROUND(D339*参数设置!$B$11*H339/参数设置!$B$12,参数设置!$B$15),0)</f>
        <v>0</v>
      </c>
      <c r="K339" s="21">
        <f>I339+J339</f>
        <v>0</v>
      </c>
      <c r="L339" s="25">
        <f>EDATE(C339,参数设置!$B$13)</f>
        <v>47432</v>
      </c>
      <c r="M339">
        <f>--(D339&gt;0)</f>
        <v>0</v>
      </c>
    </row>
    <row r="340" spans="1:13" ht="15" customHeight="1">
      <c r="A340">
        <v>29</v>
      </c>
      <c r="B340">
        <v>29</v>
      </c>
      <c r="C340" s="25">
        <f>INDEX(实际执行追踪!$A$7:$A$42,A340)+DAY(参数设置!$B$4)-1</f>
        <v>47097</v>
      </c>
      <c r="D340" s="21">
        <f>INDEX(实际执行追踪!$C$7:$C$42,A340)</f>
        <v>0</v>
      </c>
      <c r="E340">
        <v>1</v>
      </c>
      <c r="F340" s="25">
        <f>IF(E340=1,C340,G339)</f>
        <v>47097</v>
      </c>
      <c r="G340" s="25">
        <f>IF(E340&lt;参数设置!$B$13,DATE(YEAR(EDATE(C340,E340+1)),MONTH(EDATE(C340,E340+1)),参数设置!$B$14),EDATE(C340,参数设置!$B$13))</f>
        <v>47154</v>
      </c>
      <c r="H340">
        <f>G340-F340</f>
        <v>57</v>
      </c>
      <c r="I340" s="21">
        <f>IF(E340=参数设置!$B$13,D340,0)</f>
        <v>0</v>
      </c>
      <c r="J340" s="21">
        <f>IF(M340=1,ROUND(D340*参数设置!$B$11*H340/参数设置!$B$12,参数设置!$B$15),0)</f>
        <v>0</v>
      </c>
      <c r="K340" s="21">
        <f>I340+J340</f>
        <v>0</v>
      </c>
      <c r="L340" s="25">
        <f>EDATE(C340,参数设置!$B$13)</f>
        <v>47462</v>
      </c>
      <c r="M340">
        <f>--(D340&gt;0)</f>
        <v>0</v>
      </c>
    </row>
    <row r="341" spans="1:13" ht="15" customHeight="1">
      <c r="A341">
        <v>29</v>
      </c>
      <c r="B341">
        <v>29</v>
      </c>
      <c r="C341" s="25">
        <f>INDEX(实际执行追踪!$A$7:$A$42,A341)+DAY(参数设置!$B$4)-1</f>
        <v>47097</v>
      </c>
      <c r="D341" s="21">
        <f>INDEX(实际执行追踪!$C$7:$C$42,A341)</f>
        <v>0</v>
      </c>
      <c r="E341">
        <v>2</v>
      </c>
      <c r="F341" s="25">
        <f>IF(E341=1,C341,G340)</f>
        <v>47154</v>
      </c>
      <c r="G341" s="25">
        <f>IF(E341&lt;参数设置!$B$13,DATE(YEAR(EDATE(C341,E341+1)),MONTH(EDATE(C341,E341+1)),参数设置!$B$14),EDATE(C341,参数设置!$B$13))</f>
        <v>47182</v>
      </c>
      <c r="H341">
        <f>G341-F341</f>
        <v>28</v>
      </c>
      <c r="I341" s="21">
        <f>IF(E341=参数设置!$B$13,D341,0)</f>
        <v>0</v>
      </c>
      <c r="J341" s="21">
        <f>IF(M341=1,ROUND(D341*参数设置!$B$11*H341/参数设置!$B$12,参数设置!$B$15),0)</f>
        <v>0</v>
      </c>
      <c r="K341" s="21">
        <f>I341+J341</f>
        <v>0</v>
      </c>
      <c r="L341" s="25">
        <f>EDATE(C341,参数设置!$B$13)</f>
        <v>47462</v>
      </c>
      <c r="M341">
        <f>--(D341&gt;0)</f>
        <v>0</v>
      </c>
    </row>
    <row r="342" spans="1:13" ht="15" customHeight="1">
      <c r="A342">
        <v>29</v>
      </c>
      <c r="B342">
        <v>29</v>
      </c>
      <c r="C342" s="25">
        <f>INDEX(实际执行追踪!$A$7:$A$42,A342)+DAY(参数设置!$B$4)-1</f>
        <v>47097</v>
      </c>
      <c r="D342" s="21">
        <f>INDEX(实际执行追踪!$C$7:$C$42,A342)</f>
        <v>0</v>
      </c>
      <c r="E342">
        <v>3</v>
      </c>
      <c r="F342" s="25">
        <f>IF(E342=1,C342,G341)</f>
        <v>47182</v>
      </c>
      <c r="G342" s="25">
        <f>IF(E342&lt;参数设置!$B$13,DATE(YEAR(EDATE(C342,E342+1)),MONTH(EDATE(C342,E342+1)),参数设置!$B$14),EDATE(C342,参数设置!$B$13))</f>
        <v>47213</v>
      </c>
      <c r="H342">
        <f>G342-F342</f>
        <v>31</v>
      </c>
      <c r="I342" s="21">
        <f>IF(E342=参数设置!$B$13,D342,0)</f>
        <v>0</v>
      </c>
      <c r="J342" s="21">
        <f>IF(M342=1,ROUND(D342*参数设置!$B$11*H342/参数设置!$B$12,参数设置!$B$15),0)</f>
        <v>0</v>
      </c>
      <c r="K342" s="21">
        <f>I342+J342</f>
        <v>0</v>
      </c>
      <c r="L342" s="25">
        <f>EDATE(C342,参数设置!$B$13)</f>
        <v>47462</v>
      </c>
      <c r="M342">
        <f>--(D342&gt;0)</f>
        <v>0</v>
      </c>
    </row>
    <row r="343" spans="1:13" ht="15" customHeight="1">
      <c r="A343">
        <v>29</v>
      </c>
      <c r="B343">
        <v>29</v>
      </c>
      <c r="C343" s="25">
        <f>INDEX(实际执行追踪!$A$7:$A$42,A343)+DAY(参数设置!$B$4)-1</f>
        <v>47097</v>
      </c>
      <c r="D343" s="21">
        <f>INDEX(实际执行追踪!$C$7:$C$42,A343)</f>
        <v>0</v>
      </c>
      <c r="E343">
        <v>4</v>
      </c>
      <c r="F343" s="25">
        <f>IF(E343=1,C343,G342)</f>
        <v>47213</v>
      </c>
      <c r="G343" s="25">
        <f>IF(E343&lt;参数设置!$B$13,DATE(YEAR(EDATE(C343,E343+1)),MONTH(EDATE(C343,E343+1)),参数设置!$B$14),EDATE(C343,参数设置!$B$13))</f>
        <v>47243</v>
      </c>
      <c r="H343">
        <f>G343-F343</f>
        <v>30</v>
      </c>
      <c r="I343" s="21">
        <f>IF(E343=参数设置!$B$13,D343,0)</f>
        <v>0</v>
      </c>
      <c r="J343" s="21">
        <f>IF(M343=1,ROUND(D343*参数设置!$B$11*H343/参数设置!$B$12,参数设置!$B$15),0)</f>
        <v>0</v>
      </c>
      <c r="K343" s="21">
        <f>I343+J343</f>
        <v>0</v>
      </c>
      <c r="L343" s="25">
        <f>EDATE(C343,参数设置!$B$13)</f>
        <v>47462</v>
      </c>
      <c r="M343">
        <f>--(D343&gt;0)</f>
        <v>0</v>
      </c>
    </row>
    <row r="344" spans="1:13" ht="15" customHeight="1">
      <c r="A344">
        <v>29</v>
      </c>
      <c r="B344">
        <v>29</v>
      </c>
      <c r="C344" s="25">
        <f>INDEX(实际执行追踪!$A$7:$A$42,A344)+DAY(参数设置!$B$4)-1</f>
        <v>47097</v>
      </c>
      <c r="D344" s="21">
        <f>INDEX(实际执行追踪!$C$7:$C$42,A344)</f>
        <v>0</v>
      </c>
      <c r="E344">
        <v>5</v>
      </c>
      <c r="F344" s="25">
        <f>IF(E344=1,C344,G343)</f>
        <v>47243</v>
      </c>
      <c r="G344" s="25">
        <f>IF(E344&lt;参数设置!$B$13,DATE(YEAR(EDATE(C344,E344+1)),MONTH(EDATE(C344,E344+1)),参数设置!$B$14),EDATE(C344,参数设置!$B$13))</f>
        <v>47274</v>
      </c>
      <c r="H344">
        <f>G344-F344</f>
        <v>31</v>
      </c>
      <c r="I344" s="21">
        <f>IF(E344=参数设置!$B$13,D344,0)</f>
        <v>0</v>
      </c>
      <c r="J344" s="21">
        <f>IF(M344=1,ROUND(D344*参数设置!$B$11*H344/参数设置!$B$12,参数设置!$B$15),0)</f>
        <v>0</v>
      </c>
      <c r="K344" s="21">
        <f>I344+J344</f>
        <v>0</v>
      </c>
      <c r="L344" s="25">
        <f>EDATE(C344,参数设置!$B$13)</f>
        <v>47462</v>
      </c>
      <c r="M344">
        <f>--(D344&gt;0)</f>
        <v>0</v>
      </c>
    </row>
    <row r="345" spans="1:13" ht="15" customHeight="1">
      <c r="A345">
        <v>29</v>
      </c>
      <c r="B345">
        <v>29</v>
      </c>
      <c r="C345" s="25">
        <f>INDEX(实际执行追踪!$A$7:$A$42,A345)+DAY(参数设置!$B$4)-1</f>
        <v>47097</v>
      </c>
      <c r="D345" s="21">
        <f>INDEX(实际执行追踪!$C$7:$C$42,A345)</f>
        <v>0</v>
      </c>
      <c r="E345">
        <v>6</v>
      </c>
      <c r="F345" s="25">
        <f>IF(E345=1,C345,G344)</f>
        <v>47274</v>
      </c>
      <c r="G345" s="25">
        <f>IF(E345&lt;参数设置!$B$13,DATE(YEAR(EDATE(C345,E345+1)),MONTH(EDATE(C345,E345+1)),参数设置!$B$14),EDATE(C345,参数设置!$B$13))</f>
        <v>47304</v>
      </c>
      <c r="H345">
        <f>G345-F345</f>
        <v>30</v>
      </c>
      <c r="I345" s="21">
        <f>IF(E345=参数设置!$B$13,D345,0)</f>
        <v>0</v>
      </c>
      <c r="J345" s="21">
        <f>IF(M345=1,ROUND(D345*参数设置!$B$11*H345/参数设置!$B$12,参数设置!$B$15),0)</f>
        <v>0</v>
      </c>
      <c r="K345" s="21">
        <f>I345+J345</f>
        <v>0</v>
      </c>
      <c r="L345" s="25">
        <f>EDATE(C345,参数设置!$B$13)</f>
        <v>47462</v>
      </c>
      <c r="M345">
        <f>--(D345&gt;0)</f>
        <v>0</v>
      </c>
    </row>
    <row r="346" spans="1:13" ht="15" customHeight="1">
      <c r="A346">
        <v>29</v>
      </c>
      <c r="B346">
        <v>29</v>
      </c>
      <c r="C346" s="25">
        <f>INDEX(实际执行追踪!$A$7:$A$42,A346)+DAY(参数设置!$B$4)-1</f>
        <v>47097</v>
      </c>
      <c r="D346" s="21">
        <f>INDEX(实际执行追踪!$C$7:$C$42,A346)</f>
        <v>0</v>
      </c>
      <c r="E346">
        <v>7</v>
      </c>
      <c r="F346" s="25">
        <f>IF(E346=1,C346,G345)</f>
        <v>47304</v>
      </c>
      <c r="G346" s="25">
        <f>IF(E346&lt;参数设置!$B$13,DATE(YEAR(EDATE(C346,E346+1)),MONTH(EDATE(C346,E346+1)),参数设置!$B$14),EDATE(C346,参数设置!$B$13))</f>
        <v>47335</v>
      </c>
      <c r="H346">
        <f>G346-F346</f>
        <v>31</v>
      </c>
      <c r="I346" s="21">
        <f>IF(E346=参数设置!$B$13,D346,0)</f>
        <v>0</v>
      </c>
      <c r="J346" s="21">
        <f>IF(M346=1,ROUND(D346*参数设置!$B$11*H346/参数设置!$B$12,参数设置!$B$15),0)</f>
        <v>0</v>
      </c>
      <c r="K346" s="21">
        <f>I346+J346</f>
        <v>0</v>
      </c>
      <c r="L346" s="25">
        <f>EDATE(C346,参数设置!$B$13)</f>
        <v>47462</v>
      </c>
      <c r="M346">
        <f>--(D346&gt;0)</f>
        <v>0</v>
      </c>
    </row>
    <row r="347" spans="1:13" ht="15" customHeight="1">
      <c r="A347">
        <v>29</v>
      </c>
      <c r="B347">
        <v>29</v>
      </c>
      <c r="C347" s="25">
        <f>INDEX(实际执行追踪!$A$7:$A$42,A347)+DAY(参数设置!$B$4)-1</f>
        <v>47097</v>
      </c>
      <c r="D347" s="21">
        <f>INDEX(实际执行追踪!$C$7:$C$42,A347)</f>
        <v>0</v>
      </c>
      <c r="E347">
        <v>8</v>
      </c>
      <c r="F347" s="25">
        <f>IF(E347=1,C347,G346)</f>
        <v>47335</v>
      </c>
      <c r="G347" s="25">
        <f>IF(E347&lt;参数设置!$B$13,DATE(YEAR(EDATE(C347,E347+1)),MONTH(EDATE(C347,E347+1)),参数设置!$B$14),EDATE(C347,参数设置!$B$13))</f>
        <v>47366</v>
      </c>
      <c r="H347">
        <f>G347-F347</f>
        <v>31</v>
      </c>
      <c r="I347" s="21">
        <f>IF(E347=参数设置!$B$13,D347,0)</f>
        <v>0</v>
      </c>
      <c r="J347" s="21">
        <f>IF(M347=1,ROUND(D347*参数设置!$B$11*H347/参数设置!$B$12,参数设置!$B$15),0)</f>
        <v>0</v>
      </c>
      <c r="K347" s="21">
        <f>I347+J347</f>
        <v>0</v>
      </c>
      <c r="L347" s="25">
        <f>EDATE(C347,参数设置!$B$13)</f>
        <v>47462</v>
      </c>
      <c r="M347">
        <f>--(D347&gt;0)</f>
        <v>0</v>
      </c>
    </row>
    <row r="348" spans="1:13" ht="15" customHeight="1">
      <c r="A348">
        <v>29</v>
      </c>
      <c r="B348">
        <v>29</v>
      </c>
      <c r="C348" s="25">
        <f>INDEX(实际执行追踪!$A$7:$A$42,A348)+DAY(参数设置!$B$4)-1</f>
        <v>47097</v>
      </c>
      <c r="D348" s="21">
        <f>INDEX(实际执行追踪!$C$7:$C$42,A348)</f>
        <v>0</v>
      </c>
      <c r="E348">
        <v>9</v>
      </c>
      <c r="F348" s="25">
        <f>IF(E348=1,C348,G347)</f>
        <v>47366</v>
      </c>
      <c r="G348" s="25">
        <f>IF(E348&lt;参数设置!$B$13,DATE(YEAR(EDATE(C348,E348+1)),MONTH(EDATE(C348,E348+1)),参数设置!$B$14),EDATE(C348,参数设置!$B$13))</f>
        <v>47396</v>
      </c>
      <c r="H348">
        <f>G348-F348</f>
        <v>30</v>
      </c>
      <c r="I348" s="21">
        <f>IF(E348=参数设置!$B$13,D348,0)</f>
        <v>0</v>
      </c>
      <c r="J348" s="21">
        <f>IF(M348=1,ROUND(D348*参数设置!$B$11*H348/参数设置!$B$12,参数设置!$B$15),0)</f>
        <v>0</v>
      </c>
      <c r="K348" s="21">
        <f>I348+J348</f>
        <v>0</v>
      </c>
      <c r="L348" s="25">
        <f>EDATE(C348,参数设置!$B$13)</f>
        <v>47462</v>
      </c>
      <c r="M348">
        <f>--(D348&gt;0)</f>
        <v>0</v>
      </c>
    </row>
    <row r="349" spans="1:13" ht="15" customHeight="1">
      <c r="A349">
        <v>29</v>
      </c>
      <c r="B349">
        <v>29</v>
      </c>
      <c r="C349" s="25">
        <f>INDEX(实际执行追踪!$A$7:$A$42,A349)+DAY(参数设置!$B$4)-1</f>
        <v>47097</v>
      </c>
      <c r="D349" s="21">
        <f>INDEX(实际执行追踪!$C$7:$C$42,A349)</f>
        <v>0</v>
      </c>
      <c r="E349">
        <v>10</v>
      </c>
      <c r="F349" s="25">
        <f>IF(E349=1,C349,G348)</f>
        <v>47396</v>
      </c>
      <c r="G349" s="25">
        <f>IF(E349&lt;参数设置!$B$13,DATE(YEAR(EDATE(C349,E349+1)),MONTH(EDATE(C349,E349+1)),参数设置!$B$14),EDATE(C349,参数设置!$B$13))</f>
        <v>47427</v>
      </c>
      <c r="H349">
        <f>G349-F349</f>
        <v>31</v>
      </c>
      <c r="I349" s="21">
        <f>IF(E349=参数设置!$B$13,D349,0)</f>
        <v>0</v>
      </c>
      <c r="J349" s="21">
        <f>IF(M349=1,ROUND(D349*参数设置!$B$11*H349/参数设置!$B$12,参数设置!$B$15),0)</f>
        <v>0</v>
      </c>
      <c r="K349" s="21">
        <f>I349+J349</f>
        <v>0</v>
      </c>
      <c r="L349" s="25">
        <f>EDATE(C349,参数设置!$B$13)</f>
        <v>47462</v>
      </c>
      <c r="M349">
        <f>--(D349&gt;0)</f>
        <v>0</v>
      </c>
    </row>
    <row r="350" spans="1:13" ht="15" customHeight="1">
      <c r="A350">
        <v>29</v>
      </c>
      <c r="B350">
        <v>29</v>
      </c>
      <c r="C350" s="25">
        <f>INDEX(实际执行追踪!$A$7:$A$42,A350)+DAY(参数设置!$B$4)-1</f>
        <v>47097</v>
      </c>
      <c r="D350" s="21">
        <f>INDEX(实际执行追踪!$C$7:$C$42,A350)</f>
        <v>0</v>
      </c>
      <c r="E350">
        <v>11</v>
      </c>
      <c r="F350" s="25">
        <f>IF(E350=1,C350,G349)</f>
        <v>47427</v>
      </c>
      <c r="G350" s="25">
        <f>IF(E350&lt;参数设置!$B$13,DATE(YEAR(EDATE(C350,E350+1)),MONTH(EDATE(C350,E350+1)),参数设置!$B$14),EDATE(C350,参数设置!$B$13))</f>
        <v>47457</v>
      </c>
      <c r="H350">
        <f>G350-F350</f>
        <v>30</v>
      </c>
      <c r="I350" s="21">
        <f>IF(E350=参数设置!$B$13,D350,0)</f>
        <v>0</v>
      </c>
      <c r="J350" s="21">
        <f>IF(M350=1,ROUND(D350*参数设置!$B$11*H350/参数设置!$B$12,参数设置!$B$15),0)</f>
        <v>0</v>
      </c>
      <c r="K350" s="21">
        <f>I350+J350</f>
        <v>0</v>
      </c>
      <c r="L350" s="25">
        <f>EDATE(C350,参数设置!$B$13)</f>
        <v>47462</v>
      </c>
      <c r="M350">
        <f>--(D350&gt;0)</f>
        <v>0</v>
      </c>
    </row>
    <row r="351" spans="1:13" ht="15" customHeight="1">
      <c r="A351">
        <v>29</v>
      </c>
      <c r="B351">
        <v>29</v>
      </c>
      <c r="C351" s="25">
        <f>INDEX(实际执行追踪!$A$7:$A$42,A351)+DAY(参数设置!$B$4)-1</f>
        <v>47097</v>
      </c>
      <c r="D351" s="21">
        <f>INDEX(实际执行追踪!$C$7:$C$42,A351)</f>
        <v>0</v>
      </c>
      <c r="E351">
        <v>12</v>
      </c>
      <c r="F351" s="25">
        <f>IF(E351=1,C351,G350)</f>
        <v>47457</v>
      </c>
      <c r="G351" s="25">
        <f>IF(E351&lt;参数设置!$B$13,DATE(YEAR(EDATE(C351,E351+1)),MONTH(EDATE(C351,E351+1)),参数设置!$B$14),EDATE(C351,参数设置!$B$13))</f>
        <v>47462</v>
      </c>
      <c r="H351">
        <f>G351-F351</f>
        <v>5</v>
      </c>
      <c r="I351" s="21">
        <f>IF(E351=参数设置!$B$13,D351,0)</f>
        <v>0</v>
      </c>
      <c r="J351" s="21">
        <f>IF(M351=1,ROUND(D351*参数设置!$B$11*H351/参数设置!$B$12,参数设置!$B$15),0)</f>
        <v>0</v>
      </c>
      <c r="K351" s="21">
        <f>I351+J351</f>
        <v>0</v>
      </c>
      <c r="L351" s="25">
        <f>EDATE(C351,参数设置!$B$13)</f>
        <v>47462</v>
      </c>
      <c r="M351">
        <f>--(D351&gt;0)</f>
        <v>0</v>
      </c>
    </row>
    <row r="352" spans="1:13" ht="15" customHeight="1">
      <c r="A352">
        <v>30</v>
      </c>
      <c r="B352">
        <v>30</v>
      </c>
      <c r="C352" s="25">
        <f>INDEX(实际执行追踪!$A$7:$A$42,A352)+DAY(参数设置!$B$4)-1</f>
        <v>47128</v>
      </c>
      <c r="D352" s="21">
        <f>INDEX(实际执行追踪!$C$7:$C$42,A352)</f>
        <v>0</v>
      </c>
      <c r="E352">
        <v>1</v>
      </c>
      <c r="F352" s="25">
        <f>IF(E352=1,C352,G351)</f>
        <v>47128</v>
      </c>
      <c r="G352" s="25">
        <f>IF(E352&lt;参数设置!$B$13,DATE(YEAR(EDATE(C352,E352+1)),MONTH(EDATE(C352,E352+1)),参数设置!$B$14),EDATE(C352,参数设置!$B$13))</f>
        <v>47182</v>
      </c>
      <c r="H352">
        <f>G352-F352</f>
        <v>54</v>
      </c>
      <c r="I352" s="21">
        <f>IF(E352=参数设置!$B$13,D352,0)</f>
        <v>0</v>
      </c>
      <c r="J352" s="21">
        <f>IF(M352=1,ROUND(D352*参数设置!$B$11*H352/参数设置!$B$12,参数设置!$B$15),0)</f>
        <v>0</v>
      </c>
      <c r="K352" s="21">
        <f>I352+J352</f>
        <v>0</v>
      </c>
      <c r="L352" s="25">
        <f>EDATE(C352,参数设置!$B$13)</f>
        <v>47493</v>
      </c>
      <c r="M352">
        <f>--(D352&gt;0)</f>
        <v>0</v>
      </c>
    </row>
    <row r="353" spans="1:13" ht="15" customHeight="1">
      <c r="A353">
        <v>30</v>
      </c>
      <c r="B353">
        <v>30</v>
      </c>
      <c r="C353" s="25">
        <f>INDEX(实际执行追踪!$A$7:$A$42,A353)+DAY(参数设置!$B$4)-1</f>
        <v>47128</v>
      </c>
      <c r="D353" s="21">
        <f>INDEX(实际执行追踪!$C$7:$C$42,A353)</f>
        <v>0</v>
      </c>
      <c r="E353">
        <v>2</v>
      </c>
      <c r="F353" s="25">
        <f>IF(E353=1,C353,G352)</f>
        <v>47182</v>
      </c>
      <c r="G353" s="25">
        <f>IF(E353&lt;参数设置!$B$13,DATE(YEAR(EDATE(C353,E353+1)),MONTH(EDATE(C353,E353+1)),参数设置!$B$14),EDATE(C353,参数设置!$B$13))</f>
        <v>47213</v>
      </c>
      <c r="H353">
        <f>G353-F353</f>
        <v>31</v>
      </c>
      <c r="I353" s="21">
        <f>IF(E353=参数设置!$B$13,D353,0)</f>
        <v>0</v>
      </c>
      <c r="J353" s="21">
        <f>IF(M353=1,ROUND(D353*参数设置!$B$11*H353/参数设置!$B$12,参数设置!$B$15),0)</f>
        <v>0</v>
      </c>
      <c r="K353" s="21">
        <f>I353+J353</f>
        <v>0</v>
      </c>
      <c r="L353" s="25">
        <f>EDATE(C353,参数设置!$B$13)</f>
        <v>47493</v>
      </c>
      <c r="M353">
        <f>--(D353&gt;0)</f>
        <v>0</v>
      </c>
    </row>
    <row r="354" spans="1:13" ht="15" customHeight="1">
      <c r="A354">
        <v>30</v>
      </c>
      <c r="B354">
        <v>30</v>
      </c>
      <c r="C354" s="25">
        <f>INDEX(实际执行追踪!$A$7:$A$42,A354)+DAY(参数设置!$B$4)-1</f>
        <v>47128</v>
      </c>
      <c r="D354" s="21">
        <f>INDEX(实际执行追踪!$C$7:$C$42,A354)</f>
        <v>0</v>
      </c>
      <c r="E354">
        <v>3</v>
      </c>
      <c r="F354" s="25">
        <f>IF(E354=1,C354,G353)</f>
        <v>47213</v>
      </c>
      <c r="G354" s="25">
        <f>IF(E354&lt;参数设置!$B$13,DATE(YEAR(EDATE(C354,E354+1)),MONTH(EDATE(C354,E354+1)),参数设置!$B$14),EDATE(C354,参数设置!$B$13))</f>
        <v>47243</v>
      </c>
      <c r="H354">
        <f>G354-F354</f>
        <v>30</v>
      </c>
      <c r="I354" s="21">
        <f>IF(E354=参数设置!$B$13,D354,0)</f>
        <v>0</v>
      </c>
      <c r="J354" s="21">
        <f>IF(M354=1,ROUND(D354*参数设置!$B$11*H354/参数设置!$B$12,参数设置!$B$15),0)</f>
        <v>0</v>
      </c>
      <c r="K354" s="21">
        <f>I354+J354</f>
        <v>0</v>
      </c>
      <c r="L354" s="25">
        <f>EDATE(C354,参数设置!$B$13)</f>
        <v>47493</v>
      </c>
      <c r="M354">
        <f>--(D354&gt;0)</f>
        <v>0</v>
      </c>
    </row>
    <row r="355" spans="1:13" ht="15" customHeight="1">
      <c r="A355">
        <v>30</v>
      </c>
      <c r="B355">
        <v>30</v>
      </c>
      <c r="C355" s="25">
        <f>INDEX(实际执行追踪!$A$7:$A$42,A355)+DAY(参数设置!$B$4)-1</f>
        <v>47128</v>
      </c>
      <c r="D355" s="21">
        <f>INDEX(实际执行追踪!$C$7:$C$42,A355)</f>
        <v>0</v>
      </c>
      <c r="E355">
        <v>4</v>
      </c>
      <c r="F355" s="25">
        <f>IF(E355=1,C355,G354)</f>
        <v>47243</v>
      </c>
      <c r="G355" s="25">
        <f>IF(E355&lt;参数设置!$B$13,DATE(YEAR(EDATE(C355,E355+1)),MONTH(EDATE(C355,E355+1)),参数设置!$B$14),EDATE(C355,参数设置!$B$13))</f>
        <v>47274</v>
      </c>
      <c r="H355">
        <f>G355-F355</f>
        <v>31</v>
      </c>
      <c r="I355" s="21">
        <f>IF(E355=参数设置!$B$13,D355,0)</f>
        <v>0</v>
      </c>
      <c r="J355" s="21">
        <f>IF(M355=1,ROUND(D355*参数设置!$B$11*H355/参数设置!$B$12,参数设置!$B$15),0)</f>
        <v>0</v>
      </c>
      <c r="K355" s="21">
        <f>I355+J355</f>
        <v>0</v>
      </c>
      <c r="L355" s="25">
        <f>EDATE(C355,参数设置!$B$13)</f>
        <v>47493</v>
      </c>
      <c r="M355">
        <f>--(D355&gt;0)</f>
        <v>0</v>
      </c>
    </row>
    <row r="356" spans="1:13" ht="15" customHeight="1">
      <c r="A356">
        <v>30</v>
      </c>
      <c r="B356">
        <v>30</v>
      </c>
      <c r="C356" s="25">
        <f>INDEX(实际执行追踪!$A$7:$A$42,A356)+DAY(参数设置!$B$4)-1</f>
        <v>47128</v>
      </c>
      <c r="D356" s="21">
        <f>INDEX(实际执行追踪!$C$7:$C$42,A356)</f>
        <v>0</v>
      </c>
      <c r="E356">
        <v>5</v>
      </c>
      <c r="F356" s="25">
        <f>IF(E356=1,C356,G355)</f>
        <v>47274</v>
      </c>
      <c r="G356" s="25">
        <f>IF(E356&lt;参数设置!$B$13,DATE(YEAR(EDATE(C356,E356+1)),MONTH(EDATE(C356,E356+1)),参数设置!$B$14),EDATE(C356,参数设置!$B$13))</f>
        <v>47304</v>
      </c>
      <c r="H356">
        <f>G356-F356</f>
        <v>30</v>
      </c>
      <c r="I356" s="21">
        <f>IF(E356=参数设置!$B$13,D356,0)</f>
        <v>0</v>
      </c>
      <c r="J356" s="21">
        <f>IF(M356=1,ROUND(D356*参数设置!$B$11*H356/参数设置!$B$12,参数设置!$B$15),0)</f>
        <v>0</v>
      </c>
      <c r="K356" s="21">
        <f>I356+J356</f>
        <v>0</v>
      </c>
      <c r="L356" s="25">
        <f>EDATE(C356,参数设置!$B$13)</f>
        <v>47493</v>
      </c>
      <c r="M356">
        <f>--(D356&gt;0)</f>
        <v>0</v>
      </c>
    </row>
    <row r="357" spans="1:13" ht="15" customHeight="1">
      <c r="A357">
        <v>30</v>
      </c>
      <c r="B357">
        <v>30</v>
      </c>
      <c r="C357" s="25">
        <f>INDEX(实际执行追踪!$A$7:$A$42,A357)+DAY(参数设置!$B$4)-1</f>
        <v>47128</v>
      </c>
      <c r="D357" s="21">
        <f>INDEX(实际执行追踪!$C$7:$C$42,A357)</f>
        <v>0</v>
      </c>
      <c r="E357">
        <v>6</v>
      </c>
      <c r="F357" s="25">
        <f>IF(E357=1,C357,G356)</f>
        <v>47304</v>
      </c>
      <c r="G357" s="25">
        <f>IF(E357&lt;参数设置!$B$13,DATE(YEAR(EDATE(C357,E357+1)),MONTH(EDATE(C357,E357+1)),参数设置!$B$14),EDATE(C357,参数设置!$B$13))</f>
        <v>47335</v>
      </c>
      <c r="H357">
        <f>G357-F357</f>
        <v>31</v>
      </c>
      <c r="I357" s="21">
        <f>IF(E357=参数设置!$B$13,D357,0)</f>
        <v>0</v>
      </c>
      <c r="J357" s="21">
        <f>IF(M357=1,ROUND(D357*参数设置!$B$11*H357/参数设置!$B$12,参数设置!$B$15),0)</f>
        <v>0</v>
      </c>
      <c r="K357" s="21">
        <f>I357+J357</f>
        <v>0</v>
      </c>
      <c r="L357" s="25">
        <f>EDATE(C357,参数设置!$B$13)</f>
        <v>47493</v>
      </c>
      <c r="M357">
        <f>--(D357&gt;0)</f>
        <v>0</v>
      </c>
    </row>
    <row r="358" spans="1:13" ht="15" customHeight="1">
      <c r="A358">
        <v>30</v>
      </c>
      <c r="B358">
        <v>30</v>
      </c>
      <c r="C358" s="25">
        <f>INDEX(实际执行追踪!$A$7:$A$42,A358)+DAY(参数设置!$B$4)-1</f>
        <v>47128</v>
      </c>
      <c r="D358" s="21">
        <f>INDEX(实际执行追踪!$C$7:$C$42,A358)</f>
        <v>0</v>
      </c>
      <c r="E358">
        <v>7</v>
      </c>
      <c r="F358" s="25">
        <f>IF(E358=1,C358,G357)</f>
        <v>47335</v>
      </c>
      <c r="G358" s="25">
        <f>IF(E358&lt;参数设置!$B$13,DATE(YEAR(EDATE(C358,E358+1)),MONTH(EDATE(C358,E358+1)),参数设置!$B$14),EDATE(C358,参数设置!$B$13))</f>
        <v>47366</v>
      </c>
      <c r="H358">
        <f>G358-F358</f>
        <v>31</v>
      </c>
      <c r="I358" s="21">
        <f>IF(E358=参数设置!$B$13,D358,0)</f>
        <v>0</v>
      </c>
      <c r="J358" s="21">
        <f>IF(M358=1,ROUND(D358*参数设置!$B$11*H358/参数设置!$B$12,参数设置!$B$15),0)</f>
        <v>0</v>
      </c>
      <c r="K358" s="21">
        <f>I358+J358</f>
        <v>0</v>
      </c>
      <c r="L358" s="25">
        <f>EDATE(C358,参数设置!$B$13)</f>
        <v>47493</v>
      </c>
      <c r="M358">
        <f>--(D358&gt;0)</f>
        <v>0</v>
      </c>
    </row>
    <row r="359" spans="1:13" ht="15" customHeight="1">
      <c r="A359">
        <v>30</v>
      </c>
      <c r="B359">
        <v>30</v>
      </c>
      <c r="C359" s="25">
        <f>INDEX(实际执行追踪!$A$7:$A$42,A359)+DAY(参数设置!$B$4)-1</f>
        <v>47128</v>
      </c>
      <c r="D359" s="21">
        <f>INDEX(实际执行追踪!$C$7:$C$42,A359)</f>
        <v>0</v>
      </c>
      <c r="E359">
        <v>8</v>
      </c>
      <c r="F359" s="25">
        <f>IF(E359=1,C359,G358)</f>
        <v>47366</v>
      </c>
      <c r="G359" s="25">
        <f>IF(E359&lt;参数设置!$B$13,DATE(YEAR(EDATE(C359,E359+1)),MONTH(EDATE(C359,E359+1)),参数设置!$B$14),EDATE(C359,参数设置!$B$13))</f>
        <v>47396</v>
      </c>
      <c r="H359">
        <f>G359-F359</f>
        <v>30</v>
      </c>
      <c r="I359" s="21">
        <f>IF(E359=参数设置!$B$13,D359,0)</f>
        <v>0</v>
      </c>
      <c r="J359" s="21">
        <f>IF(M359=1,ROUND(D359*参数设置!$B$11*H359/参数设置!$B$12,参数设置!$B$15),0)</f>
        <v>0</v>
      </c>
      <c r="K359" s="21">
        <f>I359+J359</f>
        <v>0</v>
      </c>
      <c r="L359" s="25">
        <f>EDATE(C359,参数设置!$B$13)</f>
        <v>47493</v>
      </c>
      <c r="M359">
        <f>--(D359&gt;0)</f>
        <v>0</v>
      </c>
    </row>
    <row r="360" spans="1:13" ht="15" customHeight="1">
      <c r="A360">
        <v>30</v>
      </c>
      <c r="B360">
        <v>30</v>
      </c>
      <c r="C360" s="25">
        <f>INDEX(实际执行追踪!$A$7:$A$42,A360)+DAY(参数设置!$B$4)-1</f>
        <v>47128</v>
      </c>
      <c r="D360" s="21">
        <f>INDEX(实际执行追踪!$C$7:$C$42,A360)</f>
        <v>0</v>
      </c>
      <c r="E360">
        <v>9</v>
      </c>
      <c r="F360" s="25">
        <f>IF(E360=1,C360,G359)</f>
        <v>47396</v>
      </c>
      <c r="G360" s="25">
        <f>IF(E360&lt;参数设置!$B$13,DATE(YEAR(EDATE(C360,E360+1)),MONTH(EDATE(C360,E360+1)),参数设置!$B$14),EDATE(C360,参数设置!$B$13))</f>
        <v>47427</v>
      </c>
      <c r="H360">
        <f>G360-F360</f>
        <v>31</v>
      </c>
      <c r="I360" s="21">
        <f>IF(E360=参数设置!$B$13,D360,0)</f>
        <v>0</v>
      </c>
      <c r="J360" s="21">
        <f>IF(M360=1,ROUND(D360*参数设置!$B$11*H360/参数设置!$B$12,参数设置!$B$15),0)</f>
        <v>0</v>
      </c>
      <c r="K360" s="21">
        <f>I360+J360</f>
        <v>0</v>
      </c>
      <c r="L360" s="25">
        <f>EDATE(C360,参数设置!$B$13)</f>
        <v>47493</v>
      </c>
      <c r="M360">
        <f>--(D360&gt;0)</f>
        <v>0</v>
      </c>
    </row>
    <row r="361" spans="1:13" ht="15" customHeight="1">
      <c r="A361">
        <v>30</v>
      </c>
      <c r="B361">
        <v>30</v>
      </c>
      <c r="C361" s="25">
        <f>INDEX(实际执行追踪!$A$7:$A$42,A361)+DAY(参数设置!$B$4)-1</f>
        <v>47128</v>
      </c>
      <c r="D361" s="21">
        <f>INDEX(实际执行追踪!$C$7:$C$42,A361)</f>
        <v>0</v>
      </c>
      <c r="E361">
        <v>10</v>
      </c>
      <c r="F361" s="25">
        <f>IF(E361=1,C361,G360)</f>
        <v>47427</v>
      </c>
      <c r="G361" s="25">
        <f>IF(E361&lt;参数设置!$B$13,DATE(YEAR(EDATE(C361,E361+1)),MONTH(EDATE(C361,E361+1)),参数设置!$B$14),EDATE(C361,参数设置!$B$13))</f>
        <v>47457</v>
      </c>
      <c r="H361">
        <f>G361-F361</f>
        <v>30</v>
      </c>
      <c r="I361" s="21">
        <f>IF(E361=参数设置!$B$13,D361,0)</f>
        <v>0</v>
      </c>
      <c r="J361" s="21">
        <f>IF(M361=1,ROUND(D361*参数设置!$B$11*H361/参数设置!$B$12,参数设置!$B$15),0)</f>
        <v>0</v>
      </c>
      <c r="K361" s="21">
        <f>I361+J361</f>
        <v>0</v>
      </c>
      <c r="L361" s="25">
        <f>EDATE(C361,参数设置!$B$13)</f>
        <v>47493</v>
      </c>
      <c r="M361">
        <f>--(D361&gt;0)</f>
        <v>0</v>
      </c>
    </row>
    <row r="362" spans="1:13" ht="15" customHeight="1">
      <c r="A362">
        <v>30</v>
      </c>
      <c r="B362">
        <v>30</v>
      </c>
      <c r="C362" s="25">
        <f>INDEX(实际执行追踪!$A$7:$A$42,A362)+DAY(参数设置!$B$4)-1</f>
        <v>47128</v>
      </c>
      <c r="D362" s="21">
        <f>INDEX(实际执行追踪!$C$7:$C$42,A362)</f>
        <v>0</v>
      </c>
      <c r="E362">
        <v>11</v>
      </c>
      <c r="F362" s="25">
        <f>IF(E362=1,C362,G361)</f>
        <v>47457</v>
      </c>
      <c r="G362" s="25">
        <f>IF(E362&lt;参数设置!$B$13,DATE(YEAR(EDATE(C362,E362+1)),MONTH(EDATE(C362,E362+1)),参数设置!$B$14),EDATE(C362,参数设置!$B$13))</f>
        <v>47488</v>
      </c>
      <c r="H362">
        <f>G362-F362</f>
        <v>31</v>
      </c>
      <c r="I362" s="21">
        <f>IF(E362=参数设置!$B$13,D362,0)</f>
        <v>0</v>
      </c>
      <c r="J362" s="21">
        <f>IF(M362=1,ROUND(D362*参数设置!$B$11*H362/参数设置!$B$12,参数设置!$B$15),0)</f>
        <v>0</v>
      </c>
      <c r="K362" s="21">
        <f>I362+J362</f>
        <v>0</v>
      </c>
      <c r="L362" s="25">
        <f>EDATE(C362,参数设置!$B$13)</f>
        <v>47493</v>
      </c>
      <c r="M362">
        <f>--(D362&gt;0)</f>
        <v>0</v>
      </c>
    </row>
    <row r="363" spans="1:13" ht="15" customHeight="1">
      <c r="A363">
        <v>30</v>
      </c>
      <c r="B363">
        <v>30</v>
      </c>
      <c r="C363" s="25">
        <f>INDEX(实际执行追踪!$A$7:$A$42,A363)+DAY(参数设置!$B$4)-1</f>
        <v>47128</v>
      </c>
      <c r="D363" s="21">
        <f>INDEX(实际执行追踪!$C$7:$C$42,A363)</f>
        <v>0</v>
      </c>
      <c r="E363">
        <v>12</v>
      </c>
      <c r="F363" s="25">
        <f>IF(E363=1,C363,G362)</f>
        <v>47488</v>
      </c>
      <c r="G363" s="25">
        <f>IF(E363&lt;参数设置!$B$13,DATE(YEAR(EDATE(C363,E363+1)),MONTH(EDATE(C363,E363+1)),参数设置!$B$14),EDATE(C363,参数设置!$B$13))</f>
        <v>47493</v>
      </c>
      <c r="H363">
        <f>G363-F363</f>
        <v>5</v>
      </c>
      <c r="I363" s="21">
        <f>IF(E363=参数设置!$B$13,D363,0)</f>
        <v>0</v>
      </c>
      <c r="J363" s="21">
        <f>IF(M363=1,ROUND(D363*参数设置!$B$11*H363/参数设置!$B$12,参数设置!$B$15),0)</f>
        <v>0</v>
      </c>
      <c r="K363" s="21">
        <f>I363+J363</f>
        <v>0</v>
      </c>
      <c r="L363" s="25">
        <f>EDATE(C363,参数设置!$B$13)</f>
        <v>47493</v>
      </c>
      <c r="M363">
        <f>--(D363&gt;0)</f>
        <v>0</v>
      </c>
    </row>
    <row r="364" spans="1:13" ht="15" customHeight="1">
      <c r="A364">
        <v>31</v>
      </c>
      <c r="B364">
        <v>31</v>
      </c>
      <c r="C364" s="25">
        <f>INDEX(实际执行追踪!$A$7:$A$42,A364)+DAY(参数设置!$B$4)-1</f>
        <v>47159</v>
      </c>
      <c r="D364" s="21">
        <f>INDEX(实际执行追踪!$C$7:$C$42,A364)</f>
        <v>0</v>
      </c>
      <c r="E364">
        <v>1</v>
      </c>
      <c r="F364" s="25">
        <f>IF(E364=1,C364,G363)</f>
        <v>47159</v>
      </c>
      <c r="G364" s="25">
        <f>IF(E364&lt;参数设置!$B$13,DATE(YEAR(EDATE(C364,E364+1)),MONTH(EDATE(C364,E364+1)),参数设置!$B$14),EDATE(C364,参数设置!$B$13))</f>
        <v>47213</v>
      </c>
      <c r="H364">
        <f>G364-F364</f>
        <v>54</v>
      </c>
      <c r="I364" s="21">
        <f>IF(E364=参数设置!$B$13,D364,0)</f>
        <v>0</v>
      </c>
      <c r="J364" s="21">
        <f>IF(M364=1,ROUND(D364*参数设置!$B$11*H364/参数设置!$B$12,参数设置!$B$15),0)</f>
        <v>0</v>
      </c>
      <c r="K364" s="21">
        <f>I364+J364</f>
        <v>0</v>
      </c>
      <c r="L364" s="25">
        <f>EDATE(C364,参数设置!$B$13)</f>
        <v>47524</v>
      </c>
      <c r="M364">
        <f>--(D364&gt;0)</f>
        <v>0</v>
      </c>
    </row>
    <row r="365" spans="1:13" ht="15" customHeight="1">
      <c r="A365">
        <v>31</v>
      </c>
      <c r="B365">
        <v>31</v>
      </c>
      <c r="C365" s="25">
        <f>INDEX(实际执行追踪!$A$7:$A$42,A365)+DAY(参数设置!$B$4)-1</f>
        <v>47159</v>
      </c>
      <c r="D365" s="21">
        <f>INDEX(实际执行追踪!$C$7:$C$42,A365)</f>
        <v>0</v>
      </c>
      <c r="E365">
        <v>2</v>
      </c>
      <c r="F365" s="25">
        <f>IF(E365=1,C365,G364)</f>
        <v>47213</v>
      </c>
      <c r="G365" s="25">
        <f>IF(E365&lt;参数设置!$B$13,DATE(YEAR(EDATE(C365,E365+1)),MONTH(EDATE(C365,E365+1)),参数设置!$B$14),EDATE(C365,参数设置!$B$13))</f>
        <v>47243</v>
      </c>
      <c r="H365">
        <f>G365-F365</f>
        <v>30</v>
      </c>
      <c r="I365" s="21">
        <f>IF(E365=参数设置!$B$13,D365,0)</f>
        <v>0</v>
      </c>
      <c r="J365" s="21">
        <f>IF(M365=1,ROUND(D365*参数设置!$B$11*H365/参数设置!$B$12,参数设置!$B$15),0)</f>
        <v>0</v>
      </c>
      <c r="K365" s="21">
        <f>I365+J365</f>
        <v>0</v>
      </c>
      <c r="L365" s="25">
        <f>EDATE(C365,参数设置!$B$13)</f>
        <v>47524</v>
      </c>
      <c r="M365">
        <f>--(D365&gt;0)</f>
        <v>0</v>
      </c>
    </row>
    <row r="366" spans="1:13" ht="15" customHeight="1">
      <c r="A366">
        <v>31</v>
      </c>
      <c r="B366">
        <v>31</v>
      </c>
      <c r="C366" s="25">
        <f>INDEX(实际执行追踪!$A$7:$A$42,A366)+DAY(参数设置!$B$4)-1</f>
        <v>47159</v>
      </c>
      <c r="D366" s="21">
        <f>INDEX(实际执行追踪!$C$7:$C$42,A366)</f>
        <v>0</v>
      </c>
      <c r="E366">
        <v>3</v>
      </c>
      <c r="F366" s="25">
        <f>IF(E366=1,C366,G365)</f>
        <v>47243</v>
      </c>
      <c r="G366" s="25">
        <f>IF(E366&lt;参数设置!$B$13,DATE(YEAR(EDATE(C366,E366+1)),MONTH(EDATE(C366,E366+1)),参数设置!$B$14),EDATE(C366,参数设置!$B$13))</f>
        <v>47274</v>
      </c>
      <c r="H366">
        <f>G366-F366</f>
        <v>31</v>
      </c>
      <c r="I366" s="21">
        <f>IF(E366=参数设置!$B$13,D366,0)</f>
        <v>0</v>
      </c>
      <c r="J366" s="21">
        <f>IF(M366=1,ROUND(D366*参数设置!$B$11*H366/参数设置!$B$12,参数设置!$B$15),0)</f>
        <v>0</v>
      </c>
      <c r="K366" s="21">
        <f>I366+J366</f>
        <v>0</v>
      </c>
      <c r="L366" s="25">
        <f>EDATE(C366,参数设置!$B$13)</f>
        <v>47524</v>
      </c>
      <c r="M366">
        <f>--(D366&gt;0)</f>
        <v>0</v>
      </c>
    </row>
    <row r="367" spans="1:13" ht="15" customHeight="1">
      <c r="A367">
        <v>31</v>
      </c>
      <c r="B367">
        <v>31</v>
      </c>
      <c r="C367" s="25">
        <f>INDEX(实际执行追踪!$A$7:$A$42,A367)+DAY(参数设置!$B$4)-1</f>
        <v>47159</v>
      </c>
      <c r="D367" s="21">
        <f>INDEX(实际执行追踪!$C$7:$C$42,A367)</f>
        <v>0</v>
      </c>
      <c r="E367">
        <v>4</v>
      </c>
      <c r="F367" s="25">
        <f>IF(E367=1,C367,G366)</f>
        <v>47274</v>
      </c>
      <c r="G367" s="25">
        <f>IF(E367&lt;参数设置!$B$13,DATE(YEAR(EDATE(C367,E367+1)),MONTH(EDATE(C367,E367+1)),参数设置!$B$14),EDATE(C367,参数设置!$B$13))</f>
        <v>47304</v>
      </c>
      <c r="H367">
        <f>G367-F367</f>
        <v>30</v>
      </c>
      <c r="I367" s="21">
        <f>IF(E367=参数设置!$B$13,D367,0)</f>
        <v>0</v>
      </c>
      <c r="J367" s="21">
        <f>IF(M367=1,ROUND(D367*参数设置!$B$11*H367/参数设置!$B$12,参数设置!$B$15),0)</f>
        <v>0</v>
      </c>
      <c r="K367" s="21">
        <f>I367+J367</f>
        <v>0</v>
      </c>
      <c r="L367" s="25">
        <f>EDATE(C367,参数设置!$B$13)</f>
        <v>47524</v>
      </c>
      <c r="M367">
        <f>--(D367&gt;0)</f>
        <v>0</v>
      </c>
    </row>
    <row r="368" spans="1:13" ht="15" customHeight="1">
      <c r="A368">
        <v>31</v>
      </c>
      <c r="B368">
        <v>31</v>
      </c>
      <c r="C368" s="25">
        <f>INDEX(实际执行追踪!$A$7:$A$42,A368)+DAY(参数设置!$B$4)-1</f>
        <v>47159</v>
      </c>
      <c r="D368" s="21">
        <f>INDEX(实际执行追踪!$C$7:$C$42,A368)</f>
        <v>0</v>
      </c>
      <c r="E368">
        <v>5</v>
      </c>
      <c r="F368" s="25">
        <f>IF(E368=1,C368,G367)</f>
        <v>47304</v>
      </c>
      <c r="G368" s="25">
        <f>IF(E368&lt;参数设置!$B$13,DATE(YEAR(EDATE(C368,E368+1)),MONTH(EDATE(C368,E368+1)),参数设置!$B$14),EDATE(C368,参数设置!$B$13))</f>
        <v>47335</v>
      </c>
      <c r="H368">
        <f>G368-F368</f>
        <v>31</v>
      </c>
      <c r="I368" s="21">
        <f>IF(E368=参数设置!$B$13,D368,0)</f>
        <v>0</v>
      </c>
      <c r="J368" s="21">
        <f>IF(M368=1,ROUND(D368*参数设置!$B$11*H368/参数设置!$B$12,参数设置!$B$15),0)</f>
        <v>0</v>
      </c>
      <c r="K368" s="21">
        <f>I368+J368</f>
        <v>0</v>
      </c>
      <c r="L368" s="25">
        <f>EDATE(C368,参数设置!$B$13)</f>
        <v>47524</v>
      </c>
      <c r="M368">
        <f>--(D368&gt;0)</f>
        <v>0</v>
      </c>
    </row>
    <row r="369" spans="1:13" ht="15" customHeight="1">
      <c r="A369">
        <v>31</v>
      </c>
      <c r="B369">
        <v>31</v>
      </c>
      <c r="C369" s="25">
        <f>INDEX(实际执行追踪!$A$7:$A$42,A369)+DAY(参数设置!$B$4)-1</f>
        <v>47159</v>
      </c>
      <c r="D369" s="21">
        <f>INDEX(实际执行追踪!$C$7:$C$42,A369)</f>
        <v>0</v>
      </c>
      <c r="E369">
        <v>6</v>
      </c>
      <c r="F369" s="25">
        <f>IF(E369=1,C369,G368)</f>
        <v>47335</v>
      </c>
      <c r="G369" s="25">
        <f>IF(E369&lt;参数设置!$B$13,DATE(YEAR(EDATE(C369,E369+1)),MONTH(EDATE(C369,E369+1)),参数设置!$B$14),EDATE(C369,参数设置!$B$13))</f>
        <v>47366</v>
      </c>
      <c r="H369">
        <f>G369-F369</f>
        <v>31</v>
      </c>
      <c r="I369" s="21">
        <f>IF(E369=参数设置!$B$13,D369,0)</f>
        <v>0</v>
      </c>
      <c r="J369" s="21">
        <f>IF(M369=1,ROUND(D369*参数设置!$B$11*H369/参数设置!$B$12,参数设置!$B$15),0)</f>
        <v>0</v>
      </c>
      <c r="K369" s="21">
        <f>I369+J369</f>
        <v>0</v>
      </c>
      <c r="L369" s="25">
        <f>EDATE(C369,参数设置!$B$13)</f>
        <v>47524</v>
      </c>
      <c r="M369">
        <f>--(D369&gt;0)</f>
        <v>0</v>
      </c>
    </row>
    <row r="370" spans="1:13" ht="15" customHeight="1">
      <c r="A370">
        <v>31</v>
      </c>
      <c r="B370">
        <v>31</v>
      </c>
      <c r="C370" s="25">
        <f>INDEX(实际执行追踪!$A$7:$A$42,A370)+DAY(参数设置!$B$4)-1</f>
        <v>47159</v>
      </c>
      <c r="D370" s="21">
        <f>INDEX(实际执行追踪!$C$7:$C$42,A370)</f>
        <v>0</v>
      </c>
      <c r="E370">
        <v>7</v>
      </c>
      <c r="F370" s="25">
        <f>IF(E370=1,C370,G369)</f>
        <v>47366</v>
      </c>
      <c r="G370" s="25">
        <f>IF(E370&lt;参数设置!$B$13,DATE(YEAR(EDATE(C370,E370+1)),MONTH(EDATE(C370,E370+1)),参数设置!$B$14),EDATE(C370,参数设置!$B$13))</f>
        <v>47396</v>
      </c>
      <c r="H370">
        <f>G370-F370</f>
        <v>30</v>
      </c>
      <c r="I370" s="21">
        <f>IF(E370=参数设置!$B$13,D370,0)</f>
        <v>0</v>
      </c>
      <c r="J370" s="21">
        <f>IF(M370=1,ROUND(D370*参数设置!$B$11*H370/参数设置!$B$12,参数设置!$B$15),0)</f>
        <v>0</v>
      </c>
      <c r="K370" s="21">
        <f>I370+J370</f>
        <v>0</v>
      </c>
      <c r="L370" s="25">
        <f>EDATE(C370,参数设置!$B$13)</f>
        <v>47524</v>
      </c>
      <c r="M370">
        <f>--(D370&gt;0)</f>
        <v>0</v>
      </c>
    </row>
    <row r="371" spans="1:13" ht="15" customHeight="1">
      <c r="A371">
        <v>31</v>
      </c>
      <c r="B371">
        <v>31</v>
      </c>
      <c r="C371" s="25">
        <f>INDEX(实际执行追踪!$A$7:$A$42,A371)+DAY(参数设置!$B$4)-1</f>
        <v>47159</v>
      </c>
      <c r="D371" s="21">
        <f>INDEX(实际执行追踪!$C$7:$C$42,A371)</f>
        <v>0</v>
      </c>
      <c r="E371">
        <v>8</v>
      </c>
      <c r="F371" s="25">
        <f>IF(E371=1,C371,G370)</f>
        <v>47396</v>
      </c>
      <c r="G371" s="25">
        <f>IF(E371&lt;参数设置!$B$13,DATE(YEAR(EDATE(C371,E371+1)),MONTH(EDATE(C371,E371+1)),参数设置!$B$14),EDATE(C371,参数设置!$B$13))</f>
        <v>47427</v>
      </c>
      <c r="H371">
        <f>G371-F371</f>
        <v>31</v>
      </c>
      <c r="I371" s="21">
        <f>IF(E371=参数设置!$B$13,D371,0)</f>
        <v>0</v>
      </c>
      <c r="J371" s="21">
        <f>IF(M371=1,ROUND(D371*参数设置!$B$11*H371/参数设置!$B$12,参数设置!$B$15),0)</f>
        <v>0</v>
      </c>
      <c r="K371" s="21">
        <f>I371+J371</f>
        <v>0</v>
      </c>
      <c r="L371" s="25">
        <f>EDATE(C371,参数设置!$B$13)</f>
        <v>47524</v>
      </c>
      <c r="M371">
        <f>--(D371&gt;0)</f>
        <v>0</v>
      </c>
    </row>
    <row r="372" spans="1:13" ht="15" customHeight="1">
      <c r="A372">
        <v>31</v>
      </c>
      <c r="B372">
        <v>31</v>
      </c>
      <c r="C372" s="25">
        <f>INDEX(实际执行追踪!$A$7:$A$42,A372)+DAY(参数设置!$B$4)-1</f>
        <v>47159</v>
      </c>
      <c r="D372" s="21">
        <f>INDEX(实际执行追踪!$C$7:$C$42,A372)</f>
        <v>0</v>
      </c>
      <c r="E372">
        <v>9</v>
      </c>
      <c r="F372" s="25">
        <f>IF(E372=1,C372,G371)</f>
        <v>47427</v>
      </c>
      <c r="G372" s="25">
        <f>IF(E372&lt;参数设置!$B$13,DATE(YEAR(EDATE(C372,E372+1)),MONTH(EDATE(C372,E372+1)),参数设置!$B$14),EDATE(C372,参数设置!$B$13))</f>
        <v>47457</v>
      </c>
      <c r="H372">
        <f>G372-F372</f>
        <v>30</v>
      </c>
      <c r="I372" s="21">
        <f>IF(E372=参数设置!$B$13,D372,0)</f>
        <v>0</v>
      </c>
      <c r="J372" s="21">
        <f>IF(M372=1,ROUND(D372*参数设置!$B$11*H372/参数设置!$B$12,参数设置!$B$15),0)</f>
        <v>0</v>
      </c>
      <c r="K372" s="21">
        <f>I372+J372</f>
        <v>0</v>
      </c>
      <c r="L372" s="25">
        <f>EDATE(C372,参数设置!$B$13)</f>
        <v>47524</v>
      </c>
      <c r="M372">
        <f>--(D372&gt;0)</f>
        <v>0</v>
      </c>
    </row>
    <row r="373" spans="1:13" ht="15" customHeight="1">
      <c r="A373">
        <v>31</v>
      </c>
      <c r="B373">
        <v>31</v>
      </c>
      <c r="C373" s="25">
        <f>INDEX(实际执行追踪!$A$7:$A$42,A373)+DAY(参数设置!$B$4)-1</f>
        <v>47159</v>
      </c>
      <c r="D373" s="21">
        <f>INDEX(实际执行追踪!$C$7:$C$42,A373)</f>
        <v>0</v>
      </c>
      <c r="E373">
        <v>10</v>
      </c>
      <c r="F373" s="25">
        <f>IF(E373=1,C373,G372)</f>
        <v>47457</v>
      </c>
      <c r="G373" s="25">
        <f>IF(E373&lt;参数设置!$B$13,DATE(YEAR(EDATE(C373,E373+1)),MONTH(EDATE(C373,E373+1)),参数设置!$B$14),EDATE(C373,参数设置!$B$13))</f>
        <v>47488</v>
      </c>
      <c r="H373">
        <f>G373-F373</f>
        <v>31</v>
      </c>
      <c r="I373" s="21">
        <f>IF(E373=参数设置!$B$13,D373,0)</f>
        <v>0</v>
      </c>
      <c r="J373" s="21">
        <f>IF(M373=1,ROUND(D373*参数设置!$B$11*H373/参数设置!$B$12,参数设置!$B$15),0)</f>
        <v>0</v>
      </c>
      <c r="K373" s="21">
        <f>I373+J373</f>
        <v>0</v>
      </c>
      <c r="L373" s="25">
        <f>EDATE(C373,参数设置!$B$13)</f>
        <v>47524</v>
      </c>
      <c r="M373">
        <f>--(D373&gt;0)</f>
        <v>0</v>
      </c>
    </row>
    <row r="374" spans="1:13" ht="15" customHeight="1">
      <c r="A374">
        <v>31</v>
      </c>
      <c r="B374">
        <v>31</v>
      </c>
      <c r="C374" s="25">
        <f>INDEX(实际执行追踪!$A$7:$A$42,A374)+DAY(参数设置!$B$4)-1</f>
        <v>47159</v>
      </c>
      <c r="D374" s="21">
        <f>INDEX(实际执行追踪!$C$7:$C$42,A374)</f>
        <v>0</v>
      </c>
      <c r="E374">
        <v>11</v>
      </c>
      <c r="F374" s="25">
        <f>IF(E374=1,C374,G373)</f>
        <v>47488</v>
      </c>
      <c r="G374" s="25">
        <f>IF(E374&lt;参数设置!$B$13,DATE(YEAR(EDATE(C374,E374+1)),MONTH(EDATE(C374,E374+1)),参数设置!$B$14),EDATE(C374,参数设置!$B$13))</f>
        <v>47519</v>
      </c>
      <c r="H374">
        <f>G374-F374</f>
        <v>31</v>
      </c>
      <c r="I374" s="21">
        <f>IF(E374=参数设置!$B$13,D374,0)</f>
        <v>0</v>
      </c>
      <c r="J374" s="21">
        <f>IF(M374=1,ROUND(D374*参数设置!$B$11*H374/参数设置!$B$12,参数设置!$B$15),0)</f>
        <v>0</v>
      </c>
      <c r="K374" s="21">
        <f>I374+J374</f>
        <v>0</v>
      </c>
      <c r="L374" s="25">
        <f>EDATE(C374,参数设置!$B$13)</f>
        <v>47524</v>
      </c>
      <c r="M374">
        <f>--(D374&gt;0)</f>
        <v>0</v>
      </c>
    </row>
    <row r="375" spans="1:13" ht="15" customHeight="1">
      <c r="A375">
        <v>31</v>
      </c>
      <c r="B375">
        <v>31</v>
      </c>
      <c r="C375" s="25">
        <f>INDEX(实际执行追踪!$A$7:$A$42,A375)+DAY(参数设置!$B$4)-1</f>
        <v>47159</v>
      </c>
      <c r="D375" s="21">
        <f>INDEX(实际执行追踪!$C$7:$C$42,A375)</f>
        <v>0</v>
      </c>
      <c r="E375">
        <v>12</v>
      </c>
      <c r="F375" s="25">
        <f>IF(E375=1,C375,G374)</f>
        <v>47519</v>
      </c>
      <c r="G375" s="25">
        <f>IF(E375&lt;参数设置!$B$13,DATE(YEAR(EDATE(C375,E375+1)),MONTH(EDATE(C375,E375+1)),参数设置!$B$14),EDATE(C375,参数设置!$B$13))</f>
        <v>47524</v>
      </c>
      <c r="H375">
        <f>G375-F375</f>
        <v>5</v>
      </c>
      <c r="I375" s="21">
        <f>IF(E375=参数设置!$B$13,D375,0)</f>
        <v>0</v>
      </c>
      <c r="J375" s="21">
        <f>IF(M375=1,ROUND(D375*参数设置!$B$11*H375/参数设置!$B$12,参数设置!$B$15),0)</f>
        <v>0</v>
      </c>
      <c r="K375" s="21">
        <f>I375+J375</f>
        <v>0</v>
      </c>
      <c r="L375" s="25">
        <f>EDATE(C375,参数设置!$B$13)</f>
        <v>47524</v>
      </c>
      <c r="M375">
        <f>--(D375&gt;0)</f>
        <v>0</v>
      </c>
    </row>
    <row r="376" spans="1:13" ht="15" customHeight="1">
      <c r="A376">
        <v>32</v>
      </c>
      <c r="B376">
        <v>32</v>
      </c>
      <c r="C376" s="25">
        <f>INDEX(实际执行追踪!$A$7:$A$42,A376)+DAY(参数设置!$B$4)-1</f>
        <v>47187</v>
      </c>
      <c r="D376" s="21">
        <f>INDEX(实际执行追踪!$C$7:$C$42,A376)</f>
        <v>0</v>
      </c>
      <c r="E376">
        <v>1</v>
      </c>
      <c r="F376" s="25">
        <f>IF(E376=1,C376,G375)</f>
        <v>47187</v>
      </c>
      <c r="G376" s="25">
        <f>IF(E376&lt;参数设置!$B$13,DATE(YEAR(EDATE(C376,E376+1)),MONTH(EDATE(C376,E376+1)),参数设置!$B$14),EDATE(C376,参数设置!$B$13))</f>
        <v>47243</v>
      </c>
      <c r="H376">
        <f>G376-F376</f>
        <v>56</v>
      </c>
      <c r="I376" s="21">
        <f>IF(E376=参数设置!$B$13,D376,0)</f>
        <v>0</v>
      </c>
      <c r="J376" s="21">
        <f>IF(M376=1,ROUND(D376*参数设置!$B$11*H376/参数设置!$B$12,参数设置!$B$15),0)</f>
        <v>0</v>
      </c>
      <c r="K376" s="21">
        <f>I376+J376</f>
        <v>0</v>
      </c>
      <c r="L376" s="25">
        <f>EDATE(C376,参数设置!$B$13)</f>
        <v>47552</v>
      </c>
      <c r="M376">
        <f>--(D376&gt;0)</f>
        <v>0</v>
      </c>
    </row>
    <row r="377" spans="1:13" ht="15" customHeight="1">
      <c r="A377">
        <v>32</v>
      </c>
      <c r="B377">
        <v>32</v>
      </c>
      <c r="C377" s="25">
        <f>INDEX(实际执行追踪!$A$7:$A$42,A377)+DAY(参数设置!$B$4)-1</f>
        <v>47187</v>
      </c>
      <c r="D377" s="21">
        <f>INDEX(实际执行追踪!$C$7:$C$42,A377)</f>
        <v>0</v>
      </c>
      <c r="E377">
        <v>2</v>
      </c>
      <c r="F377" s="25">
        <f>IF(E377=1,C377,G376)</f>
        <v>47243</v>
      </c>
      <c r="G377" s="25">
        <f>IF(E377&lt;参数设置!$B$13,DATE(YEAR(EDATE(C377,E377+1)),MONTH(EDATE(C377,E377+1)),参数设置!$B$14),EDATE(C377,参数设置!$B$13))</f>
        <v>47274</v>
      </c>
      <c r="H377">
        <f>G377-F377</f>
        <v>31</v>
      </c>
      <c r="I377" s="21">
        <f>IF(E377=参数设置!$B$13,D377,0)</f>
        <v>0</v>
      </c>
      <c r="J377" s="21">
        <f>IF(M377=1,ROUND(D377*参数设置!$B$11*H377/参数设置!$B$12,参数设置!$B$15),0)</f>
        <v>0</v>
      </c>
      <c r="K377" s="21">
        <f>I377+J377</f>
        <v>0</v>
      </c>
      <c r="L377" s="25">
        <f>EDATE(C377,参数设置!$B$13)</f>
        <v>47552</v>
      </c>
      <c r="M377">
        <f>--(D377&gt;0)</f>
        <v>0</v>
      </c>
    </row>
    <row r="378" spans="1:13" ht="15" customHeight="1">
      <c r="A378">
        <v>32</v>
      </c>
      <c r="B378">
        <v>32</v>
      </c>
      <c r="C378" s="25">
        <f>INDEX(实际执行追踪!$A$7:$A$42,A378)+DAY(参数设置!$B$4)-1</f>
        <v>47187</v>
      </c>
      <c r="D378" s="21">
        <f>INDEX(实际执行追踪!$C$7:$C$42,A378)</f>
        <v>0</v>
      </c>
      <c r="E378">
        <v>3</v>
      </c>
      <c r="F378" s="25">
        <f>IF(E378=1,C378,G377)</f>
        <v>47274</v>
      </c>
      <c r="G378" s="25">
        <f>IF(E378&lt;参数设置!$B$13,DATE(YEAR(EDATE(C378,E378+1)),MONTH(EDATE(C378,E378+1)),参数设置!$B$14),EDATE(C378,参数设置!$B$13))</f>
        <v>47304</v>
      </c>
      <c r="H378">
        <f>G378-F378</f>
        <v>30</v>
      </c>
      <c r="I378" s="21">
        <f>IF(E378=参数设置!$B$13,D378,0)</f>
        <v>0</v>
      </c>
      <c r="J378" s="21">
        <f>IF(M378=1,ROUND(D378*参数设置!$B$11*H378/参数设置!$B$12,参数设置!$B$15),0)</f>
        <v>0</v>
      </c>
      <c r="K378" s="21">
        <f>I378+J378</f>
        <v>0</v>
      </c>
      <c r="L378" s="25">
        <f>EDATE(C378,参数设置!$B$13)</f>
        <v>47552</v>
      </c>
      <c r="M378">
        <f>--(D378&gt;0)</f>
        <v>0</v>
      </c>
    </row>
    <row r="379" spans="1:13" ht="15" customHeight="1">
      <c r="A379">
        <v>32</v>
      </c>
      <c r="B379">
        <v>32</v>
      </c>
      <c r="C379" s="25">
        <f>INDEX(实际执行追踪!$A$7:$A$42,A379)+DAY(参数设置!$B$4)-1</f>
        <v>47187</v>
      </c>
      <c r="D379" s="21">
        <f>INDEX(实际执行追踪!$C$7:$C$42,A379)</f>
        <v>0</v>
      </c>
      <c r="E379">
        <v>4</v>
      </c>
      <c r="F379" s="25">
        <f>IF(E379=1,C379,G378)</f>
        <v>47304</v>
      </c>
      <c r="G379" s="25">
        <f>IF(E379&lt;参数设置!$B$13,DATE(YEAR(EDATE(C379,E379+1)),MONTH(EDATE(C379,E379+1)),参数设置!$B$14),EDATE(C379,参数设置!$B$13))</f>
        <v>47335</v>
      </c>
      <c r="H379">
        <f>G379-F379</f>
        <v>31</v>
      </c>
      <c r="I379" s="21">
        <f>IF(E379=参数设置!$B$13,D379,0)</f>
        <v>0</v>
      </c>
      <c r="J379" s="21">
        <f>IF(M379=1,ROUND(D379*参数设置!$B$11*H379/参数设置!$B$12,参数设置!$B$15),0)</f>
        <v>0</v>
      </c>
      <c r="K379" s="21">
        <f>I379+J379</f>
        <v>0</v>
      </c>
      <c r="L379" s="25">
        <f>EDATE(C379,参数设置!$B$13)</f>
        <v>47552</v>
      </c>
      <c r="M379">
        <f>--(D379&gt;0)</f>
        <v>0</v>
      </c>
    </row>
    <row r="380" spans="1:13" ht="15" customHeight="1">
      <c r="A380">
        <v>32</v>
      </c>
      <c r="B380">
        <v>32</v>
      </c>
      <c r="C380" s="25">
        <f>INDEX(实际执行追踪!$A$7:$A$42,A380)+DAY(参数设置!$B$4)-1</f>
        <v>47187</v>
      </c>
      <c r="D380" s="21">
        <f>INDEX(实际执行追踪!$C$7:$C$42,A380)</f>
        <v>0</v>
      </c>
      <c r="E380">
        <v>5</v>
      </c>
      <c r="F380" s="25">
        <f>IF(E380=1,C380,G379)</f>
        <v>47335</v>
      </c>
      <c r="G380" s="25">
        <f>IF(E380&lt;参数设置!$B$13,DATE(YEAR(EDATE(C380,E380+1)),MONTH(EDATE(C380,E380+1)),参数设置!$B$14),EDATE(C380,参数设置!$B$13))</f>
        <v>47366</v>
      </c>
      <c r="H380">
        <f>G380-F380</f>
        <v>31</v>
      </c>
      <c r="I380" s="21">
        <f>IF(E380=参数设置!$B$13,D380,0)</f>
        <v>0</v>
      </c>
      <c r="J380" s="21">
        <f>IF(M380=1,ROUND(D380*参数设置!$B$11*H380/参数设置!$B$12,参数设置!$B$15),0)</f>
        <v>0</v>
      </c>
      <c r="K380" s="21">
        <f>I380+J380</f>
        <v>0</v>
      </c>
      <c r="L380" s="25">
        <f>EDATE(C380,参数设置!$B$13)</f>
        <v>47552</v>
      </c>
      <c r="M380">
        <f>--(D380&gt;0)</f>
        <v>0</v>
      </c>
    </row>
    <row r="381" spans="1:13" ht="15" customHeight="1">
      <c r="A381">
        <v>32</v>
      </c>
      <c r="B381">
        <v>32</v>
      </c>
      <c r="C381" s="25">
        <f>INDEX(实际执行追踪!$A$7:$A$42,A381)+DAY(参数设置!$B$4)-1</f>
        <v>47187</v>
      </c>
      <c r="D381" s="21">
        <f>INDEX(实际执行追踪!$C$7:$C$42,A381)</f>
        <v>0</v>
      </c>
      <c r="E381">
        <v>6</v>
      </c>
      <c r="F381" s="25">
        <f>IF(E381=1,C381,G380)</f>
        <v>47366</v>
      </c>
      <c r="G381" s="25">
        <f>IF(E381&lt;参数设置!$B$13,DATE(YEAR(EDATE(C381,E381+1)),MONTH(EDATE(C381,E381+1)),参数设置!$B$14),EDATE(C381,参数设置!$B$13))</f>
        <v>47396</v>
      </c>
      <c r="H381">
        <f>G381-F381</f>
        <v>30</v>
      </c>
      <c r="I381" s="21">
        <f>IF(E381=参数设置!$B$13,D381,0)</f>
        <v>0</v>
      </c>
      <c r="J381" s="21">
        <f>IF(M381=1,ROUND(D381*参数设置!$B$11*H381/参数设置!$B$12,参数设置!$B$15),0)</f>
        <v>0</v>
      </c>
      <c r="K381" s="21">
        <f>I381+J381</f>
        <v>0</v>
      </c>
      <c r="L381" s="25">
        <f>EDATE(C381,参数设置!$B$13)</f>
        <v>47552</v>
      </c>
      <c r="M381">
        <f>--(D381&gt;0)</f>
        <v>0</v>
      </c>
    </row>
    <row r="382" spans="1:13" ht="15" customHeight="1">
      <c r="A382">
        <v>32</v>
      </c>
      <c r="B382">
        <v>32</v>
      </c>
      <c r="C382" s="25">
        <f>INDEX(实际执行追踪!$A$7:$A$42,A382)+DAY(参数设置!$B$4)-1</f>
        <v>47187</v>
      </c>
      <c r="D382" s="21">
        <f>INDEX(实际执行追踪!$C$7:$C$42,A382)</f>
        <v>0</v>
      </c>
      <c r="E382">
        <v>7</v>
      </c>
      <c r="F382" s="25">
        <f>IF(E382=1,C382,G381)</f>
        <v>47396</v>
      </c>
      <c r="G382" s="25">
        <f>IF(E382&lt;参数设置!$B$13,DATE(YEAR(EDATE(C382,E382+1)),MONTH(EDATE(C382,E382+1)),参数设置!$B$14),EDATE(C382,参数设置!$B$13))</f>
        <v>47427</v>
      </c>
      <c r="H382">
        <f>G382-F382</f>
        <v>31</v>
      </c>
      <c r="I382" s="21">
        <f>IF(E382=参数设置!$B$13,D382,0)</f>
        <v>0</v>
      </c>
      <c r="J382" s="21">
        <f>IF(M382=1,ROUND(D382*参数设置!$B$11*H382/参数设置!$B$12,参数设置!$B$15),0)</f>
        <v>0</v>
      </c>
      <c r="K382" s="21">
        <f>I382+J382</f>
        <v>0</v>
      </c>
      <c r="L382" s="25">
        <f>EDATE(C382,参数设置!$B$13)</f>
        <v>47552</v>
      </c>
      <c r="M382">
        <f>--(D382&gt;0)</f>
        <v>0</v>
      </c>
    </row>
    <row r="383" spans="1:13" ht="15" customHeight="1">
      <c r="A383">
        <v>32</v>
      </c>
      <c r="B383">
        <v>32</v>
      </c>
      <c r="C383" s="25">
        <f>INDEX(实际执行追踪!$A$7:$A$42,A383)+DAY(参数设置!$B$4)-1</f>
        <v>47187</v>
      </c>
      <c r="D383" s="21">
        <f>INDEX(实际执行追踪!$C$7:$C$42,A383)</f>
        <v>0</v>
      </c>
      <c r="E383">
        <v>8</v>
      </c>
      <c r="F383" s="25">
        <f>IF(E383=1,C383,G382)</f>
        <v>47427</v>
      </c>
      <c r="G383" s="25">
        <f>IF(E383&lt;参数设置!$B$13,DATE(YEAR(EDATE(C383,E383+1)),MONTH(EDATE(C383,E383+1)),参数设置!$B$14),EDATE(C383,参数设置!$B$13))</f>
        <v>47457</v>
      </c>
      <c r="H383">
        <f>G383-F383</f>
        <v>30</v>
      </c>
      <c r="I383" s="21">
        <f>IF(E383=参数设置!$B$13,D383,0)</f>
        <v>0</v>
      </c>
      <c r="J383" s="21">
        <f>IF(M383=1,ROUND(D383*参数设置!$B$11*H383/参数设置!$B$12,参数设置!$B$15),0)</f>
        <v>0</v>
      </c>
      <c r="K383" s="21">
        <f>I383+J383</f>
        <v>0</v>
      </c>
      <c r="L383" s="25">
        <f>EDATE(C383,参数设置!$B$13)</f>
        <v>47552</v>
      </c>
      <c r="M383">
        <f>--(D383&gt;0)</f>
        <v>0</v>
      </c>
    </row>
    <row r="384" spans="1:13" ht="15" customHeight="1">
      <c r="A384">
        <v>32</v>
      </c>
      <c r="B384">
        <v>32</v>
      </c>
      <c r="C384" s="25">
        <f>INDEX(实际执行追踪!$A$7:$A$42,A384)+DAY(参数设置!$B$4)-1</f>
        <v>47187</v>
      </c>
      <c r="D384" s="21">
        <f>INDEX(实际执行追踪!$C$7:$C$42,A384)</f>
        <v>0</v>
      </c>
      <c r="E384">
        <v>9</v>
      </c>
      <c r="F384" s="25">
        <f>IF(E384=1,C384,G383)</f>
        <v>47457</v>
      </c>
      <c r="G384" s="25">
        <f>IF(E384&lt;参数设置!$B$13,DATE(YEAR(EDATE(C384,E384+1)),MONTH(EDATE(C384,E384+1)),参数设置!$B$14),EDATE(C384,参数设置!$B$13))</f>
        <v>47488</v>
      </c>
      <c r="H384">
        <f>G384-F384</f>
        <v>31</v>
      </c>
      <c r="I384" s="21">
        <f>IF(E384=参数设置!$B$13,D384,0)</f>
        <v>0</v>
      </c>
      <c r="J384" s="21">
        <f>IF(M384=1,ROUND(D384*参数设置!$B$11*H384/参数设置!$B$12,参数设置!$B$15),0)</f>
        <v>0</v>
      </c>
      <c r="K384" s="21">
        <f>I384+J384</f>
        <v>0</v>
      </c>
      <c r="L384" s="25">
        <f>EDATE(C384,参数设置!$B$13)</f>
        <v>47552</v>
      </c>
      <c r="M384">
        <f>--(D384&gt;0)</f>
        <v>0</v>
      </c>
    </row>
    <row r="385" spans="1:13" ht="15" customHeight="1">
      <c r="A385">
        <v>32</v>
      </c>
      <c r="B385">
        <v>32</v>
      </c>
      <c r="C385" s="25">
        <f>INDEX(实际执行追踪!$A$7:$A$42,A385)+DAY(参数设置!$B$4)-1</f>
        <v>47187</v>
      </c>
      <c r="D385" s="21">
        <f>INDEX(实际执行追踪!$C$7:$C$42,A385)</f>
        <v>0</v>
      </c>
      <c r="E385">
        <v>10</v>
      </c>
      <c r="F385" s="25">
        <f>IF(E385=1,C385,G384)</f>
        <v>47488</v>
      </c>
      <c r="G385" s="25">
        <f>IF(E385&lt;参数设置!$B$13,DATE(YEAR(EDATE(C385,E385+1)),MONTH(EDATE(C385,E385+1)),参数设置!$B$14),EDATE(C385,参数设置!$B$13))</f>
        <v>47519</v>
      </c>
      <c r="H385">
        <f>G385-F385</f>
        <v>31</v>
      </c>
      <c r="I385" s="21">
        <f>IF(E385=参数设置!$B$13,D385,0)</f>
        <v>0</v>
      </c>
      <c r="J385" s="21">
        <f>IF(M385=1,ROUND(D385*参数设置!$B$11*H385/参数设置!$B$12,参数设置!$B$15),0)</f>
        <v>0</v>
      </c>
      <c r="K385" s="21">
        <f>I385+J385</f>
        <v>0</v>
      </c>
      <c r="L385" s="25">
        <f>EDATE(C385,参数设置!$B$13)</f>
        <v>47552</v>
      </c>
      <c r="M385">
        <f>--(D385&gt;0)</f>
        <v>0</v>
      </c>
    </row>
    <row r="386" spans="1:13" ht="15" customHeight="1">
      <c r="A386">
        <v>32</v>
      </c>
      <c r="B386">
        <v>32</v>
      </c>
      <c r="C386" s="25">
        <f>INDEX(实际执行追踪!$A$7:$A$42,A386)+DAY(参数设置!$B$4)-1</f>
        <v>47187</v>
      </c>
      <c r="D386" s="21">
        <f>INDEX(实际执行追踪!$C$7:$C$42,A386)</f>
        <v>0</v>
      </c>
      <c r="E386">
        <v>11</v>
      </c>
      <c r="F386" s="25">
        <f>IF(E386=1,C386,G385)</f>
        <v>47519</v>
      </c>
      <c r="G386" s="25">
        <f>IF(E386&lt;参数设置!$B$13,DATE(YEAR(EDATE(C386,E386+1)),MONTH(EDATE(C386,E386+1)),参数设置!$B$14),EDATE(C386,参数设置!$B$13))</f>
        <v>47547</v>
      </c>
      <c r="H386">
        <f>G386-F386</f>
        <v>28</v>
      </c>
      <c r="I386" s="21">
        <f>IF(E386=参数设置!$B$13,D386,0)</f>
        <v>0</v>
      </c>
      <c r="J386" s="21">
        <f>IF(M386=1,ROUND(D386*参数设置!$B$11*H386/参数设置!$B$12,参数设置!$B$15),0)</f>
        <v>0</v>
      </c>
      <c r="K386" s="21">
        <f>I386+J386</f>
        <v>0</v>
      </c>
      <c r="L386" s="25">
        <f>EDATE(C386,参数设置!$B$13)</f>
        <v>47552</v>
      </c>
      <c r="M386">
        <f>--(D386&gt;0)</f>
        <v>0</v>
      </c>
    </row>
    <row r="387" spans="1:13" ht="15" customHeight="1">
      <c r="A387">
        <v>32</v>
      </c>
      <c r="B387">
        <v>32</v>
      </c>
      <c r="C387" s="25">
        <f>INDEX(实际执行追踪!$A$7:$A$42,A387)+DAY(参数设置!$B$4)-1</f>
        <v>47187</v>
      </c>
      <c r="D387" s="21">
        <f>INDEX(实际执行追踪!$C$7:$C$42,A387)</f>
        <v>0</v>
      </c>
      <c r="E387">
        <v>12</v>
      </c>
      <c r="F387" s="25">
        <f>IF(E387=1,C387,G386)</f>
        <v>47547</v>
      </c>
      <c r="G387" s="25">
        <f>IF(E387&lt;参数设置!$B$13,DATE(YEAR(EDATE(C387,E387+1)),MONTH(EDATE(C387,E387+1)),参数设置!$B$14),EDATE(C387,参数设置!$B$13))</f>
        <v>47552</v>
      </c>
      <c r="H387">
        <f>G387-F387</f>
        <v>5</v>
      </c>
      <c r="I387" s="21">
        <f>IF(E387=参数设置!$B$13,D387,0)</f>
        <v>0</v>
      </c>
      <c r="J387" s="21">
        <f>IF(M387=1,ROUND(D387*参数设置!$B$11*H387/参数设置!$B$12,参数设置!$B$15),0)</f>
        <v>0</v>
      </c>
      <c r="K387" s="21">
        <f>I387+J387</f>
        <v>0</v>
      </c>
      <c r="L387" s="25">
        <f>EDATE(C387,参数设置!$B$13)</f>
        <v>47552</v>
      </c>
      <c r="M387">
        <f>--(D387&gt;0)</f>
        <v>0</v>
      </c>
    </row>
    <row r="388" spans="1:13" ht="15" customHeight="1">
      <c r="A388">
        <v>33</v>
      </c>
      <c r="B388">
        <v>33</v>
      </c>
      <c r="C388" s="25">
        <f>INDEX(实际执行追踪!$A$7:$A$42,A388)+DAY(参数设置!$B$4)-1</f>
        <v>47218</v>
      </c>
      <c r="D388" s="21">
        <f>INDEX(实际执行追踪!$C$7:$C$42,A388)</f>
        <v>0</v>
      </c>
      <c r="E388">
        <v>1</v>
      </c>
      <c r="F388" s="25">
        <f>IF(E388=1,C388,G387)</f>
        <v>47218</v>
      </c>
      <c r="G388" s="25">
        <f>IF(E388&lt;参数设置!$B$13,DATE(YEAR(EDATE(C388,E388+1)),MONTH(EDATE(C388,E388+1)),参数设置!$B$14),EDATE(C388,参数设置!$B$13))</f>
        <v>47274</v>
      </c>
      <c r="H388">
        <f>G388-F388</f>
        <v>56</v>
      </c>
      <c r="I388" s="21">
        <f>IF(E388=参数设置!$B$13,D388,0)</f>
        <v>0</v>
      </c>
      <c r="J388" s="21">
        <f>IF(M388=1,ROUND(D388*参数设置!$B$11*H388/参数设置!$B$12,参数设置!$B$15),0)</f>
        <v>0</v>
      </c>
      <c r="K388" s="21">
        <f>I388+J388</f>
        <v>0</v>
      </c>
      <c r="L388" s="25">
        <f>EDATE(C388,参数设置!$B$13)</f>
        <v>47583</v>
      </c>
      <c r="M388">
        <f>--(D388&gt;0)</f>
        <v>0</v>
      </c>
    </row>
    <row r="389" spans="1:13" ht="15" customHeight="1">
      <c r="A389">
        <v>33</v>
      </c>
      <c r="B389">
        <v>33</v>
      </c>
      <c r="C389" s="25">
        <f>INDEX(实际执行追踪!$A$7:$A$42,A389)+DAY(参数设置!$B$4)-1</f>
        <v>47218</v>
      </c>
      <c r="D389" s="21">
        <f>INDEX(实际执行追踪!$C$7:$C$42,A389)</f>
        <v>0</v>
      </c>
      <c r="E389">
        <v>2</v>
      </c>
      <c r="F389" s="25">
        <f>IF(E389=1,C389,G388)</f>
        <v>47274</v>
      </c>
      <c r="G389" s="25">
        <f>IF(E389&lt;参数设置!$B$13,DATE(YEAR(EDATE(C389,E389+1)),MONTH(EDATE(C389,E389+1)),参数设置!$B$14),EDATE(C389,参数设置!$B$13))</f>
        <v>47304</v>
      </c>
      <c r="H389">
        <f>G389-F389</f>
        <v>30</v>
      </c>
      <c r="I389" s="21">
        <f>IF(E389=参数设置!$B$13,D389,0)</f>
        <v>0</v>
      </c>
      <c r="J389" s="21">
        <f>IF(M389=1,ROUND(D389*参数设置!$B$11*H389/参数设置!$B$12,参数设置!$B$15),0)</f>
        <v>0</v>
      </c>
      <c r="K389" s="21">
        <f>I389+J389</f>
        <v>0</v>
      </c>
      <c r="L389" s="25">
        <f>EDATE(C389,参数设置!$B$13)</f>
        <v>47583</v>
      </c>
      <c r="M389">
        <f>--(D389&gt;0)</f>
        <v>0</v>
      </c>
    </row>
    <row r="390" spans="1:13" ht="15" customHeight="1">
      <c r="A390">
        <v>33</v>
      </c>
      <c r="B390">
        <v>33</v>
      </c>
      <c r="C390" s="25">
        <f>INDEX(实际执行追踪!$A$7:$A$42,A390)+DAY(参数设置!$B$4)-1</f>
        <v>47218</v>
      </c>
      <c r="D390" s="21">
        <f>INDEX(实际执行追踪!$C$7:$C$42,A390)</f>
        <v>0</v>
      </c>
      <c r="E390">
        <v>3</v>
      </c>
      <c r="F390" s="25">
        <f>IF(E390=1,C390,G389)</f>
        <v>47304</v>
      </c>
      <c r="G390" s="25">
        <f>IF(E390&lt;参数设置!$B$13,DATE(YEAR(EDATE(C390,E390+1)),MONTH(EDATE(C390,E390+1)),参数设置!$B$14),EDATE(C390,参数设置!$B$13))</f>
        <v>47335</v>
      </c>
      <c r="H390">
        <f>G390-F390</f>
        <v>31</v>
      </c>
      <c r="I390" s="21">
        <f>IF(E390=参数设置!$B$13,D390,0)</f>
        <v>0</v>
      </c>
      <c r="J390" s="21">
        <f>IF(M390=1,ROUND(D390*参数设置!$B$11*H390/参数设置!$B$12,参数设置!$B$15),0)</f>
        <v>0</v>
      </c>
      <c r="K390" s="21">
        <f>I390+J390</f>
        <v>0</v>
      </c>
      <c r="L390" s="25">
        <f>EDATE(C390,参数设置!$B$13)</f>
        <v>47583</v>
      </c>
      <c r="M390">
        <f>--(D390&gt;0)</f>
        <v>0</v>
      </c>
    </row>
    <row r="391" spans="1:13" ht="15" customHeight="1">
      <c r="A391">
        <v>33</v>
      </c>
      <c r="B391">
        <v>33</v>
      </c>
      <c r="C391" s="25">
        <f>INDEX(实际执行追踪!$A$7:$A$42,A391)+DAY(参数设置!$B$4)-1</f>
        <v>47218</v>
      </c>
      <c r="D391" s="21">
        <f>INDEX(实际执行追踪!$C$7:$C$42,A391)</f>
        <v>0</v>
      </c>
      <c r="E391">
        <v>4</v>
      </c>
      <c r="F391" s="25">
        <f>IF(E391=1,C391,G390)</f>
        <v>47335</v>
      </c>
      <c r="G391" s="25">
        <f>IF(E391&lt;参数设置!$B$13,DATE(YEAR(EDATE(C391,E391+1)),MONTH(EDATE(C391,E391+1)),参数设置!$B$14),EDATE(C391,参数设置!$B$13))</f>
        <v>47366</v>
      </c>
      <c r="H391">
        <f>G391-F391</f>
        <v>31</v>
      </c>
      <c r="I391" s="21">
        <f>IF(E391=参数设置!$B$13,D391,0)</f>
        <v>0</v>
      </c>
      <c r="J391" s="21">
        <f>IF(M391=1,ROUND(D391*参数设置!$B$11*H391/参数设置!$B$12,参数设置!$B$15),0)</f>
        <v>0</v>
      </c>
      <c r="K391" s="21">
        <f>I391+J391</f>
        <v>0</v>
      </c>
      <c r="L391" s="25">
        <f>EDATE(C391,参数设置!$B$13)</f>
        <v>47583</v>
      </c>
      <c r="M391">
        <f>--(D391&gt;0)</f>
        <v>0</v>
      </c>
    </row>
    <row r="392" spans="1:13" ht="15" customHeight="1">
      <c r="A392">
        <v>33</v>
      </c>
      <c r="B392">
        <v>33</v>
      </c>
      <c r="C392" s="25">
        <f>INDEX(实际执行追踪!$A$7:$A$42,A392)+DAY(参数设置!$B$4)-1</f>
        <v>47218</v>
      </c>
      <c r="D392" s="21">
        <f>INDEX(实际执行追踪!$C$7:$C$42,A392)</f>
        <v>0</v>
      </c>
      <c r="E392">
        <v>5</v>
      </c>
      <c r="F392" s="25">
        <f>IF(E392=1,C392,G391)</f>
        <v>47366</v>
      </c>
      <c r="G392" s="25">
        <f>IF(E392&lt;参数设置!$B$13,DATE(YEAR(EDATE(C392,E392+1)),MONTH(EDATE(C392,E392+1)),参数设置!$B$14),EDATE(C392,参数设置!$B$13))</f>
        <v>47396</v>
      </c>
      <c r="H392">
        <f>G392-F392</f>
        <v>30</v>
      </c>
      <c r="I392" s="21">
        <f>IF(E392=参数设置!$B$13,D392,0)</f>
        <v>0</v>
      </c>
      <c r="J392" s="21">
        <f>IF(M392=1,ROUND(D392*参数设置!$B$11*H392/参数设置!$B$12,参数设置!$B$15),0)</f>
        <v>0</v>
      </c>
      <c r="K392" s="21">
        <f>I392+J392</f>
        <v>0</v>
      </c>
      <c r="L392" s="25">
        <f>EDATE(C392,参数设置!$B$13)</f>
        <v>47583</v>
      </c>
      <c r="M392">
        <f>--(D392&gt;0)</f>
        <v>0</v>
      </c>
    </row>
    <row r="393" spans="1:13" ht="15" customHeight="1">
      <c r="A393">
        <v>33</v>
      </c>
      <c r="B393">
        <v>33</v>
      </c>
      <c r="C393" s="25">
        <f>INDEX(实际执行追踪!$A$7:$A$42,A393)+DAY(参数设置!$B$4)-1</f>
        <v>47218</v>
      </c>
      <c r="D393" s="21">
        <f>INDEX(实际执行追踪!$C$7:$C$42,A393)</f>
        <v>0</v>
      </c>
      <c r="E393">
        <v>6</v>
      </c>
      <c r="F393" s="25">
        <f>IF(E393=1,C393,G392)</f>
        <v>47396</v>
      </c>
      <c r="G393" s="25">
        <f>IF(E393&lt;参数设置!$B$13,DATE(YEAR(EDATE(C393,E393+1)),MONTH(EDATE(C393,E393+1)),参数设置!$B$14),EDATE(C393,参数设置!$B$13))</f>
        <v>47427</v>
      </c>
      <c r="H393">
        <f>G393-F393</f>
        <v>31</v>
      </c>
      <c r="I393" s="21">
        <f>IF(E393=参数设置!$B$13,D393,0)</f>
        <v>0</v>
      </c>
      <c r="J393" s="21">
        <f>IF(M393=1,ROUND(D393*参数设置!$B$11*H393/参数设置!$B$12,参数设置!$B$15),0)</f>
        <v>0</v>
      </c>
      <c r="K393" s="21">
        <f>I393+J393</f>
        <v>0</v>
      </c>
      <c r="L393" s="25">
        <f>EDATE(C393,参数设置!$B$13)</f>
        <v>47583</v>
      </c>
      <c r="M393">
        <f>--(D393&gt;0)</f>
        <v>0</v>
      </c>
    </row>
    <row r="394" spans="1:13" ht="15" customHeight="1">
      <c r="A394">
        <v>33</v>
      </c>
      <c r="B394">
        <v>33</v>
      </c>
      <c r="C394" s="25">
        <f>INDEX(实际执行追踪!$A$7:$A$42,A394)+DAY(参数设置!$B$4)-1</f>
        <v>47218</v>
      </c>
      <c r="D394" s="21">
        <f>INDEX(实际执行追踪!$C$7:$C$42,A394)</f>
        <v>0</v>
      </c>
      <c r="E394">
        <v>7</v>
      </c>
      <c r="F394" s="25">
        <f>IF(E394=1,C394,G393)</f>
        <v>47427</v>
      </c>
      <c r="G394" s="25">
        <f>IF(E394&lt;参数设置!$B$13,DATE(YEAR(EDATE(C394,E394+1)),MONTH(EDATE(C394,E394+1)),参数设置!$B$14),EDATE(C394,参数设置!$B$13))</f>
        <v>47457</v>
      </c>
      <c r="H394">
        <f>G394-F394</f>
        <v>30</v>
      </c>
      <c r="I394" s="21">
        <f>IF(E394=参数设置!$B$13,D394,0)</f>
        <v>0</v>
      </c>
      <c r="J394" s="21">
        <f>IF(M394=1,ROUND(D394*参数设置!$B$11*H394/参数设置!$B$12,参数设置!$B$15),0)</f>
        <v>0</v>
      </c>
      <c r="K394" s="21">
        <f>I394+J394</f>
        <v>0</v>
      </c>
      <c r="L394" s="25">
        <f>EDATE(C394,参数设置!$B$13)</f>
        <v>47583</v>
      </c>
      <c r="M394">
        <f>--(D394&gt;0)</f>
        <v>0</v>
      </c>
    </row>
    <row r="395" spans="1:13" ht="15" customHeight="1">
      <c r="A395">
        <v>33</v>
      </c>
      <c r="B395">
        <v>33</v>
      </c>
      <c r="C395" s="25">
        <f>INDEX(实际执行追踪!$A$7:$A$42,A395)+DAY(参数设置!$B$4)-1</f>
        <v>47218</v>
      </c>
      <c r="D395" s="21">
        <f>INDEX(实际执行追踪!$C$7:$C$42,A395)</f>
        <v>0</v>
      </c>
      <c r="E395">
        <v>8</v>
      </c>
      <c r="F395" s="25">
        <f>IF(E395=1,C395,G394)</f>
        <v>47457</v>
      </c>
      <c r="G395" s="25">
        <f>IF(E395&lt;参数设置!$B$13,DATE(YEAR(EDATE(C395,E395+1)),MONTH(EDATE(C395,E395+1)),参数设置!$B$14),EDATE(C395,参数设置!$B$13))</f>
        <v>47488</v>
      </c>
      <c r="H395">
        <f>G395-F395</f>
        <v>31</v>
      </c>
      <c r="I395" s="21">
        <f>IF(E395=参数设置!$B$13,D395,0)</f>
        <v>0</v>
      </c>
      <c r="J395" s="21">
        <f>IF(M395=1,ROUND(D395*参数设置!$B$11*H395/参数设置!$B$12,参数设置!$B$15),0)</f>
        <v>0</v>
      </c>
      <c r="K395" s="21">
        <f>I395+J395</f>
        <v>0</v>
      </c>
      <c r="L395" s="25">
        <f>EDATE(C395,参数设置!$B$13)</f>
        <v>47583</v>
      </c>
      <c r="M395">
        <f>--(D395&gt;0)</f>
        <v>0</v>
      </c>
    </row>
    <row r="396" spans="1:13" ht="15" customHeight="1">
      <c r="A396">
        <v>33</v>
      </c>
      <c r="B396">
        <v>33</v>
      </c>
      <c r="C396" s="25">
        <f>INDEX(实际执行追踪!$A$7:$A$42,A396)+DAY(参数设置!$B$4)-1</f>
        <v>47218</v>
      </c>
      <c r="D396" s="21">
        <f>INDEX(实际执行追踪!$C$7:$C$42,A396)</f>
        <v>0</v>
      </c>
      <c r="E396">
        <v>9</v>
      </c>
      <c r="F396" s="25">
        <f>IF(E396=1,C396,G395)</f>
        <v>47488</v>
      </c>
      <c r="G396" s="25">
        <f>IF(E396&lt;参数设置!$B$13,DATE(YEAR(EDATE(C396,E396+1)),MONTH(EDATE(C396,E396+1)),参数设置!$B$14),EDATE(C396,参数设置!$B$13))</f>
        <v>47519</v>
      </c>
      <c r="H396">
        <f>G396-F396</f>
        <v>31</v>
      </c>
      <c r="I396" s="21">
        <f>IF(E396=参数设置!$B$13,D396,0)</f>
        <v>0</v>
      </c>
      <c r="J396" s="21">
        <f>IF(M396=1,ROUND(D396*参数设置!$B$11*H396/参数设置!$B$12,参数设置!$B$15),0)</f>
        <v>0</v>
      </c>
      <c r="K396" s="21">
        <f>I396+J396</f>
        <v>0</v>
      </c>
      <c r="L396" s="25">
        <f>EDATE(C396,参数设置!$B$13)</f>
        <v>47583</v>
      </c>
      <c r="M396">
        <f>--(D396&gt;0)</f>
        <v>0</v>
      </c>
    </row>
    <row r="397" spans="1:13" ht="15" customHeight="1">
      <c r="A397">
        <v>33</v>
      </c>
      <c r="B397">
        <v>33</v>
      </c>
      <c r="C397" s="25">
        <f>INDEX(实际执行追踪!$A$7:$A$42,A397)+DAY(参数设置!$B$4)-1</f>
        <v>47218</v>
      </c>
      <c r="D397" s="21">
        <f>INDEX(实际执行追踪!$C$7:$C$42,A397)</f>
        <v>0</v>
      </c>
      <c r="E397">
        <v>10</v>
      </c>
      <c r="F397" s="25">
        <f>IF(E397=1,C397,G396)</f>
        <v>47519</v>
      </c>
      <c r="G397" s="25">
        <f>IF(E397&lt;参数设置!$B$13,DATE(YEAR(EDATE(C397,E397+1)),MONTH(EDATE(C397,E397+1)),参数设置!$B$14),EDATE(C397,参数设置!$B$13))</f>
        <v>47547</v>
      </c>
      <c r="H397">
        <f>G397-F397</f>
        <v>28</v>
      </c>
      <c r="I397" s="21">
        <f>IF(E397=参数设置!$B$13,D397,0)</f>
        <v>0</v>
      </c>
      <c r="J397" s="21">
        <f>IF(M397=1,ROUND(D397*参数设置!$B$11*H397/参数设置!$B$12,参数设置!$B$15),0)</f>
        <v>0</v>
      </c>
      <c r="K397" s="21">
        <f>I397+J397</f>
        <v>0</v>
      </c>
      <c r="L397" s="25">
        <f>EDATE(C397,参数设置!$B$13)</f>
        <v>47583</v>
      </c>
      <c r="M397">
        <f>--(D397&gt;0)</f>
        <v>0</v>
      </c>
    </row>
    <row r="398" spans="1:13" ht="15" customHeight="1">
      <c r="A398">
        <v>33</v>
      </c>
      <c r="B398">
        <v>33</v>
      </c>
      <c r="C398" s="25">
        <f>INDEX(实际执行追踪!$A$7:$A$42,A398)+DAY(参数设置!$B$4)-1</f>
        <v>47218</v>
      </c>
      <c r="D398" s="21">
        <f>INDEX(实际执行追踪!$C$7:$C$42,A398)</f>
        <v>0</v>
      </c>
      <c r="E398">
        <v>11</v>
      </c>
      <c r="F398" s="25">
        <f>IF(E398=1,C398,G397)</f>
        <v>47547</v>
      </c>
      <c r="G398" s="25">
        <f>IF(E398&lt;参数设置!$B$13,DATE(YEAR(EDATE(C398,E398+1)),MONTH(EDATE(C398,E398+1)),参数设置!$B$14),EDATE(C398,参数设置!$B$13))</f>
        <v>47578</v>
      </c>
      <c r="H398">
        <f>G398-F398</f>
        <v>31</v>
      </c>
      <c r="I398" s="21">
        <f>IF(E398=参数设置!$B$13,D398,0)</f>
        <v>0</v>
      </c>
      <c r="J398" s="21">
        <f>IF(M398=1,ROUND(D398*参数设置!$B$11*H398/参数设置!$B$12,参数设置!$B$15),0)</f>
        <v>0</v>
      </c>
      <c r="K398" s="21">
        <f>I398+J398</f>
        <v>0</v>
      </c>
      <c r="L398" s="25">
        <f>EDATE(C398,参数设置!$B$13)</f>
        <v>47583</v>
      </c>
      <c r="M398">
        <f>--(D398&gt;0)</f>
        <v>0</v>
      </c>
    </row>
    <row r="399" spans="1:13" ht="15" customHeight="1">
      <c r="A399">
        <v>33</v>
      </c>
      <c r="B399">
        <v>33</v>
      </c>
      <c r="C399" s="25">
        <f>INDEX(实际执行追踪!$A$7:$A$42,A399)+DAY(参数设置!$B$4)-1</f>
        <v>47218</v>
      </c>
      <c r="D399" s="21">
        <f>INDEX(实际执行追踪!$C$7:$C$42,A399)</f>
        <v>0</v>
      </c>
      <c r="E399">
        <v>12</v>
      </c>
      <c r="F399" s="25">
        <f>IF(E399=1,C399,G398)</f>
        <v>47578</v>
      </c>
      <c r="G399" s="25">
        <f>IF(E399&lt;参数设置!$B$13,DATE(YEAR(EDATE(C399,E399+1)),MONTH(EDATE(C399,E399+1)),参数设置!$B$14),EDATE(C399,参数设置!$B$13))</f>
        <v>47583</v>
      </c>
      <c r="H399">
        <f>G399-F399</f>
        <v>5</v>
      </c>
      <c r="I399" s="21">
        <f>IF(E399=参数设置!$B$13,D399,0)</f>
        <v>0</v>
      </c>
      <c r="J399" s="21">
        <f>IF(M399=1,ROUND(D399*参数设置!$B$11*H399/参数设置!$B$12,参数设置!$B$15),0)</f>
        <v>0</v>
      </c>
      <c r="K399" s="21">
        <f>I399+J399</f>
        <v>0</v>
      </c>
      <c r="L399" s="25">
        <f>EDATE(C399,参数设置!$B$13)</f>
        <v>47583</v>
      </c>
      <c r="M399">
        <f>--(D399&gt;0)</f>
        <v>0</v>
      </c>
    </row>
    <row r="400" spans="1:13" ht="15" customHeight="1">
      <c r="A400">
        <v>34</v>
      </c>
      <c r="B400">
        <v>34</v>
      </c>
      <c r="C400" s="25">
        <f>INDEX(实际执行追踪!$A$7:$A$42,A400)+DAY(参数设置!$B$4)-1</f>
        <v>47248</v>
      </c>
      <c r="D400" s="21">
        <f>INDEX(实际执行追踪!$C$7:$C$42,A400)</f>
        <v>0</v>
      </c>
      <c r="E400">
        <v>1</v>
      </c>
      <c r="F400" s="25">
        <f>IF(E400=1,C400,G399)</f>
        <v>47248</v>
      </c>
      <c r="G400" s="25">
        <f>IF(E400&lt;参数设置!$B$13,DATE(YEAR(EDATE(C400,E400+1)),MONTH(EDATE(C400,E400+1)),参数设置!$B$14),EDATE(C400,参数设置!$B$13))</f>
        <v>47304</v>
      </c>
      <c r="H400">
        <f>G400-F400</f>
        <v>56</v>
      </c>
      <c r="I400" s="21">
        <f>IF(E400=参数设置!$B$13,D400,0)</f>
        <v>0</v>
      </c>
      <c r="J400" s="21">
        <f>IF(M400=1,ROUND(D400*参数设置!$B$11*H400/参数设置!$B$12,参数设置!$B$15),0)</f>
        <v>0</v>
      </c>
      <c r="K400" s="21">
        <f>I400+J400</f>
        <v>0</v>
      </c>
      <c r="L400" s="25">
        <f>EDATE(C400,参数设置!$B$13)</f>
        <v>47613</v>
      </c>
      <c r="M400">
        <f>--(D400&gt;0)</f>
        <v>0</v>
      </c>
    </row>
    <row r="401" spans="1:13" ht="15" customHeight="1">
      <c r="A401">
        <v>34</v>
      </c>
      <c r="B401">
        <v>34</v>
      </c>
      <c r="C401" s="25">
        <f>INDEX(实际执行追踪!$A$7:$A$42,A401)+DAY(参数设置!$B$4)-1</f>
        <v>47248</v>
      </c>
      <c r="D401" s="21">
        <f>INDEX(实际执行追踪!$C$7:$C$42,A401)</f>
        <v>0</v>
      </c>
      <c r="E401">
        <v>2</v>
      </c>
      <c r="F401" s="25">
        <f>IF(E401=1,C401,G400)</f>
        <v>47304</v>
      </c>
      <c r="G401" s="25">
        <f>IF(E401&lt;参数设置!$B$13,DATE(YEAR(EDATE(C401,E401+1)),MONTH(EDATE(C401,E401+1)),参数设置!$B$14),EDATE(C401,参数设置!$B$13))</f>
        <v>47335</v>
      </c>
      <c r="H401">
        <f>G401-F401</f>
        <v>31</v>
      </c>
      <c r="I401" s="21">
        <f>IF(E401=参数设置!$B$13,D401,0)</f>
        <v>0</v>
      </c>
      <c r="J401" s="21">
        <f>IF(M401=1,ROUND(D401*参数设置!$B$11*H401/参数设置!$B$12,参数设置!$B$15),0)</f>
        <v>0</v>
      </c>
      <c r="K401" s="21">
        <f>I401+J401</f>
        <v>0</v>
      </c>
      <c r="L401" s="25">
        <f>EDATE(C401,参数设置!$B$13)</f>
        <v>47613</v>
      </c>
      <c r="M401">
        <f>--(D401&gt;0)</f>
        <v>0</v>
      </c>
    </row>
    <row r="402" spans="1:13" ht="15" customHeight="1">
      <c r="A402">
        <v>34</v>
      </c>
      <c r="B402">
        <v>34</v>
      </c>
      <c r="C402" s="25">
        <f>INDEX(实际执行追踪!$A$7:$A$42,A402)+DAY(参数设置!$B$4)-1</f>
        <v>47248</v>
      </c>
      <c r="D402" s="21">
        <f>INDEX(实际执行追踪!$C$7:$C$42,A402)</f>
        <v>0</v>
      </c>
      <c r="E402">
        <v>3</v>
      </c>
      <c r="F402" s="25">
        <f>IF(E402=1,C402,G401)</f>
        <v>47335</v>
      </c>
      <c r="G402" s="25">
        <f>IF(E402&lt;参数设置!$B$13,DATE(YEAR(EDATE(C402,E402+1)),MONTH(EDATE(C402,E402+1)),参数设置!$B$14),EDATE(C402,参数设置!$B$13))</f>
        <v>47366</v>
      </c>
      <c r="H402">
        <f>G402-F402</f>
        <v>31</v>
      </c>
      <c r="I402" s="21">
        <f>IF(E402=参数设置!$B$13,D402,0)</f>
        <v>0</v>
      </c>
      <c r="J402" s="21">
        <f>IF(M402=1,ROUND(D402*参数设置!$B$11*H402/参数设置!$B$12,参数设置!$B$15),0)</f>
        <v>0</v>
      </c>
      <c r="K402" s="21">
        <f>I402+J402</f>
        <v>0</v>
      </c>
      <c r="L402" s="25">
        <f>EDATE(C402,参数设置!$B$13)</f>
        <v>47613</v>
      </c>
      <c r="M402">
        <f>--(D402&gt;0)</f>
        <v>0</v>
      </c>
    </row>
    <row r="403" spans="1:13" ht="15" customHeight="1">
      <c r="A403">
        <v>34</v>
      </c>
      <c r="B403">
        <v>34</v>
      </c>
      <c r="C403" s="25">
        <f>INDEX(实际执行追踪!$A$7:$A$42,A403)+DAY(参数设置!$B$4)-1</f>
        <v>47248</v>
      </c>
      <c r="D403" s="21">
        <f>INDEX(实际执行追踪!$C$7:$C$42,A403)</f>
        <v>0</v>
      </c>
      <c r="E403">
        <v>4</v>
      </c>
      <c r="F403" s="25">
        <f>IF(E403=1,C403,G402)</f>
        <v>47366</v>
      </c>
      <c r="G403" s="25">
        <f>IF(E403&lt;参数设置!$B$13,DATE(YEAR(EDATE(C403,E403+1)),MONTH(EDATE(C403,E403+1)),参数设置!$B$14),EDATE(C403,参数设置!$B$13))</f>
        <v>47396</v>
      </c>
      <c r="H403">
        <f>G403-F403</f>
        <v>30</v>
      </c>
      <c r="I403" s="21">
        <f>IF(E403=参数设置!$B$13,D403,0)</f>
        <v>0</v>
      </c>
      <c r="J403" s="21">
        <f>IF(M403=1,ROUND(D403*参数设置!$B$11*H403/参数设置!$B$12,参数设置!$B$15),0)</f>
        <v>0</v>
      </c>
      <c r="K403" s="21">
        <f>I403+J403</f>
        <v>0</v>
      </c>
      <c r="L403" s="25">
        <f>EDATE(C403,参数设置!$B$13)</f>
        <v>47613</v>
      </c>
      <c r="M403">
        <f>--(D403&gt;0)</f>
        <v>0</v>
      </c>
    </row>
    <row r="404" spans="1:13" ht="15" customHeight="1">
      <c r="A404">
        <v>34</v>
      </c>
      <c r="B404">
        <v>34</v>
      </c>
      <c r="C404" s="25">
        <f>INDEX(实际执行追踪!$A$7:$A$42,A404)+DAY(参数设置!$B$4)-1</f>
        <v>47248</v>
      </c>
      <c r="D404" s="21">
        <f>INDEX(实际执行追踪!$C$7:$C$42,A404)</f>
        <v>0</v>
      </c>
      <c r="E404">
        <v>5</v>
      </c>
      <c r="F404" s="25">
        <f>IF(E404=1,C404,G403)</f>
        <v>47396</v>
      </c>
      <c r="G404" s="25">
        <f>IF(E404&lt;参数设置!$B$13,DATE(YEAR(EDATE(C404,E404+1)),MONTH(EDATE(C404,E404+1)),参数设置!$B$14),EDATE(C404,参数设置!$B$13))</f>
        <v>47427</v>
      </c>
      <c r="H404">
        <f>G404-F404</f>
        <v>31</v>
      </c>
      <c r="I404" s="21">
        <f>IF(E404=参数设置!$B$13,D404,0)</f>
        <v>0</v>
      </c>
      <c r="J404" s="21">
        <f>IF(M404=1,ROUND(D404*参数设置!$B$11*H404/参数设置!$B$12,参数设置!$B$15),0)</f>
        <v>0</v>
      </c>
      <c r="K404" s="21">
        <f>I404+J404</f>
        <v>0</v>
      </c>
      <c r="L404" s="25">
        <f>EDATE(C404,参数设置!$B$13)</f>
        <v>47613</v>
      </c>
      <c r="M404">
        <f>--(D404&gt;0)</f>
        <v>0</v>
      </c>
    </row>
    <row r="405" spans="1:13" ht="15" customHeight="1">
      <c r="A405">
        <v>34</v>
      </c>
      <c r="B405">
        <v>34</v>
      </c>
      <c r="C405" s="25">
        <f>INDEX(实际执行追踪!$A$7:$A$42,A405)+DAY(参数设置!$B$4)-1</f>
        <v>47248</v>
      </c>
      <c r="D405" s="21">
        <f>INDEX(实际执行追踪!$C$7:$C$42,A405)</f>
        <v>0</v>
      </c>
      <c r="E405">
        <v>6</v>
      </c>
      <c r="F405" s="25">
        <f>IF(E405=1,C405,G404)</f>
        <v>47427</v>
      </c>
      <c r="G405" s="25">
        <f>IF(E405&lt;参数设置!$B$13,DATE(YEAR(EDATE(C405,E405+1)),MONTH(EDATE(C405,E405+1)),参数设置!$B$14),EDATE(C405,参数设置!$B$13))</f>
        <v>47457</v>
      </c>
      <c r="H405">
        <f>G405-F405</f>
        <v>30</v>
      </c>
      <c r="I405" s="21">
        <f>IF(E405=参数设置!$B$13,D405,0)</f>
        <v>0</v>
      </c>
      <c r="J405" s="21">
        <f>IF(M405=1,ROUND(D405*参数设置!$B$11*H405/参数设置!$B$12,参数设置!$B$15),0)</f>
        <v>0</v>
      </c>
      <c r="K405" s="21">
        <f>I405+J405</f>
        <v>0</v>
      </c>
      <c r="L405" s="25">
        <f>EDATE(C405,参数设置!$B$13)</f>
        <v>47613</v>
      </c>
      <c r="M405">
        <f>--(D405&gt;0)</f>
        <v>0</v>
      </c>
    </row>
    <row r="406" spans="1:13" ht="15" customHeight="1">
      <c r="A406">
        <v>34</v>
      </c>
      <c r="B406">
        <v>34</v>
      </c>
      <c r="C406" s="25">
        <f>INDEX(实际执行追踪!$A$7:$A$42,A406)+DAY(参数设置!$B$4)-1</f>
        <v>47248</v>
      </c>
      <c r="D406" s="21">
        <f>INDEX(实际执行追踪!$C$7:$C$42,A406)</f>
        <v>0</v>
      </c>
      <c r="E406">
        <v>7</v>
      </c>
      <c r="F406" s="25">
        <f>IF(E406=1,C406,G405)</f>
        <v>47457</v>
      </c>
      <c r="G406" s="25">
        <f>IF(E406&lt;参数设置!$B$13,DATE(YEAR(EDATE(C406,E406+1)),MONTH(EDATE(C406,E406+1)),参数设置!$B$14),EDATE(C406,参数设置!$B$13))</f>
        <v>47488</v>
      </c>
      <c r="H406">
        <f>G406-F406</f>
        <v>31</v>
      </c>
      <c r="I406" s="21">
        <f>IF(E406=参数设置!$B$13,D406,0)</f>
        <v>0</v>
      </c>
      <c r="J406" s="21">
        <f>IF(M406=1,ROUND(D406*参数设置!$B$11*H406/参数设置!$B$12,参数设置!$B$15),0)</f>
        <v>0</v>
      </c>
      <c r="K406" s="21">
        <f>I406+J406</f>
        <v>0</v>
      </c>
      <c r="L406" s="25">
        <f>EDATE(C406,参数设置!$B$13)</f>
        <v>47613</v>
      </c>
      <c r="M406">
        <f>--(D406&gt;0)</f>
        <v>0</v>
      </c>
    </row>
    <row r="407" spans="1:13" ht="15" customHeight="1">
      <c r="A407">
        <v>34</v>
      </c>
      <c r="B407">
        <v>34</v>
      </c>
      <c r="C407" s="25">
        <f>INDEX(实际执行追踪!$A$7:$A$42,A407)+DAY(参数设置!$B$4)-1</f>
        <v>47248</v>
      </c>
      <c r="D407" s="21">
        <f>INDEX(实际执行追踪!$C$7:$C$42,A407)</f>
        <v>0</v>
      </c>
      <c r="E407">
        <v>8</v>
      </c>
      <c r="F407" s="25">
        <f>IF(E407=1,C407,G406)</f>
        <v>47488</v>
      </c>
      <c r="G407" s="25">
        <f>IF(E407&lt;参数设置!$B$13,DATE(YEAR(EDATE(C407,E407+1)),MONTH(EDATE(C407,E407+1)),参数设置!$B$14),EDATE(C407,参数设置!$B$13))</f>
        <v>47519</v>
      </c>
      <c r="H407">
        <f>G407-F407</f>
        <v>31</v>
      </c>
      <c r="I407" s="21">
        <f>IF(E407=参数设置!$B$13,D407,0)</f>
        <v>0</v>
      </c>
      <c r="J407" s="21">
        <f>IF(M407=1,ROUND(D407*参数设置!$B$11*H407/参数设置!$B$12,参数设置!$B$15),0)</f>
        <v>0</v>
      </c>
      <c r="K407" s="21">
        <f>I407+J407</f>
        <v>0</v>
      </c>
      <c r="L407" s="25">
        <f>EDATE(C407,参数设置!$B$13)</f>
        <v>47613</v>
      </c>
      <c r="M407">
        <f>--(D407&gt;0)</f>
        <v>0</v>
      </c>
    </row>
    <row r="408" spans="1:13" ht="15" customHeight="1">
      <c r="A408">
        <v>34</v>
      </c>
      <c r="B408">
        <v>34</v>
      </c>
      <c r="C408" s="25">
        <f>INDEX(实际执行追踪!$A$7:$A$42,A408)+DAY(参数设置!$B$4)-1</f>
        <v>47248</v>
      </c>
      <c r="D408" s="21">
        <f>INDEX(实际执行追踪!$C$7:$C$42,A408)</f>
        <v>0</v>
      </c>
      <c r="E408">
        <v>9</v>
      </c>
      <c r="F408" s="25">
        <f>IF(E408=1,C408,G407)</f>
        <v>47519</v>
      </c>
      <c r="G408" s="25">
        <f>IF(E408&lt;参数设置!$B$13,DATE(YEAR(EDATE(C408,E408+1)),MONTH(EDATE(C408,E408+1)),参数设置!$B$14),EDATE(C408,参数设置!$B$13))</f>
        <v>47547</v>
      </c>
      <c r="H408">
        <f>G408-F408</f>
        <v>28</v>
      </c>
      <c r="I408" s="21">
        <f>IF(E408=参数设置!$B$13,D408,0)</f>
        <v>0</v>
      </c>
      <c r="J408" s="21">
        <f>IF(M408=1,ROUND(D408*参数设置!$B$11*H408/参数设置!$B$12,参数设置!$B$15),0)</f>
        <v>0</v>
      </c>
      <c r="K408" s="21">
        <f>I408+J408</f>
        <v>0</v>
      </c>
      <c r="L408" s="25">
        <f>EDATE(C408,参数设置!$B$13)</f>
        <v>47613</v>
      </c>
      <c r="M408">
        <f>--(D408&gt;0)</f>
        <v>0</v>
      </c>
    </row>
    <row r="409" spans="1:13" ht="15" customHeight="1">
      <c r="A409">
        <v>34</v>
      </c>
      <c r="B409">
        <v>34</v>
      </c>
      <c r="C409" s="25">
        <f>INDEX(实际执行追踪!$A$7:$A$42,A409)+DAY(参数设置!$B$4)-1</f>
        <v>47248</v>
      </c>
      <c r="D409" s="21">
        <f>INDEX(实际执行追踪!$C$7:$C$42,A409)</f>
        <v>0</v>
      </c>
      <c r="E409">
        <v>10</v>
      </c>
      <c r="F409" s="25">
        <f>IF(E409=1,C409,G408)</f>
        <v>47547</v>
      </c>
      <c r="G409" s="25">
        <f>IF(E409&lt;参数设置!$B$13,DATE(YEAR(EDATE(C409,E409+1)),MONTH(EDATE(C409,E409+1)),参数设置!$B$14),EDATE(C409,参数设置!$B$13))</f>
        <v>47578</v>
      </c>
      <c r="H409">
        <f>G409-F409</f>
        <v>31</v>
      </c>
      <c r="I409" s="21">
        <f>IF(E409=参数设置!$B$13,D409,0)</f>
        <v>0</v>
      </c>
      <c r="J409" s="21">
        <f>IF(M409=1,ROUND(D409*参数设置!$B$11*H409/参数设置!$B$12,参数设置!$B$15),0)</f>
        <v>0</v>
      </c>
      <c r="K409" s="21">
        <f>I409+J409</f>
        <v>0</v>
      </c>
      <c r="L409" s="25">
        <f>EDATE(C409,参数设置!$B$13)</f>
        <v>47613</v>
      </c>
      <c r="M409">
        <f>--(D409&gt;0)</f>
        <v>0</v>
      </c>
    </row>
    <row r="410" spans="1:13" ht="15" customHeight="1">
      <c r="A410">
        <v>34</v>
      </c>
      <c r="B410">
        <v>34</v>
      </c>
      <c r="C410" s="25">
        <f>INDEX(实际执行追踪!$A$7:$A$42,A410)+DAY(参数设置!$B$4)-1</f>
        <v>47248</v>
      </c>
      <c r="D410" s="21">
        <f>INDEX(实际执行追踪!$C$7:$C$42,A410)</f>
        <v>0</v>
      </c>
      <c r="E410">
        <v>11</v>
      </c>
      <c r="F410" s="25">
        <f>IF(E410=1,C410,G409)</f>
        <v>47578</v>
      </c>
      <c r="G410" s="25">
        <f>IF(E410&lt;参数设置!$B$13,DATE(YEAR(EDATE(C410,E410+1)),MONTH(EDATE(C410,E410+1)),参数设置!$B$14),EDATE(C410,参数设置!$B$13))</f>
        <v>47608</v>
      </c>
      <c r="H410">
        <f>G410-F410</f>
        <v>30</v>
      </c>
      <c r="I410" s="21">
        <f>IF(E410=参数设置!$B$13,D410,0)</f>
        <v>0</v>
      </c>
      <c r="J410" s="21">
        <f>IF(M410=1,ROUND(D410*参数设置!$B$11*H410/参数设置!$B$12,参数设置!$B$15),0)</f>
        <v>0</v>
      </c>
      <c r="K410" s="21">
        <f>I410+J410</f>
        <v>0</v>
      </c>
      <c r="L410" s="25">
        <f>EDATE(C410,参数设置!$B$13)</f>
        <v>47613</v>
      </c>
      <c r="M410">
        <f>--(D410&gt;0)</f>
        <v>0</v>
      </c>
    </row>
    <row r="411" spans="1:13" ht="15" customHeight="1">
      <c r="A411">
        <v>34</v>
      </c>
      <c r="B411">
        <v>34</v>
      </c>
      <c r="C411" s="25">
        <f>INDEX(实际执行追踪!$A$7:$A$42,A411)+DAY(参数设置!$B$4)-1</f>
        <v>47248</v>
      </c>
      <c r="D411" s="21">
        <f>INDEX(实际执行追踪!$C$7:$C$42,A411)</f>
        <v>0</v>
      </c>
      <c r="E411">
        <v>12</v>
      </c>
      <c r="F411" s="25">
        <f>IF(E411=1,C411,G410)</f>
        <v>47608</v>
      </c>
      <c r="G411" s="25">
        <f>IF(E411&lt;参数设置!$B$13,DATE(YEAR(EDATE(C411,E411+1)),MONTH(EDATE(C411,E411+1)),参数设置!$B$14),EDATE(C411,参数设置!$B$13))</f>
        <v>47613</v>
      </c>
      <c r="H411">
        <f>G411-F411</f>
        <v>5</v>
      </c>
      <c r="I411" s="21">
        <f>IF(E411=参数设置!$B$13,D411,0)</f>
        <v>0</v>
      </c>
      <c r="J411" s="21">
        <f>IF(M411=1,ROUND(D411*参数设置!$B$11*H411/参数设置!$B$12,参数设置!$B$15),0)</f>
        <v>0</v>
      </c>
      <c r="K411" s="21">
        <f>I411+J411</f>
        <v>0</v>
      </c>
      <c r="L411" s="25">
        <f>EDATE(C411,参数设置!$B$13)</f>
        <v>47613</v>
      </c>
      <c r="M411">
        <f>--(D411&gt;0)</f>
        <v>0</v>
      </c>
    </row>
    <row r="412" spans="1:13" ht="15" customHeight="1">
      <c r="A412">
        <v>35</v>
      </c>
      <c r="B412">
        <v>35</v>
      </c>
      <c r="C412" s="25">
        <f>INDEX(实际执行追踪!$A$7:$A$42,A412)+DAY(参数设置!$B$4)-1</f>
        <v>47279</v>
      </c>
      <c r="D412" s="21">
        <f>INDEX(实际执行追踪!$C$7:$C$42,A412)</f>
        <v>0</v>
      </c>
      <c r="E412">
        <v>1</v>
      </c>
      <c r="F412" s="25">
        <f>IF(E412=1,C412,G411)</f>
        <v>47279</v>
      </c>
      <c r="G412" s="25">
        <f>IF(E412&lt;参数设置!$B$13,DATE(YEAR(EDATE(C412,E412+1)),MONTH(EDATE(C412,E412+1)),参数设置!$B$14),EDATE(C412,参数设置!$B$13))</f>
        <v>47335</v>
      </c>
      <c r="H412">
        <f>G412-F412</f>
        <v>56</v>
      </c>
      <c r="I412" s="21">
        <f>IF(E412=参数设置!$B$13,D412,0)</f>
        <v>0</v>
      </c>
      <c r="J412" s="21">
        <f>IF(M412=1,ROUND(D412*参数设置!$B$11*H412/参数设置!$B$12,参数设置!$B$15),0)</f>
        <v>0</v>
      </c>
      <c r="K412" s="21">
        <f>I412+J412</f>
        <v>0</v>
      </c>
      <c r="L412" s="25">
        <f>EDATE(C412,参数设置!$B$13)</f>
        <v>47644</v>
      </c>
      <c r="M412">
        <f>--(D412&gt;0)</f>
        <v>0</v>
      </c>
    </row>
    <row r="413" spans="1:13" ht="15" customHeight="1">
      <c r="A413">
        <v>35</v>
      </c>
      <c r="B413">
        <v>35</v>
      </c>
      <c r="C413" s="25">
        <f>INDEX(实际执行追踪!$A$7:$A$42,A413)+DAY(参数设置!$B$4)-1</f>
        <v>47279</v>
      </c>
      <c r="D413" s="21">
        <f>INDEX(实际执行追踪!$C$7:$C$42,A413)</f>
        <v>0</v>
      </c>
      <c r="E413">
        <v>2</v>
      </c>
      <c r="F413" s="25">
        <f>IF(E413=1,C413,G412)</f>
        <v>47335</v>
      </c>
      <c r="G413" s="25">
        <f>IF(E413&lt;参数设置!$B$13,DATE(YEAR(EDATE(C413,E413+1)),MONTH(EDATE(C413,E413+1)),参数设置!$B$14),EDATE(C413,参数设置!$B$13))</f>
        <v>47366</v>
      </c>
      <c r="H413">
        <f>G413-F413</f>
        <v>31</v>
      </c>
      <c r="I413" s="21">
        <f>IF(E413=参数设置!$B$13,D413,0)</f>
        <v>0</v>
      </c>
      <c r="J413" s="21">
        <f>IF(M413=1,ROUND(D413*参数设置!$B$11*H413/参数设置!$B$12,参数设置!$B$15),0)</f>
        <v>0</v>
      </c>
      <c r="K413" s="21">
        <f>I413+J413</f>
        <v>0</v>
      </c>
      <c r="L413" s="25">
        <f>EDATE(C413,参数设置!$B$13)</f>
        <v>47644</v>
      </c>
      <c r="M413">
        <f>--(D413&gt;0)</f>
        <v>0</v>
      </c>
    </row>
    <row r="414" spans="1:13" ht="15" customHeight="1">
      <c r="A414">
        <v>35</v>
      </c>
      <c r="B414">
        <v>35</v>
      </c>
      <c r="C414" s="25">
        <f>INDEX(实际执行追踪!$A$7:$A$42,A414)+DAY(参数设置!$B$4)-1</f>
        <v>47279</v>
      </c>
      <c r="D414" s="21">
        <f>INDEX(实际执行追踪!$C$7:$C$42,A414)</f>
        <v>0</v>
      </c>
      <c r="E414">
        <v>3</v>
      </c>
      <c r="F414" s="25">
        <f>IF(E414=1,C414,G413)</f>
        <v>47366</v>
      </c>
      <c r="G414" s="25">
        <f>IF(E414&lt;参数设置!$B$13,DATE(YEAR(EDATE(C414,E414+1)),MONTH(EDATE(C414,E414+1)),参数设置!$B$14),EDATE(C414,参数设置!$B$13))</f>
        <v>47396</v>
      </c>
      <c r="H414">
        <f>G414-F414</f>
        <v>30</v>
      </c>
      <c r="I414" s="21">
        <f>IF(E414=参数设置!$B$13,D414,0)</f>
        <v>0</v>
      </c>
      <c r="J414" s="21">
        <f>IF(M414=1,ROUND(D414*参数设置!$B$11*H414/参数设置!$B$12,参数设置!$B$15),0)</f>
        <v>0</v>
      </c>
      <c r="K414" s="21">
        <f>I414+J414</f>
        <v>0</v>
      </c>
      <c r="L414" s="25">
        <f>EDATE(C414,参数设置!$B$13)</f>
        <v>47644</v>
      </c>
      <c r="M414">
        <f>--(D414&gt;0)</f>
        <v>0</v>
      </c>
    </row>
    <row r="415" spans="1:13" ht="15" customHeight="1">
      <c r="A415">
        <v>35</v>
      </c>
      <c r="B415">
        <v>35</v>
      </c>
      <c r="C415" s="25">
        <f>INDEX(实际执行追踪!$A$7:$A$42,A415)+DAY(参数设置!$B$4)-1</f>
        <v>47279</v>
      </c>
      <c r="D415" s="21">
        <f>INDEX(实际执行追踪!$C$7:$C$42,A415)</f>
        <v>0</v>
      </c>
      <c r="E415">
        <v>4</v>
      </c>
      <c r="F415" s="25">
        <f>IF(E415=1,C415,G414)</f>
        <v>47396</v>
      </c>
      <c r="G415" s="25">
        <f>IF(E415&lt;参数设置!$B$13,DATE(YEAR(EDATE(C415,E415+1)),MONTH(EDATE(C415,E415+1)),参数设置!$B$14),EDATE(C415,参数设置!$B$13))</f>
        <v>47427</v>
      </c>
      <c r="H415">
        <f>G415-F415</f>
        <v>31</v>
      </c>
      <c r="I415" s="21">
        <f>IF(E415=参数设置!$B$13,D415,0)</f>
        <v>0</v>
      </c>
      <c r="J415" s="21">
        <f>IF(M415=1,ROUND(D415*参数设置!$B$11*H415/参数设置!$B$12,参数设置!$B$15),0)</f>
        <v>0</v>
      </c>
      <c r="K415" s="21">
        <f>I415+J415</f>
        <v>0</v>
      </c>
      <c r="L415" s="25">
        <f>EDATE(C415,参数设置!$B$13)</f>
        <v>47644</v>
      </c>
      <c r="M415">
        <f>--(D415&gt;0)</f>
        <v>0</v>
      </c>
    </row>
    <row r="416" spans="1:13" ht="15" customHeight="1">
      <c r="A416">
        <v>35</v>
      </c>
      <c r="B416">
        <v>35</v>
      </c>
      <c r="C416" s="25">
        <f>INDEX(实际执行追踪!$A$7:$A$42,A416)+DAY(参数设置!$B$4)-1</f>
        <v>47279</v>
      </c>
      <c r="D416" s="21">
        <f>INDEX(实际执行追踪!$C$7:$C$42,A416)</f>
        <v>0</v>
      </c>
      <c r="E416">
        <v>5</v>
      </c>
      <c r="F416" s="25">
        <f>IF(E416=1,C416,G415)</f>
        <v>47427</v>
      </c>
      <c r="G416" s="25">
        <f>IF(E416&lt;参数设置!$B$13,DATE(YEAR(EDATE(C416,E416+1)),MONTH(EDATE(C416,E416+1)),参数设置!$B$14),EDATE(C416,参数设置!$B$13))</f>
        <v>47457</v>
      </c>
      <c r="H416">
        <f>G416-F416</f>
        <v>30</v>
      </c>
      <c r="I416" s="21">
        <f>IF(E416=参数设置!$B$13,D416,0)</f>
        <v>0</v>
      </c>
      <c r="J416" s="21">
        <f>IF(M416=1,ROUND(D416*参数设置!$B$11*H416/参数设置!$B$12,参数设置!$B$15),0)</f>
        <v>0</v>
      </c>
      <c r="K416" s="21">
        <f>I416+J416</f>
        <v>0</v>
      </c>
      <c r="L416" s="25">
        <f>EDATE(C416,参数设置!$B$13)</f>
        <v>47644</v>
      </c>
      <c r="M416">
        <f>--(D416&gt;0)</f>
        <v>0</v>
      </c>
    </row>
    <row r="417" spans="1:13" ht="15" customHeight="1">
      <c r="A417">
        <v>35</v>
      </c>
      <c r="B417">
        <v>35</v>
      </c>
      <c r="C417" s="25">
        <f>INDEX(实际执行追踪!$A$7:$A$42,A417)+DAY(参数设置!$B$4)-1</f>
        <v>47279</v>
      </c>
      <c r="D417" s="21">
        <f>INDEX(实际执行追踪!$C$7:$C$42,A417)</f>
        <v>0</v>
      </c>
      <c r="E417">
        <v>6</v>
      </c>
      <c r="F417" s="25">
        <f>IF(E417=1,C417,G416)</f>
        <v>47457</v>
      </c>
      <c r="G417" s="25">
        <f>IF(E417&lt;参数设置!$B$13,DATE(YEAR(EDATE(C417,E417+1)),MONTH(EDATE(C417,E417+1)),参数设置!$B$14),EDATE(C417,参数设置!$B$13))</f>
        <v>47488</v>
      </c>
      <c r="H417">
        <f>G417-F417</f>
        <v>31</v>
      </c>
      <c r="I417" s="21">
        <f>IF(E417=参数设置!$B$13,D417,0)</f>
        <v>0</v>
      </c>
      <c r="J417" s="21">
        <f>IF(M417=1,ROUND(D417*参数设置!$B$11*H417/参数设置!$B$12,参数设置!$B$15),0)</f>
        <v>0</v>
      </c>
      <c r="K417" s="21">
        <f>I417+J417</f>
        <v>0</v>
      </c>
      <c r="L417" s="25">
        <f>EDATE(C417,参数设置!$B$13)</f>
        <v>47644</v>
      </c>
      <c r="M417">
        <f>--(D417&gt;0)</f>
        <v>0</v>
      </c>
    </row>
    <row r="418" spans="1:13" ht="15" customHeight="1">
      <c r="A418">
        <v>35</v>
      </c>
      <c r="B418">
        <v>35</v>
      </c>
      <c r="C418" s="25">
        <f>INDEX(实际执行追踪!$A$7:$A$42,A418)+DAY(参数设置!$B$4)-1</f>
        <v>47279</v>
      </c>
      <c r="D418" s="21">
        <f>INDEX(实际执行追踪!$C$7:$C$42,A418)</f>
        <v>0</v>
      </c>
      <c r="E418">
        <v>7</v>
      </c>
      <c r="F418" s="25">
        <f>IF(E418=1,C418,G417)</f>
        <v>47488</v>
      </c>
      <c r="G418" s="25">
        <f>IF(E418&lt;参数设置!$B$13,DATE(YEAR(EDATE(C418,E418+1)),MONTH(EDATE(C418,E418+1)),参数设置!$B$14),EDATE(C418,参数设置!$B$13))</f>
        <v>47519</v>
      </c>
      <c r="H418">
        <f>G418-F418</f>
        <v>31</v>
      </c>
      <c r="I418" s="21">
        <f>IF(E418=参数设置!$B$13,D418,0)</f>
        <v>0</v>
      </c>
      <c r="J418" s="21">
        <f>IF(M418=1,ROUND(D418*参数设置!$B$11*H418/参数设置!$B$12,参数设置!$B$15),0)</f>
        <v>0</v>
      </c>
      <c r="K418" s="21">
        <f>I418+J418</f>
        <v>0</v>
      </c>
      <c r="L418" s="25">
        <f>EDATE(C418,参数设置!$B$13)</f>
        <v>47644</v>
      </c>
      <c r="M418">
        <f>--(D418&gt;0)</f>
        <v>0</v>
      </c>
    </row>
    <row r="419" spans="1:13" ht="15" customHeight="1">
      <c r="A419">
        <v>35</v>
      </c>
      <c r="B419">
        <v>35</v>
      </c>
      <c r="C419" s="25">
        <f>INDEX(实际执行追踪!$A$7:$A$42,A419)+DAY(参数设置!$B$4)-1</f>
        <v>47279</v>
      </c>
      <c r="D419" s="21">
        <f>INDEX(实际执行追踪!$C$7:$C$42,A419)</f>
        <v>0</v>
      </c>
      <c r="E419">
        <v>8</v>
      </c>
      <c r="F419" s="25">
        <f>IF(E419=1,C419,G418)</f>
        <v>47519</v>
      </c>
      <c r="G419" s="25">
        <f>IF(E419&lt;参数设置!$B$13,DATE(YEAR(EDATE(C419,E419+1)),MONTH(EDATE(C419,E419+1)),参数设置!$B$14),EDATE(C419,参数设置!$B$13))</f>
        <v>47547</v>
      </c>
      <c r="H419">
        <f>G419-F419</f>
        <v>28</v>
      </c>
      <c r="I419" s="21">
        <f>IF(E419=参数设置!$B$13,D419,0)</f>
        <v>0</v>
      </c>
      <c r="J419" s="21">
        <f>IF(M419=1,ROUND(D419*参数设置!$B$11*H419/参数设置!$B$12,参数设置!$B$15),0)</f>
        <v>0</v>
      </c>
      <c r="K419" s="21">
        <f>I419+J419</f>
        <v>0</v>
      </c>
      <c r="L419" s="25">
        <f>EDATE(C419,参数设置!$B$13)</f>
        <v>47644</v>
      </c>
      <c r="M419">
        <f>--(D419&gt;0)</f>
        <v>0</v>
      </c>
    </row>
    <row r="420" spans="1:13" ht="15" customHeight="1">
      <c r="A420">
        <v>35</v>
      </c>
      <c r="B420">
        <v>35</v>
      </c>
      <c r="C420" s="25">
        <f>INDEX(实际执行追踪!$A$7:$A$42,A420)+DAY(参数设置!$B$4)-1</f>
        <v>47279</v>
      </c>
      <c r="D420" s="21">
        <f>INDEX(实际执行追踪!$C$7:$C$42,A420)</f>
        <v>0</v>
      </c>
      <c r="E420">
        <v>9</v>
      </c>
      <c r="F420" s="25">
        <f>IF(E420=1,C420,G419)</f>
        <v>47547</v>
      </c>
      <c r="G420" s="25">
        <f>IF(E420&lt;参数设置!$B$13,DATE(YEAR(EDATE(C420,E420+1)),MONTH(EDATE(C420,E420+1)),参数设置!$B$14),EDATE(C420,参数设置!$B$13))</f>
        <v>47578</v>
      </c>
      <c r="H420">
        <f>G420-F420</f>
        <v>31</v>
      </c>
      <c r="I420" s="21">
        <f>IF(E420=参数设置!$B$13,D420,0)</f>
        <v>0</v>
      </c>
      <c r="J420" s="21">
        <f>IF(M420=1,ROUND(D420*参数设置!$B$11*H420/参数设置!$B$12,参数设置!$B$15),0)</f>
        <v>0</v>
      </c>
      <c r="K420" s="21">
        <f>I420+J420</f>
        <v>0</v>
      </c>
      <c r="L420" s="25">
        <f>EDATE(C420,参数设置!$B$13)</f>
        <v>47644</v>
      </c>
      <c r="M420">
        <f>--(D420&gt;0)</f>
        <v>0</v>
      </c>
    </row>
    <row r="421" spans="1:13" ht="15" customHeight="1">
      <c r="A421">
        <v>35</v>
      </c>
      <c r="B421">
        <v>35</v>
      </c>
      <c r="C421" s="25">
        <f>INDEX(实际执行追踪!$A$7:$A$42,A421)+DAY(参数设置!$B$4)-1</f>
        <v>47279</v>
      </c>
      <c r="D421" s="21">
        <f>INDEX(实际执行追踪!$C$7:$C$42,A421)</f>
        <v>0</v>
      </c>
      <c r="E421">
        <v>10</v>
      </c>
      <c r="F421" s="25">
        <f>IF(E421=1,C421,G420)</f>
        <v>47578</v>
      </c>
      <c r="G421" s="25">
        <f>IF(E421&lt;参数设置!$B$13,DATE(YEAR(EDATE(C421,E421+1)),MONTH(EDATE(C421,E421+1)),参数设置!$B$14),EDATE(C421,参数设置!$B$13))</f>
        <v>47608</v>
      </c>
      <c r="H421">
        <f>G421-F421</f>
        <v>30</v>
      </c>
      <c r="I421" s="21">
        <f>IF(E421=参数设置!$B$13,D421,0)</f>
        <v>0</v>
      </c>
      <c r="J421" s="21">
        <f>IF(M421=1,ROUND(D421*参数设置!$B$11*H421/参数设置!$B$12,参数设置!$B$15),0)</f>
        <v>0</v>
      </c>
      <c r="K421" s="21">
        <f>I421+J421</f>
        <v>0</v>
      </c>
      <c r="L421" s="25">
        <f>EDATE(C421,参数设置!$B$13)</f>
        <v>47644</v>
      </c>
      <c r="M421">
        <f>--(D421&gt;0)</f>
        <v>0</v>
      </c>
    </row>
    <row r="422" spans="1:13" ht="15" customHeight="1">
      <c r="A422">
        <v>35</v>
      </c>
      <c r="B422">
        <v>35</v>
      </c>
      <c r="C422" s="25">
        <f>INDEX(实际执行追踪!$A$7:$A$42,A422)+DAY(参数设置!$B$4)-1</f>
        <v>47279</v>
      </c>
      <c r="D422" s="21">
        <f>INDEX(实际执行追踪!$C$7:$C$42,A422)</f>
        <v>0</v>
      </c>
      <c r="E422">
        <v>11</v>
      </c>
      <c r="F422" s="25">
        <f>IF(E422=1,C422,G421)</f>
        <v>47608</v>
      </c>
      <c r="G422" s="25">
        <f>IF(E422&lt;参数设置!$B$13,DATE(YEAR(EDATE(C422,E422+1)),MONTH(EDATE(C422,E422+1)),参数设置!$B$14),EDATE(C422,参数设置!$B$13))</f>
        <v>47639</v>
      </c>
      <c r="H422">
        <f>G422-F422</f>
        <v>31</v>
      </c>
      <c r="I422" s="21">
        <f>IF(E422=参数设置!$B$13,D422,0)</f>
        <v>0</v>
      </c>
      <c r="J422" s="21">
        <f>IF(M422=1,ROUND(D422*参数设置!$B$11*H422/参数设置!$B$12,参数设置!$B$15),0)</f>
        <v>0</v>
      </c>
      <c r="K422" s="21">
        <f>I422+J422</f>
        <v>0</v>
      </c>
      <c r="L422" s="25">
        <f>EDATE(C422,参数设置!$B$13)</f>
        <v>47644</v>
      </c>
      <c r="M422">
        <f>--(D422&gt;0)</f>
        <v>0</v>
      </c>
    </row>
    <row r="423" spans="1:13" ht="15" customHeight="1">
      <c r="A423">
        <v>35</v>
      </c>
      <c r="B423">
        <v>35</v>
      </c>
      <c r="C423" s="25">
        <f>INDEX(实际执行追踪!$A$7:$A$42,A423)+DAY(参数设置!$B$4)-1</f>
        <v>47279</v>
      </c>
      <c r="D423" s="21">
        <f>INDEX(实际执行追踪!$C$7:$C$42,A423)</f>
        <v>0</v>
      </c>
      <c r="E423">
        <v>12</v>
      </c>
      <c r="F423" s="25">
        <f>IF(E423=1,C423,G422)</f>
        <v>47639</v>
      </c>
      <c r="G423" s="25">
        <f>IF(E423&lt;参数设置!$B$13,DATE(YEAR(EDATE(C423,E423+1)),MONTH(EDATE(C423,E423+1)),参数设置!$B$14),EDATE(C423,参数设置!$B$13))</f>
        <v>47644</v>
      </c>
      <c r="H423">
        <f>G423-F423</f>
        <v>5</v>
      </c>
      <c r="I423" s="21">
        <f>IF(E423=参数设置!$B$13,D423,0)</f>
        <v>0</v>
      </c>
      <c r="J423" s="21">
        <f>IF(M423=1,ROUND(D423*参数设置!$B$11*H423/参数设置!$B$12,参数设置!$B$15),0)</f>
        <v>0</v>
      </c>
      <c r="K423" s="21">
        <f>I423+J423</f>
        <v>0</v>
      </c>
      <c r="L423" s="25">
        <f>EDATE(C423,参数设置!$B$13)</f>
        <v>47644</v>
      </c>
      <c r="M423">
        <f>--(D423&gt;0)</f>
        <v>0</v>
      </c>
    </row>
    <row r="424" spans="1:13" ht="15" customHeight="1">
      <c r="A424">
        <v>36</v>
      </c>
      <c r="B424">
        <v>36</v>
      </c>
      <c r="C424" s="25">
        <f>INDEX(实际执行追踪!$A$7:$A$42,A424)+DAY(参数设置!$B$4)-1</f>
        <v>47309</v>
      </c>
      <c r="D424" s="21">
        <f>INDEX(实际执行追踪!$C$7:$C$42,A424)</f>
        <v>0</v>
      </c>
      <c r="E424">
        <v>1</v>
      </c>
      <c r="F424" s="25">
        <f>IF(E424=1,C424,G423)</f>
        <v>47309</v>
      </c>
      <c r="G424" s="25">
        <f>IF(E424&lt;参数设置!$B$13,DATE(YEAR(EDATE(C424,E424+1)),MONTH(EDATE(C424,E424+1)),参数设置!$B$14),EDATE(C424,参数设置!$B$13))</f>
        <v>47366</v>
      </c>
      <c r="H424">
        <f>G424-F424</f>
        <v>57</v>
      </c>
      <c r="I424" s="21">
        <f>IF(E424=参数设置!$B$13,D424,0)</f>
        <v>0</v>
      </c>
      <c r="J424" s="21">
        <f>IF(M424=1,ROUND(D424*参数设置!$B$11*H424/参数设置!$B$12,参数设置!$B$15),0)</f>
        <v>0</v>
      </c>
      <c r="K424" s="21">
        <f>I424+J424</f>
        <v>0</v>
      </c>
      <c r="L424" s="25">
        <f>EDATE(C424,参数设置!$B$13)</f>
        <v>47674</v>
      </c>
      <c r="M424">
        <f>--(D424&gt;0)</f>
        <v>0</v>
      </c>
    </row>
    <row r="425" spans="1:13" ht="15" customHeight="1">
      <c r="A425">
        <v>36</v>
      </c>
      <c r="B425">
        <v>36</v>
      </c>
      <c r="C425" s="25">
        <f>INDEX(实际执行追踪!$A$7:$A$42,A425)+DAY(参数设置!$B$4)-1</f>
        <v>47309</v>
      </c>
      <c r="D425" s="21">
        <f>INDEX(实际执行追踪!$C$7:$C$42,A425)</f>
        <v>0</v>
      </c>
      <c r="E425">
        <v>2</v>
      </c>
      <c r="F425" s="25">
        <f>IF(E425=1,C425,G424)</f>
        <v>47366</v>
      </c>
      <c r="G425" s="25">
        <f>IF(E425&lt;参数设置!$B$13,DATE(YEAR(EDATE(C425,E425+1)),MONTH(EDATE(C425,E425+1)),参数设置!$B$14),EDATE(C425,参数设置!$B$13))</f>
        <v>47396</v>
      </c>
      <c r="H425">
        <f>G425-F425</f>
        <v>30</v>
      </c>
      <c r="I425" s="21">
        <f>IF(E425=参数设置!$B$13,D425,0)</f>
        <v>0</v>
      </c>
      <c r="J425" s="21">
        <f>IF(M425=1,ROUND(D425*参数设置!$B$11*H425/参数设置!$B$12,参数设置!$B$15),0)</f>
        <v>0</v>
      </c>
      <c r="K425" s="21">
        <f>I425+J425</f>
        <v>0</v>
      </c>
      <c r="L425" s="25">
        <f>EDATE(C425,参数设置!$B$13)</f>
        <v>47674</v>
      </c>
      <c r="M425">
        <f>--(D425&gt;0)</f>
        <v>0</v>
      </c>
    </row>
    <row r="426" spans="1:13" ht="15" customHeight="1">
      <c r="A426">
        <v>36</v>
      </c>
      <c r="B426">
        <v>36</v>
      </c>
      <c r="C426" s="25">
        <f>INDEX(实际执行追踪!$A$7:$A$42,A426)+DAY(参数设置!$B$4)-1</f>
        <v>47309</v>
      </c>
      <c r="D426" s="21">
        <f>INDEX(实际执行追踪!$C$7:$C$42,A426)</f>
        <v>0</v>
      </c>
      <c r="E426">
        <v>3</v>
      </c>
      <c r="F426" s="25">
        <f>IF(E426=1,C426,G425)</f>
        <v>47396</v>
      </c>
      <c r="G426" s="25">
        <f>IF(E426&lt;参数设置!$B$13,DATE(YEAR(EDATE(C426,E426+1)),MONTH(EDATE(C426,E426+1)),参数设置!$B$14),EDATE(C426,参数设置!$B$13))</f>
        <v>47427</v>
      </c>
      <c r="H426">
        <f>G426-F426</f>
        <v>31</v>
      </c>
      <c r="I426" s="21">
        <f>IF(E426=参数设置!$B$13,D426,0)</f>
        <v>0</v>
      </c>
      <c r="J426" s="21">
        <f>IF(M426=1,ROUND(D426*参数设置!$B$11*H426/参数设置!$B$12,参数设置!$B$15),0)</f>
        <v>0</v>
      </c>
      <c r="K426" s="21">
        <f>I426+J426</f>
        <v>0</v>
      </c>
      <c r="L426" s="25">
        <f>EDATE(C426,参数设置!$B$13)</f>
        <v>47674</v>
      </c>
      <c r="M426">
        <f>--(D426&gt;0)</f>
        <v>0</v>
      </c>
    </row>
    <row r="427" spans="1:13" ht="15" customHeight="1">
      <c r="A427">
        <v>36</v>
      </c>
      <c r="B427">
        <v>36</v>
      </c>
      <c r="C427" s="25">
        <f>INDEX(实际执行追踪!$A$7:$A$42,A427)+DAY(参数设置!$B$4)-1</f>
        <v>47309</v>
      </c>
      <c r="D427" s="21">
        <f>INDEX(实际执行追踪!$C$7:$C$42,A427)</f>
        <v>0</v>
      </c>
      <c r="E427">
        <v>4</v>
      </c>
      <c r="F427" s="25">
        <f>IF(E427=1,C427,G426)</f>
        <v>47427</v>
      </c>
      <c r="G427" s="25">
        <f>IF(E427&lt;参数设置!$B$13,DATE(YEAR(EDATE(C427,E427+1)),MONTH(EDATE(C427,E427+1)),参数设置!$B$14),EDATE(C427,参数设置!$B$13))</f>
        <v>47457</v>
      </c>
      <c r="H427">
        <f>G427-F427</f>
        <v>30</v>
      </c>
      <c r="I427" s="21">
        <f>IF(E427=参数设置!$B$13,D427,0)</f>
        <v>0</v>
      </c>
      <c r="J427" s="21">
        <f>IF(M427=1,ROUND(D427*参数设置!$B$11*H427/参数设置!$B$12,参数设置!$B$15),0)</f>
        <v>0</v>
      </c>
      <c r="K427" s="21">
        <f>I427+J427</f>
        <v>0</v>
      </c>
      <c r="L427" s="25">
        <f>EDATE(C427,参数设置!$B$13)</f>
        <v>47674</v>
      </c>
      <c r="M427">
        <f>--(D427&gt;0)</f>
        <v>0</v>
      </c>
    </row>
    <row r="428" spans="1:13" ht="15" customHeight="1">
      <c r="A428">
        <v>36</v>
      </c>
      <c r="B428">
        <v>36</v>
      </c>
      <c r="C428" s="25">
        <f>INDEX(实际执行追踪!$A$7:$A$42,A428)+DAY(参数设置!$B$4)-1</f>
        <v>47309</v>
      </c>
      <c r="D428" s="21">
        <f>INDEX(实际执行追踪!$C$7:$C$42,A428)</f>
        <v>0</v>
      </c>
      <c r="E428">
        <v>5</v>
      </c>
      <c r="F428" s="25">
        <f>IF(E428=1,C428,G427)</f>
        <v>47457</v>
      </c>
      <c r="G428" s="25">
        <f>IF(E428&lt;参数设置!$B$13,DATE(YEAR(EDATE(C428,E428+1)),MONTH(EDATE(C428,E428+1)),参数设置!$B$14),EDATE(C428,参数设置!$B$13))</f>
        <v>47488</v>
      </c>
      <c r="H428">
        <f>G428-F428</f>
        <v>31</v>
      </c>
      <c r="I428" s="21">
        <f>IF(E428=参数设置!$B$13,D428,0)</f>
        <v>0</v>
      </c>
      <c r="J428" s="21">
        <f>IF(M428=1,ROUND(D428*参数设置!$B$11*H428/参数设置!$B$12,参数设置!$B$15),0)</f>
        <v>0</v>
      </c>
      <c r="K428" s="21">
        <f>I428+J428</f>
        <v>0</v>
      </c>
      <c r="L428" s="25">
        <f>EDATE(C428,参数设置!$B$13)</f>
        <v>47674</v>
      </c>
      <c r="M428">
        <f>--(D428&gt;0)</f>
        <v>0</v>
      </c>
    </row>
    <row r="429" spans="1:13" ht="15" customHeight="1">
      <c r="A429">
        <v>36</v>
      </c>
      <c r="B429">
        <v>36</v>
      </c>
      <c r="C429" s="25">
        <f>INDEX(实际执行追踪!$A$7:$A$42,A429)+DAY(参数设置!$B$4)-1</f>
        <v>47309</v>
      </c>
      <c r="D429" s="21">
        <f>INDEX(实际执行追踪!$C$7:$C$42,A429)</f>
        <v>0</v>
      </c>
      <c r="E429">
        <v>6</v>
      </c>
      <c r="F429" s="25">
        <f>IF(E429=1,C429,G428)</f>
        <v>47488</v>
      </c>
      <c r="G429" s="25">
        <f>IF(E429&lt;参数设置!$B$13,DATE(YEAR(EDATE(C429,E429+1)),MONTH(EDATE(C429,E429+1)),参数设置!$B$14),EDATE(C429,参数设置!$B$13))</f>
        <v>47519</v>
      </c>
      <c r="H429">
        <f>G429-F429</f>
        <v>31</v>
      </c>
      <c r="I429" s="21">
        <f>IF(E429=参数设置!$B$13,D429,0)</f>
        <v>0</v>
      </c>
      <c r="J429" s="21">
        <f>IF(M429=1,ROUND(D429*参数设置!$B$11*H429/参数设置!$B$12,参数设置!$B$15),0)</f>
        <v>0</v>
      </c>
      <c r="K429" s="21">
        <f>I429+J429</f>
        <v>0</v>
      </c>
      <c r="L429" s="25">
        <f>EDATE(C429,参数设置!$B$13)</f>
        <v>47674</v>
      </c>
      <c r="M429">
        <f>--(D429&gt;0)</f>
        <v>0</v>
      </c>
    </row>
    <row r="430" spans="1:13" ht="15" customHeight="1">
      <c r="A430">
        <v>36</v>
      </c>
      <c r="B430">
        <v>36</v>
      </c>
      <c r="C430" s="25">
        <f>INDEX(实际执行追踪!$A$7:$A$42,A430)+DAY(参数设置!$B$4)-1</f>
        <v>47309</v>
      </c>
      <c r="D430" s="21">
        <f>INDEX(实际执行追踪!$C$7:$C$42,A430)</f>
        <v>0</v>
      </c>
      <c r="E430">
        <v>7</v>
      </c>
      <c r="F430" s="25">
        <f>IF(E430=1,C430,G429)</f>
        <v>47519</v>
      </c>
      <c r="G430" s="25">
        <f>IF(E430&lt;参数设置!$B$13,DATE(YEAR(EDATE(C430,E430+1)),MONTH(EDATE(C430,E430+1)),参数设置!$B$14),EDATE(C430,参数设置!$B$13))</f>
        <v>47547</v>
      </c>
      <c r="H430">
        <f>G430-F430</f>
        <v>28</v>
      </c>
      <c r="I430" s="21">
        <f>IF(E430=参数设置!$B$13,D430,0)</f>
        <v>0</v>
      </c>
      <c r="J430" s="21">
        <f>IF(M430=1,ROUND(D430*参数设置!$B$11*H430/参数设置!$B$12,参数设置!$B$15),0)</f>
        <v>0</v>
      </c>
      <c r="K430" s="21">
        <f>I430+J430</f>
        <v>0</v>
      </c>
      <c r="L430" s="25">
        <f>EDATE(C430,参数设置!$B$13)</f>
        <v>47674</v>
      </c>
      <c r="M430">
        <f>--(D430&gt;0)</f>
        <v>0</v>
      </c>
    </row>
    <row r="431" spans="1:13" ht="15" customHeight="1">
      <c r="A431">
        <v>36</v>
      </c>
      <c r="B431">
        <v>36</v>
      </c>
      <c r="C431" s="25">
        <f>INDEX(实际执行追踪!$A$7:$A$42,A431)+DAY(参数设置!$B$4)-1</f>
        <v>47309</v>
      </c>
      <c r="D431" s="21">
        <f>INDEX(实际执行追踪!$C$7:$C$42,A431)</f>
        <v>0</v>
      </c>
      <c r="E431">
        <v>8</v>
      </c>
      <c r="F431" s="25">
        <f>IF(E431=1,C431,G430)</f>
        <v>47547</v>
      </c>
      <c r="G431" s="25">
        <f>IF(E431&lt;参数设置!$B$13,DATE(YEAR(EDATE(C431,E431+1)),MONTH(EDATE(C431,E431+1)),参数设置!$B$14),EDATE(C431,参数设置!$B$13))</f>
        <v>47578</v>
      </c>
      <c r="H431">
        <f>G431-F431</f>
        <v>31</v>
      </c>
      <c r="I431" s="21">
        <f>IF(E431=参数设置!$B$13,D431,0)</f>
        <v>0</v>
      </c>
      <c r="J431" s="21">
        <f>IF(M431=1,ROUND(D431*参数设置!$B$11*H431/参数设置!$B$12,参数设置!$B$15),0)</f>
        <v>0</v>
      </c>
      <c r="K431" s="21">
        <f>I431+J431</f>
        <v>0</v>
      </c>
      <c r="L431" s="25">
        <f>EDATE(C431,参数设置!$B$13)</f>
        <v>47674</v>
      </c>
      <c r="M431">
        <f>--(D431&gt;0)</f>
        <v>0</v>
      </c>
    </row>
    <row r="432" spans="1:13" ht="15" customHeight="1">
      <c r="A432">
        <v>36</v>
      </c>
      <c r="B432">
        <v>36</v>
      </c>
      <c r="C432" s="25">
        <f>INDEX(实际执行追踪!$A$7:$A$42,A432)+DAY(参数设置!$B$4)-1</f>
        <v>47309</v>
      </c>
      <c r="D432" s="21">
        <f>INDEX(实际执行追踪!$C$7:$C$42,A432)</f>
        <v>0</v>
      </c>
      <c r="E432">
        <v>9</v>
      </c>
      <c r="F432" s="25">
        <f>IF(E432=1,C432,G431)</f>
        <v>47578</v>
      </c>
      <c r="G432" s="25">
        <f>IF(E432&lt;参数设置!$B$13,DATE(YEAR(EDATE(C432,E432+1)),MONTH(EDATE(C432,E432+1)),参数设置!$B$14),EDATE(C432,参数设置!$B$13))</f>
        <v>47608</v>
      </c>
      <c r="H432">
        <f>G432-F432</f>
        <v>30</v>
      </c>
      <c r="I432" s="21">
        <f>IF(E432=参数设置!$B$13,D432,0)</f>
        <v>0</v>
      </c>
      <c r="J432" s="21">
        <f>IF(M432=1,ROUND(D432*参数设置!$B$11*H432/参数设置!$B$12,参数设置!$B$15),0)</f>
        <v>0</v>
      </c>
      <c r="K432" s="21">
        <f>I432+J432</f>
        <v>0</v>
      </c>
      <c r="L432" s="25">
        <f>EDATE(C432,参数设置!$B$13)</f>
        <v>47674</v>
      </c>
      <c r="M432">
        <f>--(D432&gt;0)</f>
        <v>0</v>
      </c>
    </row>
    <row r="433" spans="1:13" ht="15" customHeight="1">
      <c r="A433">
        <v>36</v>
      </c>
      <c r="B433">
        <v>36</v>
      </c>
      <c r="C433" s="25">
        <f>INDEX(实际执行追踪!$A$7:$A$42,A433)+DAY(参数设置!$B$4)-1</f>
        <v>47309</v>
      </c>
      <c r="D433" s="21">
        <f>INDEX(实际执行追踪!$C$7:$C$42,A433)</f>
        <v>0</v>
      </c>
      <c r="E433">
        <v>10</v>
      </c>
      <c r="F433" s="25">
        <f>IF(E433=1,C433,G432)</f>
        <v>47608</v>
      </c>
      <c r="G433" s="25">
        <f>IF(E433&lt;参数设置!$B$13,DATE(YEAR(EDATE(C433,E433+1)),MONTH(EDATE(C433,E433+1)),参数设置!$B$14),EDATE(C433,参数设置!$B$13))</f>
        <v>47639</v>
      </c>
      <c r="H433">
        <f>G433-F433</f>
        <v>31</v>
      </c>
      <c r="I433" s="21">
        <f>IF(E433=参数设置!$B$13,D433,0)</f>
        <v>0</v>
      </c>
      <c r="J433" s="21">
        <f>IF(M433=1,ROUND(D433*参数设置!$B$11*H433/参数设置!$B$12,参数设置!$B$15),0)</f>
        <v>0</v>
      </c>
      <c r="K433" s="21">
        <f>I433+J433</f>
        <v>0</v>
      </c>
      <c r="L433" s="25">
        <f>EDATE(C433,参数设置!$B$13)</f>
        <v>47674</v>
      </c>
      <c r="M433">
        <f>--(D433&gt;0)</f>
        <v>0</v>
      </c>
    </row>
    <row r="434" spans="1:13" ht="15" customHeight="1">
      <c r="A434">
        <v>36</v>
      </c>
      <c r="B434">
        <v>36</v>
      </c>
      <c r="C434" s="25">
        <f>INDEX(实际执行追踪!$A$7:$A$42,A434)+DAY(参数设置!$B$4)-1</f>
        <v>47309</v>
      </c>
      <c r="D434" s="21">
        <f>INDEX(实际执行追踪!$C$7:$C$42,A434)</f>
        <v>0</v>
      </c>
      <c r="E434">
        <v>11</v>
      </c>
      <c r="F434" s="25">
        <f>IF(E434=1,C434,G433)</f>
        <v>47639</v>
      </c>
      <c r="G434" s="25">
        <f>IF(E434&lt;参数设置!$B$13,DATE(YEAR(EDATE(C434,E434+1)),MONTH(EDATE(C434,E434+1)),参数设置!$B$14),EDATE(C434,参数设置!$B$13))</f>
        <v>47669</v>
      </c>
      <c r="H434">
        <f>G434-F434</f>
        <v>30</v>
      </c>
      <c r="I434" s="21">
        <f>IF(E434=参数设置!$B$13,D434,0)</f>
        <v>0</v>
      </c>
      <c r="J434" s="21">
        <f>IF(M434=1,ROUND(D434*参数设置!$B$11*H434/参数设置!$B$12,参数设置!$B$15),0)</f>
        <v>0</v>
      </c>
      <c r="K434" s="21">
        <f>I434+J434</f>
        <v>0</v>
      </c>
      <c r="L434" s="25">
        <f>EDATE(C434,参数设置!$B$13)</f>
        <v>47674</v>
      </c>
      <c r="M434">
        <f>--(D434&gt;0)</f>
        <v>0</v>
      </c>
    </row>
    <row r="435" spans="1:13" ht="15" customHeight="1">
      <c r="A435">
        <v>36</v>
      </c>
      <c r="B435">
        <v>36</v>
      </c>
      <c r="C435" s="25">
        <f>INDEX(实际执行追踪!$A$7:$A$42,A435)+DAY(参数设置!$B$4)-1</f>
        <v>47309</v>
      </c>
      <c r="D435" s="21">
        <f>INDEX(实际执行追踪!$C$7:$C$42,A435)</f>
        <v>0</v>
      </c>
      <c r="E435">
        <v>12</v>
      </c>
      <c r="F435" s="25">
        <f>IF(E435=1,C435,G434)</f>
        <v>47669</v>
      </c>
      <c r="G435" s="25">
        <f>IF(E435&lt;参数设置!$B$13,DATE(YEAR(EDATE(C435,E435+1)),MONTH(EDATE(C435,E435+1)),参数设置!$B$14),EDATE(C435,参数设置!$B$13))</f>
        <v>47674</v>
      </c>
      <c r="H435">
        <f>G435-F435</f>
        <v>5</v>
      </c>
      <c r="I435" s="21">
        <f>IF(E435=参数设置!$B$13,D435,0)</f>
        <v>0</v>
      </c>
      <c r="J435" s="21">
        <f>IF(M435=1,ROUND(D435*参数设置!$B$11*H435/参数设置!$B$12,参数设置!$B$15),0)</f>
        <v>0</v>
      </c>
      <c r="K435" s="21">
        <f>I435+J435</f>
        <v>0</v>
      </c>
      <c r="L435" s="25">
        <f>EDATE(C435,参数设置!$B$13)</f>
        <v>47674</v>
      </c>
      <c r="M435">
        <f>--(D435&gt;0)</f>
        <v>0</v>
      </c>
    </row>
  </sheetData>
  <autoFilter ref="A3:M435" xr:uid="{00000000-0009-0000-0000-000006000000}"/>
  <mergeCells count="1">
    <mergeCell ref="A1:M1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4"/>
  <sheetViews>
    <sheetView zoomScaleNormal="100" workbookViewId="0"/>
  </sheetViews>
  <sheetFormatPr defaultColWidth="8.7109375" defaultRowHeight="15"/>
  <sheetData>
    <row r="1" spans="1:1" ht="15" customHeight="1">
      <c r="A1" s="4" t="s">
        <v>93</v>
      </c>
    </row>
    <row r="2" spans="1:1" ht="15" customHeight="1">
      <c r="A2" s="4" t="s">
        <v>94</v>
      </c>
    </row>
    <row r="3" spans="1:1" ht="15" customHeight="1">
      <c r="A3" s="4" t="s">
        <v>95</v>
      </c>
    </row>
    <row r="4" spans="1:1" ht="15" customHeight="1">
      <c r="A4" s="4" t="s">
        <v>96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Metadata/LabelInfo.xml><?xml version="1.0" encoding="utf-8"?>
<clbl:labelList xmlns:clbl="http://schemas.microsoft.com/office/2020/mipLabelMetadata">
  <clbl:label id="{82fa3fd3-029b-403d-91b4-1dc930cb0e60}" enabled="1" method="Privileged" siteId="{4ae48b41-0137-4599-8661-fc641fe77bea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Shicheng Lin</dc:creator>
  <cp:keywords/>
  <dc:description/>
  <cp:lastModifiedBy/>
  <cp:revision>0</cp:revision>
  <dcterms:created xsi:type="dcterms:W3CDTF">2026-08-06T04:10:11Z</dcterms:created>
  <dcterms:modified xsi:type="dcterms:W3CDTF">2026-08-06T06:02:15Z</dcterms:modified>
  <cp:category/>
  <cp:contentStatus/>
</cp:coreProperties>
</file>